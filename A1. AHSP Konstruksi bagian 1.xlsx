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45" yWindow="0" windowWidth="11925" windowHeight="7455" tabRatio="932" activeTab="3"/>
  </bookViews>
  <sheets>
    <sheet name="DAFTAR ISI" sheetId="20" r:id="rId1"/>
    <sheet name="PERBANDINGAN" sheetId="17" state="hidden" r:id="rId2"/>
    <sheet name="REKAP" sheetId="7" state="hidden" r:id="rId3"/>
    <sheet name="A.1.1.Pekerjaan Persiapan" sheetId="8" r:id="rId4"/>
    <sheet name="A.1.2.Pekerjaan Bongkaran" sheetId="3" r:id="rId5"/>
    <sheet name="A.1.3.Pekerjaan Tanah" sheetId="9" r:id="rId6"/>
    <sheet name="A.1.4.Pekerjaan Pondasi" sheetId="10" r:id="rId7"/>
    <sheet name="A.1.5.Pekerjaan Pasangan" sheetId="12" r:id="rId8"/>
    <sheet name="A.1.6.Pekerjaan Beton" sheetId="13" r:id="rId9"/>
    <sheet name="A.1.7.Beton Pracetak" sheetId="19" r:id="rId10"/>
    <sheet name="A.1.8.Pekerjaan Plesteran" sheetId="14" r:id="rId11"/>
    <sheet name="A.1.9.Pek Penutup Dinding" sheetId="15" r:id="rId12"/>
    <sheet name="A.1.10.Pek Konblok" sheetId="16" r:id="rId13"/>
    <sheet name="TENAGA" sheetId="5" state="hidden" r:id="rId14"/>
  </sheets>
  <externalReferences>
    <externalReference r:id="rId15"/>
  </externalReferences>
  <definedNames>
    <definedName name="Apersiapan1">'A.1.1.Pekerjaan Persiapan'!$B$14:$I$14</definedName>
    <definedName name="Apersiapan10">'A.1.1.Pekerjaan Persiapan'!$B$215:$I$215</definedName>
    <definedName name="Apersiapan11">'A.1.1.Pekerjaan Persiapan'!$B$233:$I$233</definedName>
    <definedName name="Apersiapan12">'A.1.1.Pekerjaan Persiapan'!$B$250:$I$250</definedName>
    <definedName name="Apersiapan13">'A.1.1.Pekerjaan Persiapan'!$B$267:$I$267</definedName>
    <definedName name="Apersiapan14">'A.1.1.Pekerjaan Persiapan'!$B$286:$I$286</definedName>
    <definedName name="Apersiapan15">'A.1.1.Pekerjaan Persiapan'!$B$309:$I$309</definedName>
    <definedName name="Apersiapan16">'A.1.1.Pekerjaan Persiapan'!$B$337:$I$337</definedName>
    <definedName name="Apersiapan2">'A.1.1.Pekerjaan Persiapan'!$B$37:$I$37</definedName>
    <definedName name="Apersiapan3">'A.1.1.Pekerjaan Persiapan'!$B$61:$I$61</definedName>
    <definedName name="Apersiapan4">'A.1.1.Pekerjaan Persiapan'!$B$83:$I$83</definedName>
    <definedName name="Apersiapan5">'A.1.1.Pekerjaan Persiapan'!$B$102:$I$102</definedName>
    <definedName name="Apersiapan6">'A.1.1.Pekerjaan Persiapan'!$B$133:$I$133</definedName>
    <definedName name="Apersiapan7">'A.1.1.Pekerjaan Persiapan'!$B$153:$I$153</definedName>
    <definedName name="Apersiapan8">'A.1.1.Pekerjaan Persiapan'!$B$177:$I$177</definedName>
    <definedName name="Apersiapan9">'A.1.1.Pekerjaan Persiapan'!$B$201:$I$201</definedName>
    <definedName name="BBongkaran1" localSheetId="9">'A.1.2.Pekerjaan Bongkaran'!$B$3:$K$15</definedName>
    <definedName name="BBongkaran10">'A.1.2.Pekerjaan Bongkaran'!$B$157:$I$174</definedName>
    <definedName name="BBongkaran11">'A.1.2.Pekerjaan Bongkaran'!$B$176:$I$191</definedName>
    <definedName name="BBongkaran12">'A.1.2.Pekerjaan Bongkaran'!$B$193:$I$208</definedName>
    <definedName name="BBongkaran13">'A.1.2.Pekerjaan Bongkaran'!$B$210:$I$230</definedName>
    <definedName name="BBongkaran2">'A.1.2.Pekerjaan Bongkaran'!$B$17:$J$33</definedName>
    <definedName name="BBongkaran3">'A.1.2.Pekerjaan Bongkaran'!$B$35:$J$50</definedName>
    <definedName name="BBongkaran4">'A.1.2.Pekerjaan Bongkaran'!$B$52:$J$68</definedName>
    <definedName name="BBongkaran5">'A.1.2.Pekerjaan Bongkaran'!$B$70:$I$85</definedName>
    <definedName name="BBongkaran6">'A.1.2.Pekerjaan Bongkaran'!$B$87:$I$102</definedName>
    <definedName name="BBongkaran7">'A.1.2.Pekerjaan Bongkaran'!$B$104:$I$119</definedName>
    <definedName name="BBongkaran8">'A.1.2.Pekerjaan Bongkaran'!$B$121:$I$138</definedName>
    <definedName name="BBongkaran9">'A.1.2.Pekerjaan Bongkaran'!$B$140:$I$155</definedName>
    <definedName name="Bongkaran1">'A.1.2.Pekerjaan Bongkaran'!$B$3:$I$15</definedName>
    <definedName name="CTanah1">'A.1.3.Pekerjaan Tanah'!$B$3:$I$17</definedName>
    <definedName name="CTanah10">'A.1.3.Pekerjaan Tanah'!$B$148:$I$162</definedName>
    <definedName name="CTanah11">'A.1.3.Pekerjaan Tanah'!$B$164:$I$178</definedName>
    <definedName name="CTanah12">'A.1.3.Pekerjaan Tanah'!$B$180:$I$198</definedName>
    <definedName name="CTanah13">'A.1.3.Pekerjaan Tanah'!$B$200:$I$214</definedName>
    <definedName name="CTanah14">'A.1.3.Pekerjaan Tanah'!$B$216:$I$230</definedName>
    <definedName name="CTanah15">'A.1.3.Pekerjaan Tanah'!$B$232:$I$249</definedName>
    <definedName name="CTanah16">'A.1.3.Pekerjaan Tanah'!$B$251:$I$266</definedName>
    <definedName name="CTanah17">'A.1.3.Pekerjaan Tanah'!$B$268:$I$284</definedName>
    <definedName name="CTanah18">'A.1.3.Pekerjaan Tanah'!$B$286:$I$303</definedName>
    <definedName name="CTanah2">'A.1.3.Pekerjaan Tanah'!$B$20:$I$34</definedName>
    <definedName name="CTanah3">'A.1.3.Pekerjaan Tanah'!$B$36:$I$50</definedName>
    <definedName name="CTanah4">'A.1.3.Pekerjaan Tanah'!$B$53:$I$67</definedName>
    <definedName name="CTanah5">'A.1.3.Pekerjaan Tanah'!$B$69:$I$83</definedName>
    <definedName name="CTanah6">'A.1.3.Pekerjaan Tanah'!$B$85:$I$99</definedName>
    <definedName name="CTanah7">'A.1.3.Pekerjaan Tanah'!$B$101:$I$115</definedName>
    <definedName name="CTanah8">'A.1.3.Pekerjaan Tanah'!$B$117:$I$131</definedName>
    <definedName name="CTanah9">'A.1.3.Pekerjaan Tanah'!$B$133:$I$146</definedName>
    <definedName name="DPondasi1">'A.1.4.Pekerjaan Pondasi'!$B$4:$I$22</definedName>
    <definedName name="DPondasi10">'A.1.4.Pekerjaan Pondasi'!$B$187:$I$208</definedName>
    <definedName name="DPondasi11">'A.1.4.Pekerjaan Pondasi'!$B$210:$I$229</definedName>
    <definedName name="DPondasi2">'A.1.4.Pekerjaan Pondasi'!$B$24:$I$43</definedName>
    <definedName name="DPondasi3">'A.1.4.Pekerjaan Pondasi'!$B$45:$I$63</definedName>
    <definedName name="DPondasi4">'A.1.4.Pekerjaan Pondasi'!$B$65:$I$83</definedName>
    <definedName name="DPondasi5">'A.1.4.Pekerjaan Pondasi'!$B$85:$I$103</definedName>
    <definedName name="DPondasi6">'A.1.4.Pekerjaan Pondasi'!$B$105:$I$124</definedName>
    <definedName name="DPondasi7">'A.1.4.Pekerjaan Pondasi'!$B$126:$I$145</definedName>
    <definedName name="DPondasi8">'A.1.4.Pekerjaan Pondasi'!$B$147:$I$166</definedName>
    <definedName name="DPondasi9">'A.1.4.Pekerjaan Pondasi'!$B$168:$I$185</definedName>
    <definedName name="EDinding1">'A.1.5.Pekerjaan Pasangan'!$B$4:$J$22</definedName>
    <definedName name="EDinding10">'A.1.5.Pekerjaan Pasangan'!$B$185:$J$204</definedName>
    <definedName name="EDinding11">'A.1.5.Pekerjaan Pasangan'!$B$206:$J$224</definedName>
    <definedName name="EDinding12">'A.1.5.Pekerjaan Pasangan'!$B$226:$J$244</definedName>
    <definedName name="EDinding13">'A.1.5.Pekerjaan Pasangan'!$B$246:$J$265</definedName>
    <definedName name="EDinding14">'A.1.5.Pekerjaan Pasangan'!$B$267:$I$286</definedName>
    <definedName name="EDinding15">'A.1.5.Pekerjaan Pasangan'!$B$288:$I$307</definedName>
    <definedName name="EDinding16">'A.1.5.Pekerjaan Pasangan'!$B$309:$I$328</definedName>
    <definedName name="EDinding17">'A.1.5.Pekerjaan Pasangan'!$B$330:$I$349</definedName>
    <definedName name="EDinding18">'A.1.5.Pekerjaan Pasangan'!$B$351:$I$370</definedName>
    <definedName name="EDinding19">'A.1.5.Pekerjaan Pasangan'!$B$371:$I$390</definedName>
    <definedName name="EDinding2">'A.1.5.Pekerjaan Pasangan'!$B$24:$J$42</definedName>
    <definedName name="EDinding20">'A.1.5.Pekerjaan Pasangan'!$B$392:$I$411</definedName>
    <definedName name="EDinding21">'A.1.5.Pekerjaan Pasangan'!$B$413:$I$432</definedName>
    <definedName name="EDinding22">'A.1.5.Pekerjaan Pasangan'!$B$434:$I$452</definedName>
    <definedName name="EDinding23">'A.1.5.Pekerjaan Pasangan'!$B$454:$I$472</definedName>
    <definedName name="EDinding24">'A.1.5.Pekerjaan Pasangan'!$B$474:$I$492</definedName>
    <definedName name="EDinding25">'A.1.5.Pekerjaan Pasangan'!$B$494:$I$511</definedName>
    <definedName name="EDinding26">'A.1.5.Pekerjaan Pasangan'!$B$513:$I$530</definedName>
    <definedName name="EDinding27">'A.1.5.Pekerjaan Pasangan'!#REF!</definedName>
    <definedName name="EDinding28">'A.1.5.Pekerjaan Pasangan'!$B$532:$I$551</definedName>
    <definedName name="EDinding29">'A.1.5.Pekerjaan Pasangan'!$B$553:$I$572</definedName>
    <definedName name="EDinding3">'A.1.5.Pekerjaan Pasangan'!$B$44:$J$62</definedName>
    <definedName name="EDinding30">'A.1.5.Pekerjaan Pasangan'!$B$574:$I$593</definedName>
    <definedName name="EDinding4">'A.1.5.Pekerjaan Pasangan'!$B$64:$J$82</definedName>
    <definedName name="EDinding5">'A.1.5.Pekerjaan Pasangan'!$B$84:$J$102</definedName>
    <definedName name="EDinding6">'A.1.5.Pekerjaan Pasangan'!$B$104:$J$123</definedName>
    <definedName name="EDinding7">'A.1.5.Pekerjaan Pasangan'!$B$125:$J$143</definedName>
    <definedName name="EDinding8">'A.1.5.Pekerjaan Pasangan'!$B$145:$J$163</definedName>
    <definedName name="EDinding9">'A.1.5.Pekerjaan Pasangan'!$B$165:$J$184</definedName>
    <definedName name="FBeton1">'A.1.6.Pekerjaan Beton'!$B$4:$I$23</definedName>
    <definedName name="FBeton10">'A.1.6.Pekerjaan Beton'!$B$196:$I$215</definedName>
    <definedName name="FBeton11">'A.1.6.Pekerjaan Beton'!$B$217:$I$236</definedName>
    <definedName name="FBeton12">'A.1.6.Pekerjaan Beton'!$B$238:$I$257</definedName>
    <definedName name="FBeton13">'A.1.6.Pekerjaan Beton'!$B$284:$I$303</definedName>
    <definedName name="FBeton14">'A.1.6.Pekerjaan Beton'!$B$305:$I$321</definedName>
    <definedName name="FBeton15">'A.1.6.Pekerjaan Beton'!$B$323:$I$339</definedName>
    <definedName name="FBeton16">'A.1.6.Pekerjaan Beton'!$B$341:$I$357</definedName>
    <definedName name="FBeton17">'A.1.6.Pekerjaan Beton'!$B$359:$I$376</definedName>
    <definedName name="FBeton18">'A.1.6.Pekerjaan Beton'!$B$378:$I$396</definedName>
    <definedName name="FBeton19">'A.1.6.Pekerjaan Beton'!$B$398:$I$415</definedName>
    <definedName name="FBeton2">'A.1.6.Pekerjaan Beton'!$B$25:$I$44</definedName>
    <definedName name="FBeton20">'A.1.6.Pekerjaan Beton'!$B$417:$I$435</definedName>
    <definedName name="FBeton21">'A.1.6.Pekerjaan Beton'!$B$437:$I$455</definedName>
    <definedName name="FBeton22">'A.1.6.Pekerjaan Beton'!$B$457:$I$478</definedName>
    <definedName name="FBeton23">'A.1.6.Pekerjaan Beton'!$B$480:$I$500</definedName>
    <definedName name="FBeton24">'A.1.6.Pekerjaan Beton'!$B$502:$I$523</definedName>
    <definedName name="FBeton25">'A.1.6.Pekerjaan Beton'!$B$525:$I$547</definedName>
    <definedName name="FBeton26">'A.1.6.Pekerjaan Beton'!$B$549:$I$570</definedName>
    <definedName name="FBeton27">'A.1.6.Pekerjaan Beton'!$B$572:$I$590</definedName>
    <definedName name="FBeton28">'A.1.6.Pekerjaan Beton'!$B$592:$I$616</definedName>
    <definedName name="FBeton29">'A.1.6.Pekerjaan Beton'!$B$618:$I$642</definedName>
    <definedName name="FBeton3">'A.1.6.Pekerjaan Beton'!$B$46:$I$65</definedName>
    <definedName name="FBeton30">'A.1.6.Pekerjaan Beton'!$B$644:$I$662</definedName>
    <definedName name="FBeton31">'A.1.6.Pekerjaan Beton'!$B$664:$I$683</definedName>
    <definedName name="FBeton32">'A.1.6.Pekerjaan Beton'!$B$685:$I$704</definedName>
    <definedName name="FBeton33">'A.1.6.Pekerjaan Beton'!$B$706:$I$732</definedName>
    <definedName name="FBeton34">'A.1.6.Pekerjaan Beton'!$B$734:$I$760</definedName>
    <definedName name="FBeton35">'A.1.6.Pekerjaan Beton'!$B$762:$I$784</definedName>
    <definedName name="FBeton36">'A.1.6.Pekerjaan Beton'!$B$786:$I$808</definedName>
    <definedName name="FBeton4">'A.1.6.Pekerjaan Beton'!$B$69:$I$89</definedName>
    <definedName name="FBeton5">'A.1.6.Pekerjaan Beton'!$B$91:$I$110</definedName>
    <definedName name="FBeton6">'A.1.6.Pekerjaan Beton'!$B$112:$I$131</definedName>
    <definedName name="FBeton7">'A.1.6.Pekerjaan Beton'!$B$133:$I$152</definedName>
    <definedName name="FBeton8">'A.1.6.Pekerjaan Beton'!$B$154:$I$173</definedName>
    <definedName name="FBeton9">'A.1.6.Pekerjaan Beton'!$B$175:$I$194</definedName>
    <definedName name="GPracetak1">'A.1.7.Beton Pracetak'!$B$4:$I$23</definedName>
    <definedName name="GPracetak10">'A.1.7.Beton Pracetak'!$B$182:$I$196</definedName>
    <definedName name="GPracetak11">'A.1.7.Beton Pracetak'!$B$198:$I$213</definedName>
    <definedName name="GPracetak12">'A.1.7.Beton Pracetak'!$B$215:$I$230</definedName>
    <definedName name="GPracetak13">'A.1.7.Beton Pracetak'!$B$232:$I$247</definedName>
    <definedName name="GPracetak14">'A.1.7.Beton Pracetak'!$B$249:$I$269</definedName>
    <definedName name="GPracetak15">'A.1.7.Beton Pracetak'!$B$298:$I$318</definedName>
    <definedName name="GPracetak16">'A.1.7.Beton Pracetak'!$B$346:$I$366</definedName>
    <definedName name="GPracetak17">'A.1.7.Beton Pracetak'!$B$394:$I$410</definedName>
    <definedName name="GPracetak18">'A.1.7.Beton Pracetak'!$B$412:$I$428</definedName>
    <definedName name="GPracetak19">'A.1.7.Beton Pracetak'!$B$430:$I$446</definedName>
    <definedName name="GPracetak2">'A.1.7.Beton Pracetak'!$B$25:$I$44</definedName>
    <definedName name="GPracetak20">'A.1.7.Beton Pracetak'!$B$448:$I$461</definedName>
    <definedName name="GPracetak21">'A.1.7.Beton Pracetak'!$B$463:$I$475</definedName>
    <definedName name="GPracetak22">'A.1.7.Beton Pracetak'!$B$477:$I$490</definedName>
    <definedName name="GPracetak23">'A.1.7.Beton Pracetak'!$B$492:$I$510</definedName>
    <definedName name="GPracetak24">'A.1.7.Beton Pracetak'!$B$512:$I$527</definedName>
    <definedName name="GPracetak3">'A.1.7.Beton Pracetak'!$B$46:$I$65</definedName>
    <definedName name="GPracetak4">'A.1.7.Beton Pracetak'!$B$67:$I$85</definedName>
    <definedName name="GPracetak5">'A.1.7.Beton Pracetak'!$B$87:$I$107</definedName>
    <definedName name="GPracetak6">'A.1.7.Beton Pracetak'!$B$109:$I$128</definedName>
    <definedName name="GPracetak7">'A.1.7.Beton Pracetak'!$B$130:$I$149</definedName>
    <definedName name="GPracetak8">'A.1.7.Beton Pracetak'!$B$151:$I$164</definedName>
    <definedName name="GPracetak9">'A.1.7.Beton Pracetak'!$B$166:$I$180</definedName>
    <definedName name="HPlesteran1">'A.1.8.Pekerjaan Plesteran'!$B$2:$I$19</definedName>
    <definedName name="HPlesteran10">'A.1.8.Pekerjaan Plesteran'!$B$174:$I$192</definedName>
    <definedName name="HPlesteran11">'A.1.8.Pekerjaan Plesteran'!$B$194:$I$212</definedName>
    <definedName name="HPlesteran12">'A.1.8.Pekerjaan Plesteran'!$B$214:$I$232</definedName>
    <definedName name="HPlesteran13">'A.1.8.Pekerjaan Plesteran'!$B$234:$I$251</definedName>
    <definedName name="HPlesteran14">'A.1.8.Pekerjaan Plesteran'!$B$253:$I$270</definedName>
    <definedName name="HPlesteran15">'A.1.8.Pekerjaan Plesteran'!$B$272:$I$289</definedName>
    <definedName name="HPlesteran16">'A.1.8.Pekerjaan Plesteran'!$B$291:$I$308</definedName>
    <definedName name="HPlesteran17">'A.1.8.Pekerjaan Plesteran'!$B$310:$I$327</definedName>
    <definedName name="HPlesteran18">'A.1.8.Pekerjaan Plesteran'!$B$329:$I$347</definedName>
    <definedName name="HPlesteran19">'A.1.8.Pekerjaan Plesteran'!$B$349:$I$366</definedName>
    <definedName name="HPlesteran2">'A.1.8.Pekerjaan Plesteran'!$B$21:$I$38</definedName>
    <definedName name="HPlesteran20">'A.1.8.Pekerjaan Plesteran'!$B$368:$I$385</definedName>
    <definedName name="HPlesteran21">'A.1.8.Pekerjaan Plesteran'!$B$387:$I$404</definedName>
    <definedName name="HPlesteran22">'A.1.8.Pekerjaan Plesteran'!$B$406:$I$423</definedName>
    <definedName name="HPlesteran23">'A.1.8.Pekerjaan Plesteran'!$B$425:$I$442</definedName>
    <definedName name="HPlesteran24">'A.1.8.Pekerjaan Plesteran'!$B$444:$I$460</definedName>
    <definedName name="HPlesteran25">'A.1.8.Pekerjaan Plesteran'!$B$462:$I$478</definedName>
    <definedName name="HPlesteran26">'A.1.8.Pekerjaan Plesteran'!$B$480:$I$497</definedName>
    <definedName name="HPlesteran27">'A.1.8.Pekerjaan Plesteran'!$B$499:$I$515</definedName>
    <definedName name="HPlesteran28">'A.1.8.Pekerjaan Plesteran'!$B$517:$I$533</definedName>
    <definedName name="HPlesteran29">'A.1.8.Pekerjaan Plesteran'!$B$535:$I$551</definedName>
    <definedName name="HPlesteran3">'A.1.8.Pekerjaan Plesteran'!$B$40:$I$57</definedName>
    <definedName name="HPlesteran30">'A.1.8.Pekerjaan Plesteran'!$B$553:$I$572</definedName>
    <definedName name="HPlesteran4">'A.1.8.Pekerjaan Plesteran'!$B$59:$I$76</definedName>
    <definedName name="HPlesteran5">'A.1.8.Pekerjaan Plesteran'!$B$78:$I$95</definedName>
    <definedName name="HPlesteran6">'A.1.8.Pekerjaan Plesteran'!$B$97:$I$114</definedName>
    <definedName name="HPlesteran7">'A.1.8.Pekerjaan Plesteran'!$B$116:$I$133</definedName>
    <definedName name="HPlesteran8">'A.1.8.Pekerjaan Plesteran'!$B$135:$I$153</definedName>
    <definedName name="HPlesteran9">'A.1.8.Pekerjaan Plesteran'!$B$155:$I$173</definedName>
    <definedName name="IKeramik1">'A.1.9.Pek Penutup Dinding'!$B$4:$I$22</definedName>
    <definedName name="IKeramik10">'A.1.9.Pek Penutup Dinding'!$B$189:$I$208</definedName>
    <definedName name="IKeramik11">'A.1.9.Pek Penutup Dinding'!$B$210:$I$229</definedName>
    <definedName name="IKeramik12">'A.1.9.Pek Penutup Dinding'!$B$231:$I$250</definedName>
    <definedName name="IKeramik13">'A.1.9.Pek Penutup Dinding'!$B$253:$I$272</definedName>
    <definedName name="IKeramik14">'A.1.9.Pek Penutup Dinding'!$B$274:$I$292</definedName>
    <definedName name="IKeramik15">'A.1.9.Pek Penutup Dinding'!$B$295:$I$314</definedName>
    <definedName name="IKeramik16">'A.1.9.Pek Penutup Dinding'!$B$316:$I$334</definedName>
    <definedName name="IKeramik17">'A.1.9.Pek Penutup Dinding'!$B$337:$I$355</definedName>
    <definedName name="IKeramik18">'A.1.9.Pek Penutup Dinding'!$B$357:$I$375</definedName>
    <definedName name="IKeramik19">'A.1.9.Pek Penutup Dinding'!$B$377:$I$396</definedName>
    <definedName name="IKeramik2">'A.1.9.Pek Penutup Dinding'!$B$24:$I$42</definedName>
    <definedName name="IKeramik20">'A.1.9.Pek Penutup Dinding'!$B$398:$I$417</definedName>
    <definedName name="IKeramik21">'A.1.9.Pek Penutup Dinding'!$B$419:$I$437</definedName>
    <definedName name="IKeramik22">'A.1.9.Pek Penutup Dinding'!$B$439:$I$458</definedName>
    <definedName name="IKeramik23">'A.1.9.Pek Penutup Dinding'!$B$460:$I$479</definedName>
    <definedName name="IKeramik24">'A.1.9.Pek Penutup Dinding'!$B$481:$I$500</definedName>
    <definedName name="IKeramik25">'A.1.9.Pek Penutup Dinding'!$B$501:$I$520</definedName>
    <definedName name="IKeramik26">'A.1.9.Pek Penutup Dinding'!$B$522:$I$541</definedName>
    <definedName name="IKeramik27">'A.1.9.Pek Penutup Dinding'!$B$543:$I$562</definedName>
    <definedName name="IKeramik28">'A.1.9.Pek Penutup Dinding'!$B$563:$I$582</definedName>
    <definedName name="IKeramik29">'A.1.9.Pek Penutup Dinding'!$B$584:$I$603</definedName>
    <definedName name="IKeramik3">'A.1.9.Pek Penutup Dinding'!$B$44:$I$62</definedName>
    <definedName name="IKeramik30">'A.1.9.Pek Penutup Dinding'!$B$605:$I$624</definedName>
    <definedName name="IKeramik31">'A.1.9.Pek Penutup Dinding'!$B$626:$I$643</definedName>
    <definedName name="IKeramik32">'A.1.9.Pek Penutup Dinding'!$B$645:$I$664</definedName>
    <definedName name="IKeramik33">'A.1.9.Pek Penutup Dinding'!$B$666:$I$685</definedName>
    <definedName name="IKeramik34">'A.1.9.Pek Penutup Dinding'!$B$686:$I$705</definedName>
    <definedName name="IKeramik35">'A.1.9.Pek Penutup Dinding'!$B$707:$I$726</definedName>
    <definedName name="IKeramik36">'A.1.9.Pek Penutup Dinding'!$B$728:$I$747</definedName>
    <definedName name="IKeramik37">'A.1.9.Pek Penutup Dinding'!$B$748:$I$767</definedName>
    <definedName name="IKeramik38">'A.1.9.Pek Penutup Dinding'!$B$769:$I$788</definedName>
    <definedName name="IKeramik39">'A.1.9.Pek Penutup Dinding'!$B$790:$I$809</definedName>
    <definedName name="IKeramik4">'A.1.9.Pek Penutup Dinding'!$B$64:$I$83</definedName>
    <definedName name="IKeramik40">'A.1.9.Pek Penutup Dinding'!$B$810:$I$829</definedName>
    <definedName name="IKeramik41">'A.1.9.Pek Penutup Dinding'!$B$831:$I$850</definedName>
    <definedName name="IKeramik42">'A.1.9.Pek Penutup Dinding'!$B$852:$I$871</definedName>
    <definedName name="IKeramik43">'A.1.9.Pek Penutup Dinding'!$B$872:$I$891</definedName>
    <definedName name="IKeramik44">'A.1.9.Pek Penutup Dinding'!$B$893:$I$910</definedName>
    <definedName name="IKeramik45">'A.1.9.Pek Penutup Dinding'!$B$912:$I$929</definedName>
    <definedName name="IKeramik46">'A.1.9.Pek Penutup Dinding'!$B$931:$I$948</definedName>
    <definedName name="IKeramik47">'A.1.9.Pek Penutup Dinding'!$B$950:$I$967</definedName>
    <definedName name="IKeramik48">'A.1.9.Pek Penutup Dinding'!$B$969:$I$988</definedName>
    <definedName name="IKeramik49">'A.1.9.Pek Penutup Dinding'!$B$990:$I$1009</definedName>
    <definedName name="IKeramik5">'A.1.9.Pek Penutup Dinding'!$B$85:$I$104</definedName>
    <definedName name="IKeramik50">'A.1.9.Pek Penutup Dinding'!$B$1011:$I$1030</definedName>
    <definedName name="IKeramik51">'A.1.9.Pek Penutup Dinding'!$B$1032:$I$1051</definedName>
    <definedName name="IKeramik52">'A.1.9.Pek Penutup Dinding'!$B$1052:$I$1071</definedName>
    <definedName name="IKeramik53">'A.1.9.Pek Penutup Dinding'!$B$1073:$I$1092</definedName>
    <definedName name="IKeramik54">'A.1.9.Pek Penutup Dinding'!$B$1094:$I$1113</definedName>
    <definedName name="IKeramik55">'A.1.9.Pek Penutup Dinding'!$B$1114:$I$1134</definedName>
    <definedName name="IKeramik56">'A.1.9.Pek Penutup Dinding'!$B$1136:$I$1155</definedName>
    <definedName name="IKeramik57">'A.1.9.Pek Penutup Dinding'!$B$1157:$I$1175</definedName>
    <definedName name="IKeramik58">'A.1.9.Pek Penutup Dinding'!$B$1176:$I$1194</definedName>
    <definedName name="IKeramik59">'A.1.9.Pek Penutup Dinding'!$B$1196:$I$1213</definedName>
    <definedName name="IKeramik6">'A.1.9.Pek Penutup Dinding'!$B$106:$I$125</definedName>
    <definedName name="IKeramik60">'A.1.9.Pek Penutup Dinding'!$B$1215:$I$1232</definedName>
    <definedName name="IKeramik61">'A.1.9.Pek Penutup Dinding'!$B$1234:$I$1250</definedName>
    <definedName name="IKeramik62">'A.1.9.Pek Penutup Dinding'!$B$1252:$I$1269</definedName>
    <definedName name="IKeramik63">'A.1.9.Pek Penutup Dinding'!$B$1271:$I$1288</definedName>
    <definedName name="IKeramik64">'A.1.9.Pek Penutup Dinding'!$B$1290:$I$1309</definedName>
    <definedName name="IKeramik65">'A.1.9.Pek Penutup Dinding'!$B$1311:$I$1331</definedName>
    <definedName name="IKeramik66">'A.1.9.Pek Penutup Dinding'!$B$1333:$I$1352</definedName>
    <definedName name="IKeramik67">'A.1.9.Pek Penutup Dinding'!$B$1354:$I$1373</definedName>
    <definedName name="IKeramik68">'A.1.9.Pek Penutup Dinding'!$B$1375:$I$1395</definedName>
    <definedName name="IKeramik69">'A.1.9.Pek Penutup Dinding'!$B$1397:$I$1417</definedName>
    <definedName name="IKeramik7">'A.1.9.Pek Penutup Dinding'!$B$126:$I$145</definedName>
    <definedName name="IKeramik70">'A.1.9.Pek Penutup Dinding'!$B$1419:$I$1439</definedName>
    <definedName name="IKeramik71">'A.1.9.Pek Penutup Dinding'!$B$1441:$I$1460</definedName>
    <definedName name="IKeramik72">'A.1.9.Pek Penutup Dinding'!$B$1462:$I$1482</definedName>
    <definedName name="IKeramik73">'A.1.9.Pek Penutup Dinding'!$B$1484:$I$1504</definedName>
    <definedName name="IKeramik74">'A.1.9.Pek Penutup Dinding'!$B$1506:$I$1526</definedName>
    <definedName name="IKeramik8">'A.1.9.Pek Penutup Dinding'!$B$147:$I$166</definedName>
    <definedName name="IKeramik9">'A.1.9.Pek Penutup Dinding'!$B$168:$I$187</definedName>
    <definedName name="JKonblok1">'A.1.10.Pek Konblok'!$B$3:$I$19</definedName>
    <definedName name="JKonblok2">'A.1.10.Pek Konblok'!$B$21:$I$37</definedName>
    <definedName name="JKonblok3">'A.1.10.Pek Konblok'!$B$39:$I$56</definedName>
    <definedName name="JKonblok4">'A.1.10.Pek Konblok'!$B$58:$I$74</definedName>
    <definedName name="JKonblok5">'A.1.10.Pek Konblok'!$B$76:$I$94</definedName>
    <definedName name="JKonblok6">'A.1.10.Pek Konblok'!$B$96:$I$114</definedName>
    <definedName name="keramik6060">'A.1.9.Pek Penutup Dinding'!$B$1528:$I$1548</definedName>
    <definedName name="_xlnm.Print_Area" localSheetId="3">'A.1.1.Pekerjaan Persiapan'!$B$1:$I$360</definedName>
    <definedName name="_xlnm.Print_Area" localSheetId="12">'A.1.10.Pek Konblok'!$B$1:$I$114</definedName>
    <definedName name="_xlnm.Print_Area" localSheetId="4">'A.1.2.Pekerjaan Bongkaran'!$B$1:$I$230</definedName>
    <definedName name="_xlnm.Print_Area" localSheetId="5">'A.1.3.Pekerjaan Tanah'!$B$1:$I$303</definedName>
    <definedName name="_xlnm.Print_Area" localSheetId="6">'A.1.4.Pekerjaan Pondasi'!$B$1:$I$229</definedName>
    <definedName name="_xlnm.Print_Area" localSheetId="7">'A.1.5.Pekerjaan Pasangan'!$B$1:$I$593</definedName>
    <definedName name="_xlnm.Print_Area" localSheetId="8">'A.1.6.Pekerjaan Beton'!$B$1:$I$808</definedName>
    <definedName name="_xlnm.Print_Area" localSheetId="9">'A.1.7.Beton Pracetak'!$B$1:$I$527</definedName>
    <definedName name="_xlnm.Print_Area" localSheetId="10">'A.1.8.Pekerjaan Plesteran'!$B$1:$I$572</definedName>
    <definedName name="_xlnm.Print_Area" localSheetId="11">'A.1.9.Pek Penutup Dinding'!$B$1:$I$1548</definedName>
    <definedName name="_xlnm.Print_Area" localSheetId="0">'DAFTAR ISI'!$B$1:$C$277</definedName>
  </definedNames>
  <calcPr calcId="124519"/>
</workbook>
</file>

<file path=xl/calcChain.xml><?xml version="1.0" encoding="utf-8"?>
<calcChain xmlns="http://schemas.openxmlformats.org/spreadsheetml/2006/main">
  <c r="I1544" i="15"/>
  <c r="I1545" s="1"/>
  <c r="I1541"/>
  <c r="I1540"/>
  <c r="I1538"/>
  <c r="I1535"/>
  <c r="I1534"/>
  <c r="I1536" l="1"/>
  <c r="I1542"/>
  <c r="G68" i="16"/>
  <c r="G31"/>
  <c r="C70" i="3"/>
  <c r="I74"/>
  <c r="I75"/>
  <c r="I78"/>
  <c r="I79" s="1"/>
  <c r="I81"/>
  <c r="I82" s="1"/>
  <c r="I1546" i="15" l="1"/>
  <c r="H1547" s="1"/>
  <c r="I1547" s="1"/>
  <c r="I1548" s="1"/>
  <c r="I76" i="3"/>
  <c r="I83" s="1"/>
  <c r="H84" l="1"/>
  <c r="I84" s="1"/>
  <c r="I85" s="1"/>
  <c r="C239" i="17" l="1"/>
  <c r="C203"/>
  <c r="C121"/>
  <c r="C90"/>
  <c r="D35"/>
  <c r="D36" s="1"/>
  <c r="D37" s="1"/>
  <c r="D38" s="1"/>
  <c r="D39" s="1"/>
  <c r="D40" s="1"/>
  <c r="D41" s="1"/>
  <c r="D42" s="1"/>
  <c r="D43" s="1"/>
  <c r="D44" s="1"/>
  <c r="D45" s="1"/>
  <c r="D46" s="1"/>
  <c r="D47" s="1"/>
  <c r="D48" s="1"/>
  <c r="D13"/>
  <c r="D14" l="1"/>
  <c r="D15" s="1"/>
  <c r="D16" l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C96" i="16" l="1"/>
  <c r="C76"/>
  <c r="C2"/>
  <c r="I110" l="1"/>
  <c r="I111" s="1"/>
  <c r="I106"/>
  <c r="I103"/>
  <c r="I102"/>
  <c r="I90"/>
  <c r="I91" s="1"/>
  <c r="I86"/>
  <c r="I83"/>
  <c r="I82"/>
  <c r="C1484" i="15"/>
  <c r="C1441"/>
  <c r="C1419"/>
  <c r="I1522"/>
  <c r="I1523" s="1"/>
  <c r="I1519"/>
  <c r="I1518"/>
  <c r="I1516"/>
  <c r="I1513"/>
  <c r="I1512"/>
  <c r="I1500"/>
  <c r="I1501" s="1"/>
  <c r="I1497"/>
  <c r="I1496"/>
  <c r="I1494"/>
  <c r="I1491"/>
  <c r="I1490"/>
  <c r="I1478"/>
  <c r="I1479" s="1"/>
  <c r="I1475"/>
  <c r="I1474"/>
  <c r="I1472"/>
  <c r="I1469"/>
  <c r="I1468"/>
  <c r="I1456"/>
  <c r="I1457" s="1"/>
  <c r="I1453"/>
  <c r="I1451"/>
  <c r="I1448"/>
  <c r="I1447"/>
  <c r="I1435"/>
  <c r="I1436" s="1"/>
  <c r="I1432"/>
  <c r="I1431"/>
  <c r="I1429"/>
  <c r="I1426"/>
  <c r="I1425"/>
  <c r="C1397"/>
  <c r="C1375"/>
  <c r="I104" i="16" l="1"/>
  <c r="I108"/>
  <c r="I84"/>
  <c r="I88"/>
  <c r="I1427" i="15"/>
  <c r="I1433"/>
  <c r="I1470"/>
  <c r="I1476"/>
  <c r="I1492"/>
  <c r="I1498"/>
  <c r="I1449"/>
  <c r="I1454"/>
  <c r="I1514"/>
  <c r="I1520"/>
  <c r="C1354"/>
  <c r="C1333"/>
  <c r="I1413"/>
  <c r="I1414" s="1"/>
  <c r="I1410"/>
  <c r="I1409"/>
  <c r="I1407"/>
  <c r="I1404"/>
  <c r="I1403"/>
  <c r="I1391"/>
  <c r="I1392" s="1"/>
  <c r="I1388"/>
  <c r="I1387"/>
  <c r="I1385"/>
  <c r="I1382"/>
  <c r="I1381"/>
  <c r="I1369"/>
  <c r="I1370" s="1"/>
  <c r="I1366"/>
  <c r="I1364"/>
  <c r="I1361"/>
  <c r="I1360"/>
  <c r="I1348"/>
  <c r="I1349" s="1"/>
  <c r="I1345"/>
  <c r="I1343"/>
  <c r="I1340"/>
  <c r="I1339"/>
  <c r="I1327"/>
  <c r="I1328" s="1"/>
  <c r="I1324"/>
  <c r="I1323"/>
  <c r="I1321"/>
  <c r="I1318"/>
  <c r="I1317"/>
  <c r="C1290"/>
  <c r="C207" i="7"/>
  <c r="C2" i="15"/>
  <c r="I1305"/>
  <c r="I1306" s="1"/>
  <c r="I1302"/>
  <c r="I1300"/>
  <c r="I1297"/>
  <c r="I1296"/>
  <c r="I1480" l="1"/>
  <c r="H1481" s="1"/>
  <c r="I1481" s="1"/>
  <c r="I1482" s="1"/>
  <c r="I1437"/>
  <c r="H1438" s="1"/>
  <c r="I1438" s="1"/>
  <c r="I1439" s="1"/>
  <c r="I112" i="16"/>
  <c r="H113" s="1"/>
  <c r="I113" s="1"/>
  <c r="I114" s="1"/>
  <c r="I92"/>
  <c r="I1524" i="15"/>
  <c r="H1525" s="1"/>
  <c r="I1525" s="1"/>
  <c r="I1526" s="1"/>
  <c r="I1502"/>
  <c r="H1503" s="1"/>
  <c r="I1503" s="1"/>
  <c r="I1504" s="1"/>
  <c r="I1458"/>
  <c r="H1459" s="1"/>
  <c r="I1459" s="1"/>
  <c r="I1460" s="1"/>
  <c r="I1341"/>
  <c r="I1346"/>
  <c r="I1362"/>
  <c r="I1383"/>
  <c r="I1389"/>
  <c r="I1298"/>
  <c r="I1303"/>
  <c r="I1319"/>
  <c r="I1405"/>
  <c r="I1411"/>
  <c r="I1367"/>
  <c r="I1371" s="1"/>
  <c r="H1372" s="1"/>
  <c r="I1372" s="1"/>
  <c r="I1373" s="1"/>
  <c r="I1325"/>
  <c r="C553" i="14"/>
  <c r="C173" i="7"/>
  <c r="C1" i="14"/>
  <c r="I568"/>
  <c r="I569" s="1"/>
  <c r="I565"/>
  <c r="I563"/>
  <c r="I560"/>
  <c r="I559"/>
  <c r="C786" i="13"/>
  <c r="C762"/>
  <c r="C734"/>
  <c r="C706"/>
  <c r="I804"/>
  <c r="I805" s="1"/>
  <c r="I801"/>
  <c r="I799"/>
  <c r="I797"/>
  <c r="I794"/>
  <c r="I780"/>
  <c r="I781" s="1"/>
  <c r="I777"/>
  <c r="I775"/>
  <c r="I773"/>
  <c r="I770"/>
  <c r="I768"/>
  <c r="I756"/>
  <c r="I757" s="1"/>
  <c r="I753"/>
  <c r="I752"/>
  <c r="I750"/>
  <c r="I741"/>
  <c r="I740"/>
  <c r="I728"/>
  <c r="I729" s="1"/>
  <c r="I725"/>
  <c r="I723"/>
  <c r="I713"/>
  <c r="I712"/>
  <c r="C685"/>
  <c r="C664"/>
  <c r="I700"/>
  <c r="I701" s="1"/>
  <c r="I697"/>
  <c r="I695"/>
  <c r="I693"/>
  <c r="I690"/>
  <c r="I689"/>
  <c r="I679"/>
  <c r="I680" s="1"/>
  <c r="I676"/>
  <c r="I674"/>
  <c r="I671"/>
  <c r="I670"/>
  <c r="C644"/>
  <c r="C116" i="7"/>
  <c r="C2" i="13"/>
  <c r="I658"/>
  <c r="I659" s="1"/>
  <c r="I654"/>
  <c r="I651"/>
  <c r="I650"/>
  <c r="C574" i="12"/>
  <c r="I589"/>
  <c r="I590" s="1"/>
  <c r="I586"/>
  <c r="I584"/>
  <c r="I581"/>
  <c r="I580"/>
  <c r="C553"/>
  <c r="I568"/>
  <c r="I569" s="1"/>
  <c r="I565"/>
  <c r="I563"/>
  <c r="I560"/>
  <c r="I559"/>
  <c r="I547"/>
  <c r="I548" s="1"/>
  <c r="I544"/>
  <c r="I542"/>
  <c r="I539"/>
  <c r="I538"/>
  <c r="I561" i="14" l="1"/>
  <c r="I540" i="12"/>
  <c r="I566" i="14"/>
  <c r="I677" i="13"/>
  <c r="I691"/>
  <c r="I561" i="12"/>
  <c r="I672" i="13"/>
  <c r="I698"/>
  <c r="H93" i="16"/>
  <c r="I93" s="1"/>
  <c r="I94" s="1"/>
  <c r="I1350" i="15"/>
  <c r="H1351" s="1"/>
  <c r="I1351" s="1"/>
  <c r="I1352" s="1"/>
  <c r="I1329"/>
  <c r="H1330" s="1"/>
  <c r="I1330" s="1"/>
  <c r="I1331" s="1"/>
  <c r="I1307"/>
  <c r="H1308" s="1"/>
  <c r="I1308" s="1"/>
  <c r="I1309" s="1"/>
  <c r="I1393"/>
  <c r="H1394" s="1"/>
  <c r="I1394" s="1"/>
  <c r="I1395" s="1"/>
  <c r="I1415"/>
  <c r="H1416" s="1"/>
  <c r="I1416" s="1"/>
  <c r="I1417" s="1"/>
  <c r="I714" i="13"/>
  <c r="I726"/>
  <c r="I742"/>
  <c r="I754"/>
  <c r="I771"/>
  <c r="I778"/>
  <c r="I795"/>
  <c r="I802"/>
  <c r="I652"/>
  <c r="I656"/>
  <c r="I587" i="12"/>
  <c r="I582"/>
  <c r="I566"/>
  <c r="I545"/>
  <c r="C2"/>
  <c r="C87" i="7"/>
  <c r="C2" i="10"/>
  <c r="C286" i="9"/>
  <c r="I299"/>
  <c r="I300" s="1"/>
  <c r="I296"/>
  <c r="C296"/>
  <c r="I295"/>
  <c r="I292"/>
  <c r="C292"/>
  <c r="I291"/>
  <c r="C268"/>
  <c r="C251"/>
  <c r="I280"/>
  <c r="I281" s="1"/>
  <c r="I277"/>
  <c r="I278" s="1"/>
  <c r="I273"/>
  <c r="C273"/>
  <c r="I272"/>
  <c r="I262"/>
  <c r="I263" s="1"/>
  <c r="I259"/>
  <c r="I260" s="1"/>
  <c r="I256"/>
  <c r="C256"/>
  <c r="I255"/>
  <c r="I549" i="12" l="1"/>
  <c r="I806" i="13"/>
  <c r="H807" s="1"/>
  <c r="I807" s="1"/>
  <c r="I808" s="1"/>
  <c r="I275" i="9"/>
  <c r="I282" s="1"/>
  <c r="I570" i="14"/>
  <c r="H571" s="1"/>
  <c r="I571" s="1"/>
  <c r="I572" s="1"/>
  <c r="I681" i="13"/>
  <c r="H682" s="1"/>
  <c r="I682" s="1"/>
  <c r="I683" s="1"/>
  <c r="I702"/>
  <c r="H703" s="1"/>
  <c r="I703" s="1"/>
  <c r="I704" s="1"/>
  <c r="I591" i="12"/>
  <c r="H592" s="1"/>
  <c r="I592" s="1"/>
  <c r="I593" s="1"/>
  <c r="I758" i="13"/>
  <c r="H759" s="1"/>
  <c r="I759" s="1"/>
  <c r="I760" s="1"/>
  <c r="I570" i="12"/>
  <c r="H571" s="1"/>
  <c r="I571" s="1"/>
  <c r="I572" s="1"/>
  <c r="I257" i="9"/>
  <c r="I264" s="1"/>
  <c r="H265" s="1"/>
  <c r="I265" s="1"/>
  <c r="I266" s="1"/>
  <c r="I293"/>
  <c r="I782" i="13"/>
  <c r="H783" s="1"/>
  <c r="I783" s="1"/>
  <c r="I784" s="1"/>
  <c r="I730"/>
  <c r="H731" s="1"/>
  <c r="I731" s="1"/>
  <c r="I732" s="1"/>
  <c r="I660"/>
  <c r="H661" s="1"/>
  <c r="I661" s="1"/>
  <c r="I662" s="1"/>
  <c r="H550" i="12"/>
  <c r="I550" s="1"/>
  <c r="I551" s="1"/>
  <c r="I297" i="9"/>
  <c r="I245"/>
  <c r="I246" s="1"/>
  <c r="I242"/>
  <c r="I241"/>
  <c r="C241"/>
  <c r="C242" s="1"/>
  <c r="I240"/>
  <c r="I237"/>
  <c r="C237"/>
  <c r="I236"/>
  <c r="I301" l="1"/>
  <c r="H302" s="1"/>
  <c r="I302" s="1"/>
  <c r="I303" s="1"/>
  <c r="I238"/>
  <c r="I243"/>
  <c r="H283"/>
  <c r="I283" s="1"/>
  <c r="I284" s="1"/>
  <c r="C2"/>
  <c r="I247" l="1"/>
  <c r="H248" s="1"/>
  <c r="I248" s="1"/>
  <c r="I249" s="1"/>
  <c r="C40" i="3"/>
  <c r="C337" i="8" l="1"/>
  <c r="C349"/>
  <c r="C350" s="1"/>
  <c r="C351" s="1"/>
  <c r="C352" s="1"/>
  <c r="C353" s="1"/>
  <c r="C343"/>
  <c r="C344" s="1"/>
  <c r="C345" s="1"/>
  <c r="C309"/>
  <c r="C323"/>
  <c r="C324" s="1"/>
  <c r="C325" s="1"/>
  <c r="C326" s="1"/>
  <c r="C327" s="1"/>
  <c r="C328" s="1"/>
  <c r="C316"/>
  <c r="C317" s="1"/>
  <c r="C318" s="1"/>
  <c r="C319" s="1"/>
  <c r="C12" l="1"/>
  <c r="D11" i="7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C2" i="3" l="1"/>
  <c r="C52"/>
  <c r="D32" i="7"/>
  <c r="D33" s="1"/>
  <c r="D34" s="1"/>
  <c r="D35" s="1"/>
  <c r="D36" s="1"/>
  <c r="D37" s="1"/>
  <c r="D38" s="1"/>
  <c r="D39" s="1"/>
  <c r="D40" s="1"/>
  <c r="D41" s="1"/>
  <c r="D42" s="1"/>
  <c r="D43" s="1"/>
  <c r="D44" s="1"/>
  <c r="D45" s="1"/>
  <c r="C61" i="3"/>
  <c r="C222" l="1"/>
  <c r="C223" s="1"/>
  <c r="C216"/>
  <c r="C217" s="1"/>
  <c r="C218" s="1"/>
  <c r="C162"/>
  <c r="C163" s="1"/>
  <c r="C164" s="1"/>
  <c r="I92"/>
  <c r="I98"/>
  <c r="I99" s="1"/>
  <c r="I95"/>
  <c r="I91"/>
  <c r="I60"/>
  <c r="I64"/>
  <c r="I65" s="1"/>
  <c r="I57"/>
  <c r="I56"/>
  <c r="I46"/>
  <c r="I47" s="1"/>
  <c r="I43"/>
  <c r="I40"/>
  <c r="I39"/>
  <c r="I58" l="1"/>
  <c r="I62"/>
  <c r="I96"/>
  <c r="H173"/>
  <c r="I93"/>
  <c r="I41"/>
  <c r="I44"/>
  <c r="H207" l="1"/>
  <c r="H137"/>
  <c r="I66"/>
  <c r="H67" s="1"/>
  <c r="I67" s="1"/>
  <c r="I68" s="1"/>
  <c r="H154"/>
  <c r="H190"/>
  <c r="I100"/>
  <c r="H101" s="1"/>
  <c r="I101" s="1"/>
  <c r="I102" s="1"/>
  <c r="H229"/>
  <c r="H118"/>
  <c r="I119" s="1"/>
  <c r="I48"/>
  <c r="H49" s="1"/>
  <c r="I49" s="1"/>
  <c r="I50" s="1"/>
</calcChain>
</file>

<file path=xl/sharedStrings.xml><?xml version="1.0" encoding="utf-8"?>
<sst xmlns="http://schemas.openxmlformats.org/spreadsheetml/2006/main" count="13410" uniqueCount="1664">
  <si>
    <t>No</t>
  </si>
  <si>
    <t>Uraian</t>
  </si>
  <si>
    <t>Kode</t>
  </si>
  <si>
    <t>Satuan</t>
  </si>
  <si>
    <t>Koefisien</t>
  </si>
  <si>
    <t>Harga Satuan</t>
  </si>
  <si>
    <t>(Rp)</t>
  </si>
  <si>
    <t>A</t>
  </si>
  <si>
    <t>B</t>
  </si>
  <si>
    <t>C</t>
  </si>
  <si>
    <t>Pekerja</t>
  </si>
  <si>
    <t>Mandor</t>
  </si>
  <si>
    <t>D</t>
  </si>
  <si>
    <t>E</t>
  </si>
  <si>
    <t>F</t>
  </si>
  <si>
    <t>bh</t>
  </si>
  <si>
    <t>L.01</t>
  </si>
  <si>
    <t>L.04</t>
  </si>
  <si>
    <t>Jumlah Harga Bahan</t>
  </si>
  <si>
    <t>m3</t>
  </si>
  <si>
    <t>Kepala tukang</t>
  </si>
  <si>
    <t>L.03</t>
  </si>
  <si>
    <t>L.02</t>
  </si>
  <si>
    <t>Tenaga Kerja</t>
  </si>
  <si>
    <t>Tukang</t>
  </si>
  <si>
    <t>Tukang gali</t>
  </si>
  <si>
    <t>Tukang kayu</t>
  </si>
  <si>
    <t>Tukang penganyam bronjong</t>
  </si>
  <si>
    <t>Tukang tebas</t>
  </si>
  <si>
    <t>Tukang las</t>
  </si>
  <si>
    <t>Juru ukur</t>
  </si>
  <si>
    <t>L.05</t>
  </si>
  <si>
    <t>L.06</t>
  </si>
  <si>
    <t>Ahli alat berat (mekanik)</t>
  </si>
  <si>
    <t>L.07</t>
  </si>
  <si>
    <t>L.08</t>
  </si>
  <si>
    <t>Pembantu operator</t>
  </si>
  <si>
    <t>L.09</t>
  </si>
  <si>
    <t>L.10</t>
  </si>
  <si>
    <t>Kenek truk</t>
  </si>
  <si>
    <t>L.11</t>
  </si>
  <si>
    <t>Penjaga malam</t>
  </si>
  <si>
    <t>L.12</t>
  </si>
  <si>
    <t>L.13</t>
  </si>
  <si>
    <t>Design Engineer</t>
  </si>
  <si>
    <t>L.14</t>
  </si>
  <si>
    <t>L.15</t>
  </si>
  <si>
    <t>Lainnya</t>
  </si>
  <si>
    <t>L.16</t>
  </si>
  <si>
    <t>Tukang batu/ tembok</t>
  </si>
  <si>
    <t>Tukang besi/ besi beton</t>
  </si>
  <si>
    <t>Tukang cat/ politur</t>
  </si>
  <si>
    <t>Tukang pipa/ operator pompa</t>
  </si>
  <si>
    <t>Pembantu juru ukur</t>
  </si>
  <si>
    <t>Operator alat berat</t>
  </si>
  <si>
    <t>Operator printer/ plotter</t>
  </si>
  <si>
    <t>kg</t>
  </si>
  <si>
    <t>lbr</t>
  </si>
  <si>
    <r>
      <t>Juru gambar</t>
    </r>
    <r>
      <rPr>
        <i/>
        <sz val="10"/>
        <color theme="1"/>
        <rFont val="Times New Roman"/>
        <family val="1"/>
      </rPr>
      <t xml:space="preserve"> (drafter)</t>
    </r>
  </si>
  <si>
    <t>Jumlah</t>
  </si>
  <si>
    <t>Jumlah Harga Tenaga Kerja</t>
  </si>
  <si>
    <t>Bahan</t>
  </si>
  <si>
    <t>Peralatan</t>
  </si>
  <si>
    <t>Jumlah Harga Peralatan</t>
  </si>
  <si>
    <t>Jumlah Harga Tenaga, Bahan dan Peralatan ( A + B + C )</t>
  </si>
  <si>
    <t>Overhead + Profit</t>
  </si>
  <si>
    <t>oh</t>
  </si>
  <si>
    <t>DAFTAR HARGA SATUAN TENAGA KERJA</t>
  </si>
  <si>
    <t>Oh</t>
  </si>
  <si>
    <t>( Rp. )</t>
  </si>
  <si>
    <t xml:space="preserve">Harga Satuan </t>
  </si>
  <si>
    <t>m2</t>
  </si>
  <si>
    <t>Tukang cat</t>
  </si>
  <si>
    <t>Harga Satuan Pekerjaan ( D + E )</t>
  </si>
  <si>
    <t>Tenaga</t>
  </si>
  <si>
    <t>ok</t>
  </si>
  <si>
    <t>Ampelas</t>
  </si>
  <si>
    <t xml:space="preserve">Tenaga </t>
  </si>
  <si>
    <t>Kapur sirih</t>
  </si>
  <si>
    <t>Alang-alang</t>
  </si>
  <si>
    <t>ikat</t>
  </si>
  <si>
    <t>ltr</t>
  </si>
  <si>
    <t>KELOMPOK PEKERJAAN</t>
  </si>
  <si>
    <t>JENIS PEKERJAAN</t>
  </si>
  <si>
    <t>Paku</t>
  </si>
  <si>
    <t>PEKERJAAN PERSIAPAN</t>
  </si>
  <si>
    <t>Pagar Sementara dari Seng Gelombang tinggi 2 m</t>
  </si>
  <si>
    <t>Pagar Sementara dari Kawat Duri tinggi 1.8 m</t>
  </si>
  <si>
    <t>Pagar Sementara dari Kayu tinggi 2 m</t>
  </si>
  <si>
    <t>Pasang pagar kawat jaring galvanis, tinggi 1,00 m</t>
  </si>
  <si>
    <t>Membuat Papan Nama Proyek 80x120 cm (bahan flexi)</t>
  </si>
  <si>
    <t>PEKERJAAN BONGKARAN</t>
  </si>
  <si>
    <t>PEKERJAAN TANAH</t>
  </si>
  <si>
    <t>PEKERJAAN PONDASI</t>
  </si>
  <si>
    <t>Pasangan pondasi 1 Pc : 2 Ps</t>
  </si>
  <si>
    <t>Memasang pondasi batu belah, campuran 1 PC : 3 PP</t>
  </si>
  <si>
    <t>Memasang pondasi batu belah, campuran 1 PC : 4 PP</t>
  </si>
  <si>
    <t>Memasang pondasi batu belah, campuran 1 PC : 5 PP</t>
  </si>
  <si>
    <t>Memasang pondasi batu belah, campuran 1 PC : 6 PP</t>
  </si>
  <si>
    <t>Memasang pondasi batu belah, campuran 1 PC : 8 PP</t>
  </si>
  <si>
    <t>Memasang pondasi batu belah, campuran 1 KP : 1 SM : 2 PP</t>
  </si>
  <si>
    <t>Pasangan pondasi 1 Pc : 3 Kp : 5 Ps</t>
  </si>
  <si>
    <t>Memasang pondasi batu belah, campuran 1 PC : 3 KP : 10 PP</t>
  </si>
  <si>
    <t>Memasang pondasi batu belah, campuran 1/4 PC : 1 KP : 4 PP</t>
  </si>
  <si>
    <t>Memasang batu kosong (aanstamping)</t>
  </si>
  <si>
    <t>Memasang pondasi siklop, 60% beton campuran 1 PC:2 PB:3 KR dan 40% batu belah</t>
  </si>
  <si>
    <t>Memasang pondasi siklop, 60% beton campuran 1 PC:2 PB:3 KR dan 40% batu belah tanpa besi</t>
  </si>
  <si>
    <t>Memasang pondasi sumuran, diameter 100 cm</t>
  </si>
  <si>
    <t>Memasang dinding bata merah ukuran (5 x 11 x 22) cm tebal 1 bata, campuran spesi 1 PC : 3 PP</t>
  </si>
  <si>
    <t>Memasang dinding bata merah ukuran (5 x 11 x 22) cm tebal 1 bata, campuran spesi 1 PC : 4 PP</t>
  </si>
  <si>
    <t>Memasang dinding bata merah ukuran (5 x 11 x 22) cm tebal 1 bata, campuran spesi 1 PC : 5 PP</t>
  </si>
  <si>
    <t>Memasang dinding bata merah ukuran (5 x 11 x 22) cm tebal 1 bata, campuran spesi 1 PC : 6 PP</t>
  </si>
  <si>
    <t>Memasang dinding bata merah ukuran (5 x 11 x 22) cm tebal 1 bata, campuran spesi 1 PC : 3 KP : 10 PP</t>
  </si>
  <si>
    <t>Memasang dinding bata merah ukuran (5 x 11 x 22) cm tebal 1/2 bata, campuran spesi 1 PC : 2 PP</t>
  </si>
  <si>
    <t>Memasang dinding bata merah ukuran (5 x 11 x 22) cm tebal 1/2 bata, campuran spesi 1 PC : 3 PP</t>
  </si>
  <si>
    <t>Memasang dinding bata merah ukuran (5 x 11 x 22) cm tebal 1/2 bata, campuran spesi 1 PC : 4 PP</t>
  </si>
  <si>
    <t>Memasang dinding bata merah ukuran (5 x 11 x 22) cm tebal 1/2 bata, campuran spesi 1 PC : 5 PP</t>
  </si>
  <si>
    <t>Memasang dinding bata merah ukuran (5 x 11 x 22) cm tebal 1/2 bata, campuran spesi 1 PC : 6 PP</t>
  </si>
  <si>
    <t>Memasang dinding bata merah ukuran (5 x 11 x 22) cm tebal 1/2 bata, campuran spesi 1 PC : 3 KP : 10 PP</t>
  </si>
  <si>
    <t>Memasang  dinding bata merah ukuran (5 x 11 x 22) cm tebal 1/2 bata, campuran spesi 1 KP : 1 SM : 1 PP</t>
  </si>
  <si>
    <t>Memasang dinding bata merah ukuran (5 x 11 x 22) cm tebal 1/2 bata, campuran spesi 1 KP : 1 SM : 2 PP</t>
  </si>
  <si>
    <t>Memasang dinding HB/CB 20, campuran spesi 1 PC : 3 PP</t>
  </si>
  <si>
    <t>Memasang dinding HB/CB 20, campuran spesi 1 PC : 4 PP</t>
  </si>
  <si>
    <t>Memasang dinding HB/CB 15, campuran spesi 1 PC : 3 PP</t>
  </si>
  <si>
    <t>Memasang dinding HB/CB 15, campuran spesi 1 PC : 4 PP</t>
  </si>
  <si>
    <t>Memasang dinding HB/CB 10, campuran spesi 1 PC : 3 PP</t>
  </si>
  <si>
    <t>Memasang dinding HB/CB 10, campuran spesi 1 PC : 4 PP</t>
  </si>
  <si>
    <t>Pasangan dinding batako</t>
  </si>
  <si>
    <t>Memasang dinding terawang (roster) ukuran 25 x 25 cm, campuran spesi 1 PC : 3 PP</t>
  </si>
  <si>
    <t>Memasang dinding terawang (roster) ukuran 20 x 20 cm, campuran spesi 1 PC : 3 PP</t>
  </si>
  <si>
    <t>Memasang dinding terawang (roster) ukuran (12 x 11 x 24) cm, campuran spesi 1 PC : 3 PP</t>
  </si>
  <si>
    <t>Memasang dinding terawang (roster) ukuran (12 x 11 x 24) cm, campuran spesi 1 PC : 4 PP</t>
  </si>
  <si>
    <t>Memasang dinding bata berongga ekspose ukuran (5 x 11 x 24) cm, campuran spesi 1 PC : 3 PP</t>
  </si>
  <si>
    <t>Memasang rollag bata , campuran spesi 1 PC : 3 PP</t>
  </si>
  <si>
    <t>Pekerjaan Pengukuran Gedung 1 m2</t>
  </si>
  <si>
    <t>Membersihkan Lapangan dan Perataan 1 m2</t>
  </si>
  <si>
    <t>Pembuatan jalan sementara, tebal 25 cm per 1 m2</t>
  </si>
  <si>
    <t>Batu belah</t>
  </si>
  <si>
    <t>Kerikil</t>
  </si>
  <si>
    <t>Pasir</t>
  </si>
  <si>
    <t>Pembuatan Jalan Sementara 1 m2</t>
  </si>
  <si>
    <t xml:space="preserve">Pasir Pasang </t>
  </si>
  <si>
    <t>Pekerjaan  Kantor Direksi Keet , dengan lantai plesteran 1 m2</t>
  </si>
  <si>
    <t>Tukang batu</t>
  </si>
  <si>
    <t>Pasir beton</t>
  </si>
  <si>
    <t>Bata merah</t>
  </si>
  <si>
    <t xml:space="preserve">Pekerjaan Pengukuran  &amp; Pemasangan Bowplank </t>
  </si>
  <si>
    <t>Residu</t>
  </si>
  <si>
    <t>Tukang besi</t>
  </si>
  <si>
    <t>Pembuatan Gudang Semen dan Alat - alat 1 m2</t>
  </si>
  <si>
    <t>Pembuatan Rumah Jaga / Konstruksi Kayu 1 m2</t>
  </si>
  <si>
    <t>Pembuatan Bedeng Buruh 1 m2</t>
  </si>
  <si>
    <t>Pembuatan Bak Adukan ( 40 x 50 x 20 ) cm 1 m2</t>
  </si>
  <si>
    <t xml:space="preserve">Membuat Papan Nama Proyek 80x120 cm (bahan seng) </t>
  </si>
  <si>
    <t xml:space="preserve">Pasang pagar beton pracetak ( 5 x 50 x 213 ) cm </t>
  </si>
  <si>
    <t>Batu pecah 2/3</t>
  </si>
  <si>
    <t>PC</t>
  </si>
  <si>
    <t>Kayu meranti</t>
  </si>
  <si>
    <t>Seng plat lebar 90 cm</t>
  </si>
  <si>
    <t>Cat kayu</t>
  </si>
  <si>
    <t>Kerikil beton</t>
  </si>
  <si>
    <t>m1</t>
  </si>
  <si>
    <t>Print outdoor flexi</t>
  </si>
  <si>
    <t>Membongkar pasangan batu kali 1 m3</t>
  </si>
  <si>
    <t>Membongkar pasangan batu merah dan membersihkan 1 m3</t>
  </si>
  <si>
    <t>Membongkar beton bertulang dan membersihkan 1 m3</t>
  </si>
  <si>
    <t>Pekerjaan bongkar lantai tegel untuk dipergunakan lagi 1 m2</t>
  </si>
  <si>
    <t>Mengupas plesteran lama 1 m2</t>
  </si>
  <si>
    <t>Membongkar genteng / sirap untuk dipergunakan lagi 1 m2</t>
  </si>
  <si>
    <t>Membongkar atap seng 1 m2</t>
  </si>
  <si>
    <t>Membongkar usuk / reng dipakai lagi 1 m2</t>
  </si>
  <si>
    <t>Membongkar usuk / reng tidak dipakai lagi 1 m2</t>
  </si>
  <si>
    <t>Membongkar Plafon dgn rangka, tidak digunakan lagi 1 m2</t>
  </si>
  <si>
    <t>Kepala Tukang  Kayu</t>
  </si>
  <si>
    <t>Kepala Tukang Kayu</t>
  </si>
  <si>
    <t>Mengerjakan kembali bangunan kayu yang telah dibongkar 1 m3</t>
  </si>
  <si>
    <t>Membongkar kayu balok loteng, kuda-kuda, dlurung, jembatan tidak digunakan lagi 1 m3</t>
  </si>
  <si>
    <t>Membongkar kayu balok loteng, kuda-kuda, dlurung, jembatan untuk digunakan lagi 1 m3</t>
  </si>
  <si>
    <t>Menggali tanah biasa sedalam 1 meter 1 m3</t>
  </si>
  <si>
    <t>Urug kembali bekas galian m3</t>
  </si>
  <si>
    <t>Membuang tanah sejauh 30 meter m3</t>
  </si>
  <si>
    <t>Membuang tanah sejauh 150 meter m3</t>
  </si>
  <si>
    <t>Memadatkan tanah (per 20 cm) m3</t>
  </si>
  <si>
    <t>Menggali tanah biasa sedalam 2 meter m3</t>
  </si>
  <si>
    <t>Menggali tanah biasa sedalam 3 meter m3</t>
  </si>
  <si>
    <t>Menggali tanah keras sedalam 1 meter m3</t>
  </si>
  <si>
    <t>Menggali tanah cadas sedalam 1 meter m3</t>
  </si>
  <si>
    <t>Menggali tanah lumpur sedalam 1 meter m3</t>
  </si>
  <si>
    <t>Mengerjakan stripping tebing setinggi 1 meter m2</t>
  </si>
  <si>
    <t>Membuang tanah sejauh 15 meter m3</t>
  </si>
  <si>
    <t>Mengurug kembali m3</t>
  </si>
  <si>
    <t>Meratakan tanah ditumbuk halus m2</t>
  </si>
  <si>
    <t>Mengurug pasir urug m3</t>
  </si>
  <si>
    <t>Memasang Lapisan pudel campuran 1 KP : 3 PP : 7 TL untuk stabilisasi tanah m3</t>
  </si>
  <si>
    <t>Memasang Lapisan pudel campuran 1 KP : 5 TL untuk stabilisasi tanah m3</t>
  </si>
  <si>
    <t>Memasang lapisan ijuk tebal 10 cm, untuk bidang resapan m2</t>
  </si>
  <si>
    <t>Pemasangan lapisan ijuk m3</t>
  </si>
  <si>
    <t>Mengurug sirtu padat untuk peninggian lantai bangunan m3</t>
  </si>
  <si>
    <t>Mengurug tanah m3</t>
  </si>
  <si>
    <t>Membuang tanah dengan menghampar m3</t>
  </si>
  <si>
    <t>Membuat sumur m1</t>
  </si>
  <si>
    <t>Gebalan rumput m2</t>
  </si>
  <si>
    <t>Pasir urug</t>
  </si>
  <si>
    <t>Kapur padam</t>
  </si>
  <si>
    <t>Ijuk</t>
  </si>
  <si>
    <t>Tanah urug</t>
  </si>
  <si>
    <t>Tukang gali sumur</t>
  </si>
  <si>
    <t>Buis beton D. 80 cm</t>
  </si>
  <si>
    <t>Bambu</t>
  </si>
  <si>
    <t>Gebalan rumput</t>
  </si>
  <si>
    <t>Kepala tukang batu</t>
  </si>
  <si>
    <t>Pasir pasang</t>
  </si>
  <si>
    <t>Portland Cement</t>
  </si>
  <si>
    <t>Besi beton</t>
  </si>
  <si>
    <t>Kawat beton</t>
  </si>
  <si>
    <t>Buah</t>
  </si>
  <si>
    <t>Batako tebal 10 cm</t>
  </si>
  <si>
    <t>Terawang (roster)</t>
  </si>
  <si>
    <t>Membuat beton mutu f’c = 7,4 MPa (K 100), slump (12 ± 2) cm, w/c = 0,87</t>
  </si>
  <si>
    <t>Membuat 1 m3 beton mutu f’c = 9,8 MPa (K 125), slump (12 ± 2) cm, w/c = 0,78</t>
  </si>
  <si>
    <t>Membuat beton mutu f’c = 12,2 MPa (K 150), slump (12 ± 2) cm, w/c = 0,72</t>
  </si>
  <si>
    <t>Membuat lantai kerja beton mutu f’c = 7,4 MPa (K 100), slump (3-6) cm, w/c = 0,87</t>
  </si>
  <si>
    <t>Membuat beton mutu f’c = 14,5 MPa (K 175), slump (12 ± 2) cm, w/c = 0,66</t>
  </si>
  <si>
    <t>Membuat beton mutu f’c = 16,9 MPa (K 200), slump (12 ± 2) cm, w/c = 0,61</t>
  </si>
  <si>
    <t>Membuat beton mutu f’c = 19,3 MPa (K 225), slump (12 ± 2) cm, w/c = 0,58</t>
  </si>
  <si>
    <t>Membuat beton mutu f’c = 21,7 MPa (K 250), slump (12 ± 2) cm, w/c = 0,56</t>
  </si>
  <si>
    <t>Membuat beton mutu f’c = 24,0 MPa (K 275), slump (12 ± 2) cm, w/c = 0,53</t>
  </si>
  <si>
    <t>Membuat beton mutu f’c = 26,4 MPa (K 300), slump (12 ± 2) cm, w/c = 0,52</t>
  </si>
  <si>
    <t>Membuat beton mutu f’c = 28,8 MPa (K 325), slump (12 ± 2) cm, w/c = 0,49</t>
  </si>
  <si>
    <t>Membuat beton mutu f’c = 31,2 MPa (K 350), slump (12 ± 2) cm, w/c = 0,48</t>
  </si>
  <si>
    <t>Membuat beton kedap air dengan strorox – 100</t>
  </si>
  <si>
    <t>Memasang 1 m’ PVC Waterstop lebar 150 mm</t>
  </si>
  <si>
    <t>Memasang PVC Waterstop lebar 200 mm</t>
  </si>
  <si>
    <t>Membuat PVC Waterstop lebar 230 mm – 320 mm</t>
  </si>
  <si>
    <t>Pembesian  dengan besi ulir</t>
  </si>
  <si>
    <t>Pembesian dengan besi polos</t>
  </si>
  <si>
    <t>Memasang kabel presstressed polos/strands</t>
  </si>
  <si>
    <t>Memasang jaring kawat baja/wire mesh</t>
  </si>
  <si>
    <t>Pekerjaan Plat Bondex</t>
  </si>
  <si>
    <t>Pekerjaan Memasang Wire Mesh</t>
  </si>
  <si>
    <t>Pekerjaan Memasang Wire Mesh ø 6 (1x lapis)</t>
  </si>
  <si>
    <t>Pekerjaan Memasang Wire Mesh ø 6 (2x lapis)</t>
  </si>
  <si>
    <t>Pekerjaan Memasang Wire Mesh ø 8 (1x lapis)</t>
  </si>
  <si>
    <t>Pekerjaan Memasang Wire Mesh ø 8 (2x lapis)</t>
  </si>
  <si>
    <t>Pekerjaan Memasang Wire Mesh ø 10 (1x lapis)</t>
  </si>
  <si>
    <t>Pekerjaan Memasang Wire Mesh ø 10 (2x lapis)</t>
  </si>
  <si>
    <t>Stutwerk untuk 1m³ beton, tinggi 3-4 m (memakai scafolding) sistem bondex</t>
  </si>
  <si>
    <t>Pekerjaan Beton K225, Plat Lantai tbl. 12 cm, besi ø6 1x lapis (Sistem Bondex)</t>
  </si>
  <si>
    <t>Bekisting untuk pondasi</t>
  </si>
  <si>
    <t>Bekisting untuk sloof</t>
  </si>
  <si>
    <t>Bekisting untuk kolom</t>
  </si>
  <si>
    <t>Bekisting untuk balok</t>
  </si>
  <si>
    <t>Bekisting untuk plat lantai</t>
  </si>
  <si>
    <t>Bekisting untuk plat dinding</t>
  </si>
  <si>
    <t>Bekisting untuk plat tangga</t>
  </si>
  <si>
    <t>Jembatan untuk pengecoran beton</t>
  </si>
  <si>
    <t>Pondasi beton bertulang (150 kg besi + bekisting)</t>
  </si>
  <si>
    <t>Sloof beton bertulang (200 kg besi + bekisting)</t>
  </si>
  <si>
    <t>Kolom beton bertulang (300 kg besi + bekisting)</t>
  </si>
  <si>
    <t>Balok beton bertulang (200 kg besi + bekisting)</t>
  </si>
  <si>
    <t>Plat beton bertulang (150 kg besi + bekisting)</t>
  </si>
  <si>
    <t>Dinding beton bertulang (150 kg besi + bekisting)</t>
  </si>
  <si>
    <t>Dinding beton bertulang (200 kg besi + bekisting)</t>
  </si>
  <si>
    <t>Kolom praktis beton bertulang (11 x 11) cm</t>
  </si>
  <si>
    <t>Ring balok beton bertulang (10 x 15) cm</t>
  </si>
  <si>
    <t>Cetakan beton / begisting memakai papan</t>
  </si>
  <si>
    <t>Cetakan beton / begisting memakai multiplek</t>
  </si>
  <si>
    <t>Membongkar cetakan</t>
  </si>
  <si>
    <t>Stutwerk untuk 1 m3 beton, tinggi 3 - 4 m ( memakai dolken )</t>
  </si>
  <si>
    <t>Stutwerk untuk 1 m3 beton, tinggi 3 - 4 m ( memakai scafolding )</t>
  </si>
  <si>
    <t>Pembuatan tiang pancang  (40 x 40) cm, beton bertulang</t>
  </si>
  <si>
    <t>Pembuatan tiang pancang  (35 x 35) cm, beton bertulang</t>
  </si>
  <si>
    <t>Cor beton kerb  ( 15 x 30 ) cm</t>
  </si>
  <si>
    <t>Cor beton Devider ( 30 x 30 ) cm</t>
  </si>
  <si>
    <t>Air</t>
  </si>
  <si>
    <t>Liter</t>
  </si>
  <si>
    <t>Tukang Besi</t>
  </si>
  <si>
    <t>Kepala Tukang Besi</t>
  </si>
  <si>
    <t>Plat bondex</t>
  </si>
  <si>
    <t>Harga Plat Bondex (Perlengkapan)</t>
  </si>
  <si>
    <t>x</t>
  </si>
  <si>
    <t xml:space="preserve">Kepala Tukang kayu </t>
  </si>
  <si>
    <t>Scafolding</t>
  </si>
  <si>
    <t xml:space="preserve">Kayu Glugu 5/7 </t>
  </si>
  <si>
    <t>Papan Glugu 1/20</t>
  </si>
  <si>
    <t>unit</t>
  </si>
  <si>
    <t>Beton mutu f’c = 19,3 MPa (K 225), slump (12 ± 2) cm, w/c=0,58</t>
  </si>
  <si>
    <t xml:space="preserve">Plat Bondex </t>
  </si>
  <si>
    <t>Tulangan wire mesh ø6-15</t>
  </si>
  <si>
    <t>Stutwerk untuk 1m³ beton</t>
  </si>
  <si>
    <t>Membongkar</t>
  </si>
  <si>
    <t>Kayu kelas III</t>
  </si>
  <si>
    <t>Minyak bekisting</t>
  </si>
  <si>
    <t>Besi beton polos</t>
  </si>
  <si>
    <t>Papan cetakan</t>
  </si>
  <si>
    <t>Kayu kruing 5/7</t>
  </si>
  <si>
    <t>Paku reng</t>
  </si>
  <si>
    <t>Plamur tembok</t>
  </si>
  <si>
    <t>Memasang plesteran 1 PC : 1 PP, tebal 15 mm</t>
  </si>
  <si>
    <t>Memasang plesteran 1 PC : 2 PP, tebal 15 mm</t>
  </si>
  <si>
    <t>Memasang plesteran 1 PC : 3 PP, tebal 15 mm</t>
  </si>
  <si>
    <t>Memasang plesteran 1 PC : 4 PP, tebal 15 mm</t>
  </si>
  <si>
    <t>Memasang plesteran 1 PC : 5 PP, tebal 15 mm</t>
  </si>
  <si>
    <t>Memasang plesteran 1 PC : 6 PP, tebal 15 mm</t>
  </si>
  <si>
    <t>Memasang plesteran 1 PC : 7 PP, tebal 15 mm</t>
  </si>
  <si>
    <t>Memasang plesteran 1 PC : 8 PP, tebal 15 mm</t>
  </si>
  <si>
    <t>Memasang plesteran 1 PC : 1/2 KP : 3 PP, tebal 15 mm</t>
  </si>
  <si>
    <t>Memasang plesteran 1 PC : 2 KP : 8 PP, tebal 15 mm</t>
  </si>
  <si>
    <t>Memasang plesteran 1 SM : 1 KP : 1 PP, tebal 15 mm</t>
  </si>
  <si>
    <t>Memasang  plesteran 1 SM : 1 KP : 2 PP, tebal 15 mm</t>
  </si>
  <si>
    <t>Plesteran 1 Pc : 3 Kp : 10 Ps, tebal 15 mm</t>
  </si>
  <si>
    <t>Memasang plesteran 1 PC : 2 PP, tebal 20 mm</t>
  </si>
  <si>
    <t>Memasang plesteran 1 PC : 3 PP, tebal 20 mm</t>
  </si>
  <si>
    <t>Memasang  plesteran 1 PC : 4 PP, tebal 20 mm</t>
  </si>
  <si>
    <t>Memasang plesteran 1 PC : 5 PP, tebal 20 mm</t>
  </si>
  <si>
    <t>Memasang  plesteran 1 PC : 6 PP, tebal 20 mm</t>
  </si>
  <si>
    <t>Memasang plesteran 1 SM : 1 KP : 2 PP, tebal 20 mm</t>
  </si>
  <si>
    <t>Memasang Berapen 1 PC : 5 PP, tebal 15 mm</t>
  </si>
  <si>
    <t>Plesteran skoning 1 PC : 2 PP, lebar 10 mm</t>
  </si>
  <si>
    <t>Sponengan (untuk saluran dan sejenisnya)</t>
  </si>
  <si>
    <t>Memasang Plesteran Granit , 1 PC : 2 Granit, tebal 10 mm</t>
  </si>
  <si>
    <t>Memasang Plesteran Teraso , 1 PC : 2 Batu Teraso, tebal 10 mm</t>
  </si>
  <si>
    <t>Memasang Plesteran Ciprat 1 PC : 2 PP</t>
  </si>
  <si>
    <t>Memasang finishing siar pasangan dinding bata merah (=20 m’)</t>
  </si>
  <si>
    <t>Memasang finishing siar pasangan dinding conblock ekspose (=8 m’)</t>
  </si>
  <si>
    <t>Memasang finishing siar pasangan batu kali adukan 1 PC : 2 PP</t>
  </si>
  <si>
    <t>Memasang acian</t>
  </si>
  <si>
    <t>Plesteran beton 1 Pc : 3 Ps, tebal 15 mm</t>
  </si>
  <si>
    <t>Plesteran batu kali 1pc:1/2kp:5ps  tebal 10 mm</t>
  </si>
  <si>
    <t>Plesteran batu kali 1pc:3ps</t>
  </si>
  <si>
    <t>Plesteran batu kali 1pc:4ps</t>
  </si>
  <si>
    <t>Memasang lantai ubin PC abu-abu ukuran (40 x 40) cm</t>
  </si>
  <si>
    <t>Memasang lantai ubin PC abu-abu ukuran (30 x 30) cm</t>
  </si>
  <si>
    <t>Memasang lantai ubin PC abu-abu ukuran (20 x 20) cm</t>
  </si>
  <si>
    <t>Memasang lantai ubin warna ukuran (40 x 40) cm</t>
  </si>
  <si>
    <t>Memasang lantai ubin warna ukuran (30 x 30) cm</t>
  </si>
  <si>
    <t>Memasang lantai ubin warna ukuran (20 x 20) cm</t>
  </si>
  <si>
    <t>Memasang lantai ubin teraso ukuran (40 x 40) cm</t>
  </si>
  <si>
    <t>Memasang lantai ubin teraso ukuran (30 x 30) cm</t>
  </si>
  <si>
    <t>Memasang lantai ubin granit ukuran (40 x 40) cm</t>
  </si>
  <si>
    <t>Memasang lantai ubin granit ukuran (30 x 30) cm</t>
  </si>
  <si>
    <t>Memasang lantai ubin teralux ukuran (40 x 40) cm</t>
  </si>
  <si>
    <t>Memasang lantai ubin teralux ukuran (30 x 30) cm</t>
  </si>
  <si>
    <t>Memasang lantai ubin teralux marmer ukuran (60 x 60) cm</t>
  </si>
  <si>
    <t>Memasang lantai ubin teralux marmer ukuran (40 x 40) cm</t>
  </si>
  <si>
    <t>Memasang lantai ubin teralux marmer ukuran (30 x 30) cm</t>
  </si>
  <si>
    <t>Memasang plint ubin PC abu-abu ukuran (15 x 20) cm</t>
  </si>
  <si>
    <t>Memasang plint ubin PC abu-abu ukuran (10 x 30) cm</t>
  </si>
  <si>
    <t>Memasang plint ubin PC abu-abu ukuran (10 x 40) cm</t>
  </si>
  <si>
    <t>Pasang plint ubin PC abu-abu ukuran 10 x 20 cm</t>
  </si>
  <si>
    <t>Memasang plint ubin PC warna ukuran (10 x 20) cm</t>
  </si>
  <si>
    <t>Memasang plint ubin PC warna ukuran (10 x 30) cm</t>
  </si>
  <si>
    <t>Memasang plint ubin PC warna ukuran (10 x 40) cm</t>
  </si>
  <si>
    <t>Memasang plint ubin teraso ukuran (10 x 30) cm</t>
  </si>
  <si>
    <t>Memasang plint ubin teraso ukuran (10 x 40) cm</t>
  </si>
  <si>
    <t>Memasang plint ubin granit ukuran (10 x 40) cm</t>
  </si>
  <si>
    <t>Memasang plint ubin granit ukuran (10 x 30) cm</t>
  </si>
  <si>
    <t>Memasang plint ubin teralux kerang ukuran (10 x 40) cm</t>
  </si>
  <si>
    <t>Memasang  plint ubin teralux kerang ukuran (10 x 30) cm</t>
  </si>
  <si>
    <t>Memasang plint ubin teralux marmer ukuran (10 x 60) cm</t>
  </si>
  <si>
    <t>Memasang plint ubin teralux marmer ukuran (10 x 40) cm</t>
  </si>
  <si>
    <t>Memasang plint ubin teralux marmer ukuran (10 x 30) cm</t>
  </si>
  <si>
    <t>Memasang lantai teraso cor ditempat, tebal 3 cm</t>
  </si>
  <si>
    <t>Memasang lantai keramik artistik ukuran (10 x 20) cm</t>
  </si>
  <si>
    <t>Memasang lantai keramik artistik ukuran (10 x 10) cm atau (5 x 20) cm</t>
  </si>
  <si>
    <t>Memasang lantai keramik ukuran (40 x 40) cm</t>
  </si>
  <si>
    <t>Memasang lantai keramik ukuran (33 x 33) cm</t>
  </si>
  <si>
    <t>Memasang lantai keramik ukuran (30 x 30) cm</t>
  </si>
  <si>
    <t>Memasang lantai keramik ukuran (20 x 20) cm</t>
  </si>
  <si>
    <t>Pasang Batu Candi (30 x 30) Trotoar</t>
  </si>
  <si>
    <t>Pasang Batu Candi (20 x 20) Trotoar</t>
  </si>
  <si>
    <t>Memasang lantai keramik ukuran (10 x 33) cm, variasi/border</t>
  </si>
  <si>
    <t>Memasang lantai mosaik ukuran (30 x 30) cm, campuran spesi 1 PC : 3 PP</t>
  </si>
  <si>
    <t>Memasang plint keramik artisitk ukuran (10 x 20) cm</t>
  </si>
  <si>
    <t>Memasang plint keramik artisitik ukuran (10 x 10) cm</t>
  </si>
  <si>
    <t>Memasang plint keramik ukuran (5 x 20) cm</t>
  </si>
  <si>
    <t>Pasang plint keramik ukuran 10 x 40 cm</t>
  </si>
  <si>
    <t>Pasang plint keramik ukuran 10 x 30 cm</t>
  </si>
  <si>
    <t>Memasang plint internal cove artistik ukuran (5 x 5 x 20) cm</t>
  </si>
  <si>
    <t>Memasang lantai marmer ukuran (100 x 100) cm</t>
  </si>
  <si>
    <t>Memasang lantai karpet</t>
  </si>
  <si>
    <t>Memasang underlayer / Pelapis bawah karpet</t>
  </si>
  <si>
    <t>Memasang lantai parquet</t>
  </si>
  <si>
    <t>Memasang lantai kayu (gym floor)</t>
  </si>
  <si>
    <t>Memasang dinding porselen ukuran (11 x 11) cm</t>
  </si>
  <si>
    <t>Memasang dinding porselin ukuran (10 x 20) cm</t>
  </si>
  <si>
    <t>Memasang dinding porselin ukuran (20 x 20) cm</t>
  </si>
  <si>
    <t>Memasang dinding keramik artistik ukuran (10 x 20) cm</t>
  </si>
  <si>
    <t>Memasang dinding keramik artistik ukuran (5 x 20) cm</t>
  </si>
  <si>
    <t>Memasang dinding keramik ukuran (10 x 20) cm</t>
  </si>
  <si>
    <t>Memasang dinding keramik ukuran (20 x 20) cm</t>
  </si>
  <si>
    <t>Memasang dinding keramik ukuran (20 x 25) cm</t>
  </si>
  <si>
    <t>Memasang dinding marmer ukuran (100 x 100) cm</t>
  </si>
  <si>
    <t>Memasang dinding bata pelapis ukuran (3 x 7 x 24) cm</t>
  </si>
  <si>
    <t>Memasang dinding batu paras</t>
  </si>
  <si>
    <t>Memasang dinding batu tempel hitam</t>
  </si>
  <si>
    <t>Pasang Batu Candi (20 x 20) Dinding</t>
  </si>
  <si>
    <t>Memasang lantai vinyl ukuran (30 x 30) cm KL I</t>
  </si>
  <si>
    <t>Memasang wall paper, lebar 50 cm</t>
  </si>
  <si>
    <t>Memasang floor hardener</t>
  </si>
  <si>
    <t>Memasang plint vinyl karet ukuran (15 x 30) cm dengan perekat</t>
  </si>
  <si>
    <t>Memasang plint kayu kelas II ukuran tebal 2 cm. Lebar 10 cm</t>
  </si>
  <si>
    <t>Pasang keramik stepnosing granito 7/30</t>
  </si>
  <si>
    <t>Pasang list keramik dinding 5/20</t>
  </si>
  <si>
    <t>Memasang hospital plint panjang 20 cm</t>
  </si>
  <si>
    <t>Memasang hospital plint panjang 30 cm</t>
  </si>
  <si>
    <t>Semen warna</t>
  </si>
  <si>
    <t>Plint ubin 10 x 20 cm</t>
  </si>
  <si>
    <t>Ubin keramik</t>
  </si>
  <si>
    <t>Tukang Batu</t>
  </si>
  <si>
    <t>Kepala Tukang Batu</t>
  </si>
  <si>
    <t>Batu Candi t= 2 cm</t>
  </si>
  <si>
    <t>Pasir Pasang</t>
  </si>
  <si>
    <t>Plint ubin keramik 10 x 40 cm</t>
  </si>
  <si>
    <t>Plint ubin keramik 10 x 30 cm</t>
  </si>
  <si>
    <t>Keramik</t>
  </si>
  <si>
    <t>m³</t>
  </si>
  <si>
    <t>Stepnosing granito</t>
  </si>
  <si>
    <t>Semen putih</t>
  </si>
  <si>
    <t>Hospital plint</t>
  </si>
  <si>
    <t>PEKERJAAN CONBLOCK</t>
  </si>
  <si>
    <t>Pasang conblock tipe segi-empat, uni, segi-enam abu-abu 8 cm,  K-400, tebal pasir 5 cm</t>
  </si>
  <si>
    <t>Pasang conblock tipe uni, segi-empat abu-abu 8 cm, K-300, tebal pasir 5 cm</t>
  </si>
  <si>
    <t>Pasang conblock tipe segi-empat abu-abu 6 cm, K-200, tebal pasir 5 cm</t>
  </si>
  <si>
    <t>Pasang conblock tipe segi-empat abu-abu 8 cm, K-200, tebal pasir 5 cm</t>
  </si>
  <si>
    <t>Pasang conblock tipe segi-enam besar abu-abu 6 cm, K-200, tebal pasir 5 cm</t>
  </si>
  <si>
    <t>Pasang conblock tipe segi-enam kecil abu-abu 6 cm, K-200, tebal pasir 5 cm</t>
  </si>
  <si>
    <t>Pasang conblock tipe segi-enam besar abu-abu 8 cm, K-200, tebal pasir 5 cm</t>
  </si>
  <si>
    <t>Pasang conblock tipe segi-enam kecil abu-abu 8 cm, K-200, tebal pasir 5 cm</t>
  </si>
  <si>
    <t>Pasang conblock tipe segi-empat, uni, segi-enam warna 8 cm, K-400, tebal pasir 5 cm</t>
  </si>
  <si>
    <t>Pasang conblock tipe uni, segi-empat warna 8 cm, K-300, tebal pasir 5 cm</t>
  </si>
  <si>
    <t>Pasang conblock tipe segi-empat warna  6 cm, K-200, tebal pasir 5 cm</t>
  </si>
  <si>
    <t>Pasang conblock tipe segi-empat warna  8 cm, K-200, tebal pasir 5 cm</t>
  </si>
  <si>
    <t>Pasang conblock tipe segi-enam besar warna  6 cm, K-200, tebal pasir 5 cm</t>
  </si>
  <si>
    <t>Pasang conblock tipe segi-enam kecil warna  6 cm, K-200, tebal pasir 5 cm</t>
  </si>
  <si>
    <t>Pasang conblock tipe segi-enam besar warna  8 cm, K-200, tebal pasir 5 cm</t>
  </si>
  <si>
    <t>Pasang conblock tipe segi-enam kecil warna  8 cm, K-200, tebal pasir 5 cm</t>
  </si>
  <si>
    <t>Pasang grassblock bulat tebal 10 cm, tebal pasir 5 cm</t>
  </si>
  <si>
    <t>Pasang grassblock tebal 10 cm, tebal pasir 5 cm</t>
  </si>
  <si>
    <t>Kepala tukang Batu</t>
  </si>
  <si>
    <t>Grassblock</t>
  </si>
  <si>
    <t>No.</t>
  </si>
  <si>
    <t>PERMEN PU NO. 11/PRT/M/2013</t>
  </si>
  <si>
    <t>PERWAL NO. 72 TAHUN 2013</t>
  </si>
  <si>
    <t>Ö</t>
  </si>
  <si>
    <t>Pembuatan 1 buah kotak adukan ukuran 40cm x50cm x25cm</t>
  </si>
  <si>
    <t>Pembongkaran 1m3 beton bertulang</t>
  </si>
  <si>
    <t>Pembongkaran 1m2 dinding tembok bata</t>
  </si>
  <si>
    <t>Pemasangan 1m2 pagar kawat jaring galvanis panjang 240 cm</t>
  </si>
  <si>
    <t>Pembuatan Stegger dari Bambu, 1 m2</t>
  </si>
  <si>
    <t xml:space="preserve">Memasang dinding bata merah ukuran (5 x 11 x 22) cm tebal 1 bata, campuran spesi 1 PC : 2 PP </t>
  </si>
  <si>
    <t>Memasang dinding bata merah ukuran (5 x 11 x 22) cm tebal 1/2 bata, campuran spesi 1 PC : 8 PP</t>
  </si>
  <si>
    <t>A.1. AHSP KONSTRUKSI BIDANG CIPTA KARYA</t>
  </si>
  <si>
    <t>Sopir truk</t>
  </si>
  <si>
    <t>A.1.1</t>
  </si>
  <si>
    <t>A.1.2</t>
  </si>
  <si>
    <t>A.1.3</t>
  </si>
  <si>
    <t>A.1.4</t>
  </si>
  <si>
    <r>
      <t>m</t>
    </r>
    <r>
      <rPr>
        <vertAlign val="superscript"/>
        <sz val="10"/>
        <rFont val="Times New Roman"/>
        <family val="1"/>
      </rPr>
      <t>3</t>
    </r>
  </si>
  <si>
    <t>A.1.5</t>
  </si>
  <si>
    <t>A.1.7</t>
  </si>
  <si>
    <t>A.1.8</t>
  </si>
  <si>
    <t>A.1.9</t>
  </si>
  <si>
    <t>A.1.6</t>
  </si>
  <si>
    <t>NOMOR</t>
  </si>
  <si>
    <t>LAMPIRAN PERATURAN WALIKOTA YOGYAKARTA</t>
  </si>
  <si>
    <t xml:space="preserve">TENTANG ANALISA HARGA SATUAN PEKERJAAN </t>
  </si>
  <si>
    <t>KONSTRUKSI DAN JASA LAINNYA DI LINGKUNGAN</t>
  </si>
  <si>
    <t>PEMERINTAH KOTA YOGYAKARTA</t>
  </si>
  <si>
    <t>A.</t>
  </si>
  <si>
    <t>AHSP KONTRUKSI</t>
  </si>
  <si>
    <t xml:space="preserve"> Pasangan dinding batako </t>
  </si>
  <si>
    <t>PERMEN PU NO.28/PRT/M/2016</t>
  </si>
  <si>
    <t>PERWAL NO. 2015</t>
  </si>
  <si>
    <t>PEKERJAAN DINDING PASANGAN</t>
  </si>
  <si>
    <t>PEKERJAAN BETON</t>
  </si>
  <si>
    <t>PEKERJAAN BETON PRACETAK</t>
  </si>
  <si>
    <t>PEKERJAAN PLESTERAN</t>
  </si>
  <si>
    <t>PEKERJAAN PENUTUP LANTAI &amp; PENUTUP DINIDNG</t>
  </si>
  <si>
    <t>Penggalian  tanah biasa sedalam 1 m</t>
  </si>
  <si>
    <t>Penggalian  tanah biasa sedalam 2 m</t>
  </si>
  <si>
    <t>Penggalian  tanah biasa sedalam 3 m</t>
  </si>
  <si>
    <t>Penggalian  tanah keras sedalam 1 m</t>
  </si>
  <si>
    <t>Penggalian  tanah cadas sedalam 1 m</t>
  </si>
  <si>
    <t>Penggalian  tanah lumpur sedalam 1 m</t>
  </si>
  <si>
    <t>Pengerjaan stripping setinggi 1 m</t>
  </si>
  <si>
    <t>(K3) Pembuangan tanah sejauh 30 m</t>
  </si>
  <si>
    <t>(K3) Pemadatan tanah per 20 cm</t>
  </si>
  <si>
    <t>Pengurugan dengan pasir urug</t>
  </si>
  <si>
    <t>Pemasangan lapisan pudel 1:3:7</t>
  </si>
  <si>
    <t>Pemasangan lapisan pudel 1:5</t>
  </si>
  <si>
    <t>Pemasangan lapisan ijuk</t>
  </si>
  <si>
    <t>Pengurugan dengan sirtu padat</t>
  </si>
  <si>
    <t>Pemasangan pondasi batu belah 1PC:3PP</t>
  </si>
  <si>
    <t>Pemasangan pondasi batu belah 1PC:4PP</t>
  </si>
  <si>
    <t>Pemasangan pondasi batu belah 1PC:5PP</t>
  </si>
  <si>
    <t>Pemasangan pondasi batu belah 1PC:6PP</t>
  </si>
  <si>
    <t>Pemasangan pondasi batu belah 1PC:8PP</t>
  </si>
  <si>
    <t>Pemasangan pondasi batu belah 1KP:1SM:2 PP</t>
  </si>
  <si>
    <t>Pemasangan pondasi batu belah 1PC:3KP:10 PP</t>
  </si>
  <si>
    <t>Pemasangan pondasi batu belah 1/4PC:1KP:4 PP</t>
  </si>
  <si>
    <t>Pemasangan pondasi siklop 60% beton</t>
  </si>
  <si>
    <t>Pemasangan pondasi sumuran Ø 100cm</t>
  </si>
  <si>
    <t>Pemasangan dinding bata merah 1 batu campuran 1PC:2PP</t>
  </si>
  <si>
    <t>Pemasangan dinding bata merah 1 batu campuran 1PC:3PP</t>
  </si>
  <si>
    <t>Pemasangan dinding bata merah 1 batu campuran 1PC:4PP</t>
  </si>
  <si>
    <t>Pemasangan dinding bata merah 1 batu campuran 1PC:5PP</t>
  </si>
  <si>
    <t>Pemasangan dinding bata merah 1 batu campuran 1PC:6PP</t>
  </si>
  <si>
    <t>Pemasangan dinding bata merah 1 batu 1PC:3KP: 2PP</t>
  </si>
  <si>
    <t>Pemasangan dinding bata merah 1/2 batu campuran 1PC:2PP</t>
  </si>
  <si>
    <t>Pemasangan dinding bata merah 1/2 batu campuran 1PC:3PP</t>
  </si>
  <si>
    <t>Pemasangan dinding bata merah 1/2 batu campuran 1PC:4PP</t>
  </si>
  <si>
    <t>Pemasangan dinding bata merah 1/2 batu campuran 1PC:5PP</t>
  </si>
  <si>
    <t>Pemasangan dinding bata merah 1/2 batu campuran 1PC:6PP</t>
  </si>
  <si>
    <t>Pemasangan dinding bata merah 1/2 batu 1PC:8PP</t>
  </si>
  <si>
    <t>Pemasangan dinding bata merah 1/2 batu 1PC:3KP: 10PP</t>
  </si>
  <si>
    <r>
      <t>(K3) Pemasangan batu kosong (</t>
    </r>
    <r>
      <rPr>
        <i/>
        <sz val="11"/>
        <rFont val="Bookman Old Style"/>
        <family val="1"/>
      </rPr>
      <t>aanstamping</t>
    </r>
    <r>
      <rPr>
        <sz val="11"/>
        <rFont val="Bookman Old Style"/>
        <family val="1"/>
      </rPr>
      <t>)</t>
    </r>
  </si>
  <si>
    <t>Pemasangan dinding bata merah 1/2 batu 1KP:1SM:1PP</t>
  </si>
  <si>
    <t>Pemasangan dinding bata merah 1/2 batu 1KP:1SM:2PP</t>
  </si>
  <si>
    <t>Pemasangan dinding HB20 campuran 1PC:3PP</t>
  </si>
  <si>
    <t>Pemasangan dinding HB20 campuran 1PC:4PP</t>
  </si>
  <si>
    <t>Pemasangan dinding HB15 campuran 1PC:3PP</t>
  </si>
  <si>
    <t>Pemasangan dinding HB15 campuran 1PC:4PP</t>
  </si>
  <si>
    <t>Pemasangan dinding HB10 campuran 1PC:3PP</t>
  </si>
  <si>
    <t>Pemasangan dinding HB10 campuran 1PC:4PP</t>
  </si>
  <si>
    <r>
      <rPr>
        <sz val="11"/>
        <rFont val="Bookman Old Style"/>
        <family val="1"/>
      </rPr>
      <t>Pemasangan dinding terawang (</t>
    </r>
    <r>
      <rPr>
        <i/>
        <sz val="11"/>
        <rFont val="Bookman Old Style"/>
        <family val="1"/>
      </rPr>
      <t>roster</t>
    </r>
    <r>
      <rPr>
        <sz val="11"/>
        <rFont val="Bookman Old Style"/>
        <family val="1"/>
      </rPr>
      <t>) campuran 1PC:3PP</t>
    </r>
  </si>
  <si>
    <r>
      <rPr>
        <sz val="11"/>
        <rFont val="Bookman Old Style"/>
        <family val="1"/>
      </rPr>
      <t>Pemasangan dinding terawang (</t>
    </r>
    <r>
      <rPr>
        <i/>
        <sz val="11"/>
        <rFont val="Bookman Old Style"/>
        <family val="1"/>
      </rPr>
      <t>roster</t>
    </r>
    <r>
      <rPr>
        <sz val="11"/>
        <rFont val="Bookman Old Style"/>
        <family val="1"/>
      </rPr>
      <t>) campuran 1PC:4PP</t>
    </r>
  </si>
  <si>
    <t>Pemasangan dinding bata berongga campuran 1PC:3PP</t>
  </si>
  <si>
    <t>Pemasangan dinding bata ringan tebal 7,5 cm</t>
  </si>
  <si>
    <t>Pemasangan dinding bata ringan tebal 10 cm</t>
  </si>
  <si>
    <t>Pembuatan 1 m3  beton mutu fc  7,4 MPa</t>
  </si>
  <si>
    <t>Pembuatan 1 m3  beton mutu fc  9,8 MPa</t>
  </si>
  <si>
    <t>Pembuatan 1 m3  beton mutu fc  12,2 MPa</t>
  </si>
  <si>
    <t>Pembuatan 1 m3  lantai kerja beton mutu fc  7.4 MPa</t>
  </si>
  <si>
    <t>Pembuatan 1 m3  beton mutu fc  14,5 MPa</t>
  </si>
  <si>
    <t>Pembuatan 1 m3  beton mutu fc  16,9 MPa</t>
  </si>
  <si>
    <t>Pembuatan 1 m3  beton mutu fc  19,3 MPa</t>
  </si>
  <si>
    <t>Pembuatan 1 m3  beton mutu fc  21,7 MPa</t>
  </si>
  <si>
    <t>Pembuatan 1 m3  beton mutu fc  24 MPa</t>
  </si>
  <si>
    <t>Pembuatan 1 m3  beton mutu fc  26,4 MPa</t>
  </si>
  <si>
    <t>Pembuatan 1 m3  beton mutu fc  28,8 MPa</t>
  </si>
  <si>
    <t>Pembuatan 1 m3  beton mutu fc  31,2 MPa</t>
  </si>
  <si>
    <t>Pembuatan 1 m3  beton kedap air dengan strorox 100</t>
  </si>
  <si>
    <t>Pemasangan 1 m2   PVC Waterstop lebar 150mm</t>
  </si>
  <si>
    <t>Pemasangan 1 m2   PVC Waterstop lebar 200mm</t>
  </si>
  <si>
    <t>Pemasangan 1 m2   PVC Waterstop lebar 230- 320mm</t>
  </si>
  <si>
    <t>Pembesian 10 kg dengan besi polos atau ulir</t>
  </si>
  <si>
    <t>Pemasangan 10 kg kabel prategang (prestressed) polos/strands</t>
  </si>
  <si>
    <t>Pemasangan 10 kg jaring kawat baja (wire mesh)</t>
  </si>
  <si>
    <t>(K3) Pemasangan 1 m2  bekisting untuk pondasi</t>
  </si>
  <si>
    <t>(K3) Pemasangan 1 m2  bekisting untuk sloof</t>
  </si>
  <si>
    <t>(K3) Pemasangan 1 m2  bekisting untuk kolom</t>
  </si>
  <si>
    <t>(K3) Pemasangan 1 m2  bekisting untuk balok</t>
  </si>
  <si>
    <t>(K3) Pemasangan 1 m2  bekisting untuk lantai</t>
  </si>
  <si>
    <t>(K3) Pemasangan 1 m2  bekisting untuk dinding</t>
  </si>
  <si>
    <t>(K3) Pemasangan 1 m2  bekisting untuk  tangga</t>
  </si>
  <si>
    <t xml:space="preserve"> (K3) Pemasangan 1 m2  tangga pengecoran beton</t>
  </si>
  <si>
    <t>Pembuatan 1 m2  kolom praktis beton bertulang (11x11)</t>
  </si>
  <si>
    <t>Pembuatan 1 m2  ring balok beton bertulang (10x15)</t>
  </si>
  <si>
    <r>
      <t>(K3) Pembuatan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pagar sementara dari kayu</t>
    </r>
  </si>
  <si>
    <r>
      <t>(K3) Pembuatan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pagar sementara dari seng gelombang</t>
    </r>
  </si>
  <si>
    <r>
      <t>(K3) Pembuatan 1 m</t>
    </r>
    <r>
      <rPr>
        <vertAlign val="superscript"/>
        <sz val="11"/>
        <rFont val="Times New Roman"/>
        <family val="1"/>
      </rPr>
      <t xml:space="preserve">2   </t>
    </r>
    <r>
      <rPr>
        <sz val="11"/>
        <rFont val="Times New Roman"/>
        <family val="1"/>
      </rPr>
      <t>pagar sementara dari kawat duri</t>
    </r>
  </si>
  <si>
    <r>
      <t>Pembuatan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kantor sementara</t>
    </r>
  </si>
  <si>
    <r>
      <t>(K3) Pembuatan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gudang</t>
    </r>
  </si>
  <si>
    <r>
      <t>(K3) Pembuatan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rumah jaga</t>
    </r>
  </si>
  <si>
    <r>
      <t>(K3) Pembersihan dan perataan lapangan 1 m</t>
    </r>
    <r>
      <rPr>
        <vertAlign val="superscript"/>
        <sz val="11"/>
        <rFont val="Times New Roman"/>
        <family val="1"/>
      </rPr>
      <t>2</t>
    </r>
  </si>
  <si>
    <r>
      <t>(K3) Pembuatan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bedeng pekerja</t>
    </r>
  </si>
  <si>
    <r>
      <t>Pembuatan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bak adukan</t>
    </r>
  </si>
  <si>
    <r>
      <t xml:space="preserve"> (K3) Pembuatan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perancah dari bambu</t>
    </r>
  </si>
  <si>
    <r>
      <t>Pembuatan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jalan sementara</t>
    </r>
  </si>
  <si>
    <r>
      <t>Pembongkaran 1 m</t>
    </r>
    <r>
      <rPr>
        <vertAlign val="superscript"/>
        <sz val="11"/>
        <rFont val="Times New Roman"/>
        <family val="1"/>
      </rPr>
      <t xml:space="preserve">3   </t>
    </r>
    <r>
      <rPr>
        <sz val="11"/>
        <rFont val="Times New Roman"/>
        <family val="1"/>
      </rPr>
      <t>beton bertulang</t>
    </r>
  </si>
  <si>
    <r>
      <t>Pembongkaran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dinding tembok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</si>
  <si>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kawat jaring galvanis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</si>
  <si>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pagar beton pracetak 50x50x240 untuk pagar</t>
    </r>
  </si>
  <si>
    <r>
      <rPr>
        <sz val="11"/>
        <rFont val="Bookman Old Style"/>
        <family val="1"/>
      </rPr>
      <t>(K3) Pembuatan 1m</t>
    </r>
    <r>
      <rPr>
        <vertAlign val="superscript"/>
        <sz val="11"/>
        <rFont val="Bookman Old Style"/>
        <family val="1"/>
      </rPr>
      <t xml:space="preserve">2  </t>
    </r>
    <r>
      <rPr>
        <sz val="11"/>
        <rFont val="Bookman Old Style"/>
        <family val="1"/>
      </rPr>
      <t>lahan produksi tebal 8 cm beton f’c 14,5 MPa, slump (120 ± 20) mm</t>
    </r>
  </si>
  <si>
    <r>
      <rPr>
        <sz val="11"/>
        <rFont val="Bookman Old Style"/>
        <family val="1"/>
      </rPr>
      <t>(K3) Pembuatan 1m</t>
    </r>
    <r>
      <rPr>
        <vertAlign val="superscript"/>
        <sz val="11"/>
        <rFont val="Bookman Old Style"/>
        <family val="1"/>
      </rPr>
      <t xml:space="preserve">2  </t>
    </r>
    <r>
      <rPr>
        <sz val="11"/>
        <rFont val="Bookman Old Style"/>
        <family val="1"/>
      </rPr>
      <t>lahan produksi tebal 10 cm beton f’c 14,5 MPa, slump (120 ± 20) mm</t>
    </r>
  </si>
  <si>
    <r>
      <rPr>
        <sz val="11"/>
        <rFont val="Bookman Old Style"/>
        <family val="1"/>
      </rPr>
      <t>(K3) Pembuatan 1m</t>
    </r>
    <r>
      <rPr>
        <vertAlign val="superscript"/>
        <sz val="11"/>
        <rFont val="Bookman Old Style"/>
        <family val="1"/>
      </rPr>
      <t xml:space="preserve">2  </t>
    </r>
    <r>
      <rPr>
        <sz val="11"/>
        <rFont val="Bookman Old Style"/>
        <family val="1"/>
      </rPr>
      <t>lahan produksi tebal 12 cm beton f’c 14,5 MPa, slump (120 ± 20) mm</t>
    </r>
  </si>
  <si>
    <r>
      <rPr>
        <sz val="11"/>
        <rFont val="Bookman Old Style"/>
        <family val="1"/>
      </rPr>
      <t>(K3) Pembuatan 1m</t>
    </r>
    <r>
      <rPr>
        <vertAlign val="superscript"/>
        <sz val="11"/>
        <rFont val="Bookman Old Style"/>
        <family val="1"/>
      </rPr>
      <t xml:space="preserve">2  </t>
    </r>
    <r>
      <rPr>
        <sz val="11"/>
        <rFont val="Bookman Old Style"/>
        <family val="1"/>
      </rPr>
      <t>lahan produksi tebal 15 cm beton f’c 14,5 MPa, slump (120 ± 20) mm</t>
    </r>
  </si>
  <si>
    <r>
      <rPr>
        <sz val="11"/>
        <rFont val="Bookman Old Style"/>
        <family val="1"/>
      </rPr>
      <t>Pembuatan 1m</t>
    </r>
    <r>
      <rPr>
        <vertAlign val="superscript"/>
        <sz val="11"/>
        <rFont val="Bookman Old Style"/>
        <family val="1"/>
      </rPr>
      <t xml:space="preserve">2  </t>
    </r>
    <r>
      <rPr>
        <sz val="11"/>
        <rFont val="Bookman Old Style"/>
        <family val="1"/>
      </rPr>
      <t>bekisting untuk pelat beton pracetak (5 kali pakai)</t>
    </r>
  </si>
  <si>
    <r>
      <rPr>
        <sz val="11"/>
        <rFont val="Bookman Old Style"/>
        <family val="1"/>
      </rPr>
      <t>Pembuatan 1m</t>
    </r>
    <r>
      <rPr>
        <vertAlign val="superscript"/>
        <sz val="11"/>
        <rFont val="Bookman Old Style"/>
        <family val="1"/>
      </rPr>
      <t xml:space="preserve">2  </t>
    </r>
    <r>
      <rPr>
        <sz val="11"/>
        <rFont val="Bookman Old Style"/>
        <family val="1"/>
      </rPr>
      <t>bekisting untuk balok beton pracetak (10-12 kali pakai)</t>
    </r>
  </si>
  <si>
    <r>
      <rPr>
        <sz val="11"/>
        <rFont val="Bookman Old Style"/>
        <family val="1"/>
      </rPr>
      <t>Pembuatan 1m</t>
    </r>
    <r>
      <rPr>
        <vertAlign val="superscript"/>
        <sz val="11"/>
        <rFont val="Bookman Old Style"/>
        <family val="1"/>
      </rPr>
      <t xml:space="preserve">2  </t>
    </r>
    <r>
      <rPr>
        <sz val="11"/>
        <rFont val="Bookman Old Style"/>
        <family val="1"/>
      </rPr>
      <t>bekisting untuk kolom beton pracetak (10-12 kali pakai)</t>
    </r>
  </si>
  <si>
    <t>Pemasangan dan membuka bekisting 1 buah komponen untuk pelat beton pracetak</t>
  </si>
  <si>
    <t>Pemasangan dan membuka bekisting 1 buah komponen untuk balok beton pracetak</t>
  </si>
  <si>
    <t>Pemasangan dan membuka bekisting 1 buah komponen untuk kolom beton pracetak</t>
  </si>
  <si>
    <r>
      <t>Penuangan/menebar beton 1 m</t>
    </r>
    <r>
      <rPr>
        <vertAlign val="superscript"/>
        <sz val="11"/>
        <rFont val="Bookman Old Style"/>
        <family val="1"/>
      </rPr>
      <t xml:space="preserve">3  </t>
    </r>
    <r>
      <rPr>
        <sz val="11"/>
        <rFont val="Bookman Old Style"/>
        <family val="1"/>
      </rPr>
      <t>untuk pelat beton pracetak</t>
    </r>
  </si>
  <si>
    <r>
      <rPr>
        <sz val="11"/>
        <rFont val="Bookman Old Style"/>
        <family val="1"/>
      </rPr>
      <t>Penuangan/menebar beton 1 m</t>
    </r>
    <r>
      <rPr>
        <vertAlign val="superscript"/>
        <sz val="11"/>
        <rFont val="Bookman Old Style"/>
        <family val="1"/>
      </rPr>
      <t xml:space="preserve">3  </t>
    </r>
    <r>
      <rPr>
        <sz val="11"/>
        <rFont val="Bookman Old Style"/>
        <family val="1"/>
      </rPr>
      <t>untuk balok beton pracetak</t>
    </r>
  </si>
  <si>
    <r>
      <rPr>
        <sz val="11"/>
        <rFont val="Bookman Old Style"/>
        <family val="1"/>
      </rPr>
      <t>Penuangan/menebar beton 1 m</t>
    </r>
    <r>
      <rPr>
        <vertAlign val="superscript"/>
        <sz val="11"/>
        <rFont val="Bookman Old Style"/>
        <family val="1"/>
      </rPr>
      <t xml:space="preserve">3  </t>
    </r>
    <r>
      <rPr>
        <sz val="11"/>
        <rFont val="Bookman Old Style"/>
        <family val="1"/>
      </rPr>
      <t>untuk kolom beton pracetak</t>
    </r>
  </si>
  <si>
    <t>Ereksi 1 buah komponen pelat beton pracetak beserta indeks kenaikan lantai ereksi pelat hingga 24 lantai</t>
  </si>
  <si>
    <t>Ereksi 1 buah komponen balok beton pracetak beserta indeks kenaikan lantai ereksi balok hingga 24 lantai</t>
  </si>
  <si>
    <t>Ereksi 1 buah komponen kolom beton pracetak beserta indeks kenaikan lantai ereksi kolom hingga 24 lantai</t>
  </si>
  <si>
    <t>Langsir 1 buah komponen untuk pelat beton pracetak (± 20 m)</t>
  </si>
  <si>
    <t>Langsir 1 buah komponen untuk balok beton pracetak (± 20 m)</t>
  </si>
  <si>
    <t>Langsir 1 buah komponen untuk kolom beton pracetak (± 20m)</t>
  </si>
  <si>
    <r>
      <rPr>
        <sz val="11"/>
        <rFont val="Bookman Old Style"/>
        <family val="1"/>
      </rPr>
      <t>Bahan 1 m</t>
    </r>
    <r>
      <rPr>
        <vertAlign val="superscript"/>
        <sz val="11"/>
        <rFont val="Bookman Old Style"/>
        <family val="1"/>
      </rPr>
      <t xml:space="preserve">3 </t>
    </r>
    <r>
      <rPr>
        <i/>
        <sz val="11"/>
        <rFont val="Bookman Old Style"/>
        <family val="1"/>
      </rPr>
      <t xml:space="preserve">grout </t>
    </r>
    <r>
      <rPr>
        <sz val="11"/>
        <rFont val="Bookman Old Style"/>
        <family val="1"/>
      </rPr>
      <t>campuran</t>
    </r>
  </si>
  <si>
    <r>
      <rPr>
        <sz val="11"/>
        <rFont val="Bookman Old Style"/>
        <family val="1"/>
      </rPr>
      <t>Bahan 1 m</t>
    </r>
    <r>
      <rPr>
        <vertAlign val="superscript"/>
        <sz val="11"/>
        <rFont val="Bookman Old Style"/>
        <family val="1"/>
      </rPr>
      <t xml:space="preserve">3 </t>
    </r>
    <r>
      <rPr>
        <i/>
        <sz val="11"/>
        <rFont val="Bookman Old Style"/>
        <family val="1"/>
      </rPr>
      <t>grout (</t>
    </r>
    <r>
      <rPr>
        <sz val="11"/>
        <rFont val="Bookman Old Style"/>
        <family val="1"/>
      </rPr>
      <t>tidak campuran)</t>
    </r>
  </si>
  <si>
    <r>
      <rPr>
        <sz val="11"/>
        <rFont val="Bookman Old Style"/>
        <family val="1"/>
      </rPr>
      <t xml:space="preserve">Upah 1 titik pekerjaan </t>
    </r>
    <r>
      <rPr>
        <i/>
        <sz val="11"/>
        <rFont val="Bookman Old Style"/>
        <family val="1"/>
      </rPr>
      <t xml:space="preserve">grout </t>
    </r>
    <r>
      <rPr>
        <sz val="11"/>
        <rFont val="Bookman Old Style"/>
        <family val="1"/>
      </rPr>
      <t xml:space="preserve">pada </t>
    </r>
    <r>
      <rPr>
        <i/>
        <sz val="11"/>
        <rFont val="Bookman Old Style"/>
        <family val="1"/>
      </rPr>
      <t xml:space="preserve">joint </t>
    </r>
    <r>
      <rPr>
        <sz val="11"/>
        <rFont val="Bookman Old Style"/>
        <family val="1"/>
      </rPr>
      <t>pracetak</t>
    </r>
  </si>
  <si>
    <r>
      <rPr>
        <sz val="11"/>
        <rFont val="Bookman Old Style"/>
        <family val="1"/>
      </rPr>
      <t xml:space="preserve">Pemasangan 1 titik bekisting </t>
    </r>
    <r>
      <rPr>
        <i/>
        <sz val="11"/>
        <rFont val="Bookman Old Style"/>
        <family val="1"/>
      </rPr>
      <t xml:space="preserve">joint </t>
    </r>
    <r>
      <rPr>
        <sz val="11"/>
        <rFont val="Bookman Old Style"/>
        <family val="1"/>
      </rPr>
      <t>pracetak</t>
    </r>
  </si>
  <si>
    <r>
      <rPr>
        <sz val="11"/>
        <rFont val="Bookman Old Style"/>
        <family val="1"/>
      </rPr>
      <t xml:space="preserve">Upah 1 titik </t>
    </r>
    <r>
      <rPr>
        <i/>
        <sz val="11"/>
        <rFont val="Bookman Old Style"/>
        <family val="1"/>
      </rPr>
      <t xml:space="preserve">joint </t>
    </r>
    <r>
      <rPr>
        <sz val="11"/>
        <rFont val="Bookman Old Style"/>
        <family val="1"/>
      </rPr>
      <t xml:space="preserve">dengan </t>
    </r>
    <r>
      <rPr>
        <i/>
        <sz val="11"/>
        <rFont val="Bookman Old Style"/>
        <family val="1"/>
      </rPr>
      <t>sling</t>
    </r>
  </si>
  <si>
    <t>Pemasangan plesteran 1PC:1PP tebal 15 mm</t>
  </si>
  <si>
    <t>Pemasangan plesteran 1PC:2PP tebal 15 mm</t>
  </si>
  <si>
    <t>Pemasangan plesteran 1PC:3PP tebal 15 mm</t>
  </si>
  <si>
    <t>Pemasangan plesteran 1PC:4PP tebal 15 mm</t>
  </si>
  <si>
    <t>Pemasangan plesteran 1PC:5PP tebal 15 mm</t>
  </si>
  <si>
    <t>Pemasangan plesteran 1PC:6PP tebal 15 mm</t>
  </si>
  <si>
    <t>Pemasangan plesteran 1PC:7PP tebal 15 mm</t>
  </si>
  <si>
    <t>Pemasangan plesteran 1PC:8PP tebal 15 mm</t>
  </si>
  <si>
    <t>Pemasangan plesteran 1PC:1/2KP:3PP tebal 15 mm</t>
  </si>
  <si>
    <t>Pemasangan plesteran 1PC:2KP:8PP tebal 15 mm</t>
  </si>
  <si>
    <t>Pemasangan plesteran 1SM:1KP:1PP tebal 15 mm</t>
  </si>
  <si>
    <t>Pemasangan plesteran 1SM:1KP:2PP tebal 15 mm</t>
  </si>
  <si>
    <t>Pemasangan plesteran 1PC:2PP tebal 20 mm</t>
  </si>
  <si>
    <t>Pemasangan plesteran 1PC:3PP tebal 20 mm</t>
  </si>
  <si>
    <t>Pemasangan plesteran 1PC:4PP tebal 20 mm</t>
  </si>
  <si>
    <t>Pemasangan plesteran 1PC:5PP tebal 20 mm</t>
  </si>
  <si>
    <t>Pemasangan plesteran 1PC:6PP tebal 20 mm</t>
  </si>
  <si>
    <t>Pemasangan plesteran 1SM:1KP:2PP tebal 20 mm</t>
  </si>
  <si>
    <t>Pemasangan berapen 1PC:5PP  tebal 15 mm</t>
  </si>
  <si>
    <t>Pemasangan plesteran skoning 1PC:2PP lebar 10 cm</t>
  </si>
  <si>
    <t>Pemasangan plesteran granit 1PC:2 granit tebal 10 mm</t>
  </si>
  <si>
    <t>Pemasangan plesteran teraso 1PC:2 teraso tebal 10 mm</t>
  </si>
  <si>
    <t>Pemasangan plesteran ciprat 1PC:2PP</t>
  </si>
  <si>
    <r>
      <rPr>
        <sz val="11"/>
        <rFont val="Bookman Old Style"/>
        <family val="1"/>
      </rPr>
      <t xml:space="preserve">Pemasangan </t>
    </r>
    <r>
      <rPr>
        <i/>
        <sz val="11"/>
        <rFont val="Bookman Old Style"/>
        <family val="1"/>
      </rPr>
      <t xml:space="preserve">finishing </t>
    </r>
    <r>
      <rPr>
        <sz val="11"/>
        <rFont val="Bookman Old Style"/>
        <family val="1"/>
      </rPr>
      <t>siar pasangan bata</t>
    </r>
  </si>
  <si>
    <r>
      <rPr>
        <sz val="11"/>
        <rFont val="Bookman Old Style"/>
        <family val="1"/>
      </rPr>
      <t xml:space="preserve">Pemasangan </t>
    </r>
    <r>
      <rPr>
        <i/>
        <sz val="11"/>
        <rFont val="Bookman Old Style"/>
        <family val="1"/>
      </rPr>
      <t xml:space="preserve">finishing </t>
    </r>
    <r>
      <rPr>
        <sz val="11"/>
        <rFont val="Bookman Old Style"/>
        <family val="1"/>
      </rPr>
      <t xml:space="preserve">siar pas. </t>
    </r>
    <r>
      <rPr>
        <i/>
        <sz val="11"/>
        <rFont val="Bookman Old Style"/>
        <family val="1"/>
      </rPr>
      <t>conblock</t>
    </r>
  </si>
  <si>
    <t>Pemasangan acian</t>
  </si>
  <si>
    <r>
      <t xml:space="preserve">Pemasangan </t>
    </r>
    <r>
      <rPr>
        <i/>
        <sz val="11"/>
        <rFont val="Bookman Old Style"/>
        <family val="1"/>
      </rPr>
      <t xml:space="preserve">finishing </t>
    </r>
    <r>
      <rPr>
        <sz val="11"/>
        <rFont val="Bookman Old Style"/>
        <family val="1"/>
      </rPr>
      <t>siar pas. batu belah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</si>
  <si>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lantai ubin PC abu-abu 40x40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</si>
  <si>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lantai ubin PC abu-abu 30x30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</si>
  <si>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lantai ubin PC abu-abu 20x20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</si>
  <si>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lantai ubin warna 40x40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</si>
  <si>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lantai ubin warna 30x30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</si>
  <si>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lantai ubin warna 20x20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</si>
  <si>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lantai ubin teraso 40x40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</si>
  <si>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lantai ubin teraso 30x30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</si>
  <si>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lantai ubin granit 40x40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</si>
  <si>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lantai ubin granit 30x30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</si>
  <si>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lantai ubin teralux 40x40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</si>
  <si>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lantai ubin teralux 30x30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</si>
  <si>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lantai ubin teralux marmer 60x60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</si>
  <si>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lantai ubin teralux marmer 40x40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</si>
  <si>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lantai ubin teralux marmer 30x30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</si>
  <si>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Plint ubin PC abu-abu 15x20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</si>
  <si>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Plint ubin PC abu-abu 10x30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</si>
  <si>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plint ubin PC abu-abu 10x40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</si>
  <si>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plint ubin warna 10x20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</si>
  <si>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plint ubin warna 10x30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</si>
  <si>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plint ubin warna 10x40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</si>
  <si>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plint ubin teraso 10x30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</si>
  <si>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plint ubin teraso 10x40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</si>
  <si>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plint ubin granit 10x40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</si>
  <si>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plint ubin granit 10x30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</si>
  <si>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plint ubin teralux kerang 10x40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</si>
  <si>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plint ubin teralux kerang 10x30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</si>
  <si>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plint ubin teralux marmer 10x60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</si>
  <si>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plint ubin teralux marmer 10x40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</si>
  <si>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plint ubin teralux marmer 10x30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</si>
  <si>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lantai teraso cor di tempat tebal 3 cm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</si>
  <si>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lantai keramik artistik 10x20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</si>
  <si>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lantai keramik artistik 10x20 atau 5x20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</si>
  <si>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lantai keramik 33x33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</si>
  <si>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lantai keramik 30x30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</si>
  <si>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lantai keramik 20x20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</si>
  <si>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lantai mozaik 30x30 1PC:3PP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</si>
  <si>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plint keramik 10x20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</si>
  <si>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plint keramik 10x10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</si>
  <si>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plint keramik 5x20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</si>
  <si>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i/>
        <sz val="11"/>
        <rFont val="Times New Roman"/>
        <family val="1"/>
      </rPr>
      <t xml:space="preserve">plint internal cove </t>
    </r>
    <r>
      <rPr>
        <sz val="11"/>
        <rFont val="Times New Roman"/>
        <family val="1"/>
      </rPr>
      <t>artistik 5x5x20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</si>
  <si>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lantai marmer 100x100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</si>
  <si>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lantai karpet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</si>
  <si>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i/>
        <sz val="11"/>
        <rFont val="Times New Roman"/>
        <family val="1"/>
      </rPr>
      <t xml:space="preserve">underlayer </t>
    </r>
    <r>
      <rPr>
        <sz val="11"/>
        <rFont val="Times New Roman"/>
        <family val="1"/>
      </rPr>
      <t>(lapisan bawah karpet)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</si>
  <si>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 xml:space="preserve">lantai </t>
    </r>
    <r>
      <rPr>
        <i/>
        <sz val="11"/>
        <rFont val="Times New Roman"/>
        <family val="1"/>
      </rPr>
      <t>parquet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</si>
  <si>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 xml:space="preserve">lantai kayu </t>
    </r>
    <r>
      <rPr>
        <i/>
        <sz val="11"/>
        <rFont val="Times New Roman"/>
        <family val="1"/>
      </rPr>
      <t>gymfloor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</si>
  <si>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dinding porslen 11x11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</si>
  <si>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dinding porslen 10x20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</si>
  <si>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dinding porslen 20x20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</si>
  <si>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dinding keramik artistik 10x20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</si>
  <si>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dinding keramik artistik 5x20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</si>
  <si>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dinding keramik 10x20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</si>
  <si>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dinding keramik 20x20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</si>
  <si>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dinding marmer 100x100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</si>
  <si>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dinding bata pelapis 3x7x24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</si>
  <si>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dinding batu paras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</si>
  <si>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 xml:space="preserve">dinding batu </t>
    </r>
    <r>
      <rPr>
        <i/>
        <sz val="11"/>
        <rFont val="Times New Roman"/>
        <family val="1"/>
      </rPr>
      <t xml:space="preserve">temple </t>
    </r>
    <r>
      <rPr>
        <sz val="11"/>
        <rFont val="Times New Roman"/>
        <family val="1"/>
      </rPr>
      <t>hitam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</si>
  <si>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 xml:space="preserve">lantai </t>
    </r>
    <r>
      <rPr>
        <i/>
        <sz val="11"/>
        <rFont val="Times New Roman"/>
        <family val="1"/>
      </rPr>
      <t xml:space="preserve">vinyl </t>
    </r>
    <r>
      <rPr>
        <sz val="11"/>
        <rFont val="Times New Roman"/>
        <family val="1"/>
      </rPr>
      <t>30x30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</si>
  <si>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wallpaper lebar 50cm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</si>
  <si>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i/>
        <sz val="11"/>
        <rFont val="Times New Roman"/>
        <family val="1"/>
      </rPr>
      <t>floor harderner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</si>
  <si>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 xml:space="preserve">plinti </t>
    </r>
    <r>
      <rPr>
        <i/>
        <sz val="11"/>
        <rFont val="Times New Roman"/>
        <family val="1"/>
      </rPr>
      <t xml:space="preserve">vinyl </t>
    </r>
    <r>
      <rPr>
        <sz val="11"/>
        <rFont val="Times New Roman"/>
        <family val="1"/>
      </rPr>
      <t>karet 15x30</t>
    </r>
  </si>
  <si>
    <r>
      <t>Pemasangan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plint kayu 2x10</t>
    </r>
  </si>
  <si>
    <r>
      <t xml:space="preserve">Pemasangan </t>
    </r>
    <r>
      <rPr>
        <i/>
        <sz val="11"/>
        <rFont val="Times New Roman"/>
        <family val="1"/>
      </rPr>
      <t xml:space="preserve">paving block </t>
    </r>
    <r>
      <rPr>
        <sz val="11"/>
        <rFont val="Times New Roman"/>
        <family val="1"/>
      </rPr>
      <t>tebal 6 cm natural</t>
    </r>
  </si>
  <si>
    <r>
      <t xml:space="preserve">Pemasangan </t>
    </r>
    <r>
      <rPr>
        <i/>
        <sz val="11"/>
        <rFont val="Times New Roman"/>
        <family val="1"/>
      </rPr>
      <t xml:space="preserve">paving block </t>
    </r>
    <r>
      <rPr>
        <sz val="11"/>
        <rFont val="Times New Roman"/>
        <family val="1"/>
      </rPr>
      <t>tebal 8 cm natural</t>
    </r>
  </si>
  <si>
    <r>
      <t xml:space="preserve">Pemasangan </t>
    </r>
    <r>
      <rPr>
        <i/>
        <sz val="11"/>
        <rFont val="Times New Roman"/>
        <family val="1"/>
      </rPr>
      <t xml:space="preserve">paving block </t>
    </r>
    <r>
      <rPr>
        <sz val="11"/>
        <rFont val="Times New Roman"/>
        <family val="1"/>
      </rPr>
      <t>tebal 6 cm berwarna</t>
    </r>
  </si>
  <si>
    <r>
      <t xml:space="preserve">Pemasangan </t>
    </r>
    <r>
      <rPr>
        <i/>
        <sz val="11"/>
        <rFont val="Times New Roman"/>
        <family val="1"/>
      </rPr>
      <t xml:space="preserve">paving block </t>
    </r>
    <r>
      <rPr>
        <sz val="11"/>
        <rFont val="Times New Roman"/>
        <family val="1"/>
      </rPr>
      <t>tebal 8 cm berwarna</t>
    </r>
  </si>
  <si>
    <r>
      <t>Pengukuran dan pemasangan Bouwplank 1 m</t>
    </r>
    <r>
      <rPr>
        <vertAlign val="superscript"/>
        <sz val="11"/>
        <rFont val="Times New Roman"/>
        <family val="1"/>
      </rPr>
      <t>2</t>
    </r>
  </si>
  <si>
    <t>PERMEN PU NO.11/PRT/M/2013</t>
  </si>
  <si>
    <r>
      <t xml:space="preserve"> Pembersihan dan perataan lapangan 1 m</t>
    </r>
    <r>
      <rPr>
        <vertAlign val="superscript"/>
        <sz val="11"/>
        <rFont val="Times New Roman"/>
        <family val="1"/>
      </rPr>
      <t>2</t>
    </r>
  </si>
  <si>
    <r>
      <t>Pembuatan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pagar sementara dari seng gelombang</t>
    </r>
  </si>
  <si>
    <r>
      <t>Pembuatan 1 m</t>
    </r>
    <r>
      <rPr>
        <vertAlign val="superscript"/>
        <sz val="11"/>
        <rFont val="Times New Roman"/>
        <family val="1"/>
      </rPr>
      <t xml:space="preserve">2   </t>
    </r>
    <r>
      <rPr>
        <sz val="11"/>
        <rFont val="Times New Roman"/>
        <family val="1"/>
      </rPr>
      <t>pagar sementara dari kawat duri</t>
    </r>
  </si>
  <si>
    <r>
      <t>Pembuatan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pagar sementara dari kayu</t>
    </r>
  </si>
  <si>
    <r>
      <t xml:space="preserve"> Pembuatan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gudang</t>
    </r>
  </si>
  <si>
    <r>
      <t>Pembuatan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rumah jaga</t>
    </r>
  </si>
  <si>
    <r>
      <t>Pembuatan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bedeng pekerja</t>
    </r>
  </si>
  <si>
    <r>
      <t>Pembuatan 1 m</t>
    </r>
    <r>
      <rPr>
        <vertAlign val="superscript"/>
        <sz val="11"/>
        <rFont val="Times New Roman"/>
        <family val="1"/>
      </rPr>
      <t xml:space="preserve">2  </t>
    </r>
    <r>
      <rPr>
        <sz val="11"/>
        <rFont val="Times New Roman"/>
        <family val="1"/>
      </rPr>
      <t>perancah dari bambu</t>
    </r>
  </si>
  <si>
    <t>Pemasangan 1 m2 pagar beton pracetak</t>
  </si>
  <si>
    <t>Pemasangan 1 m2  bekisting untuk pondasi</t>
  </si>
  <si>
    <t>Pemasangan 1 m2  bekisting untuk sloof</t>
  </si>
  <si>
    <t>Pemasangan 1 m2  bekisting untuk kolom</t>
  </si>
  <si>
    <t>Pemasangan 1 m2  bekisting untuk balok</t>
  </si>
  <si>
    <t>Pemasangan 1 m2  bekisting untuk lantai</t>
  </si>
  <si>
    <t>Pemasangan 1 m2  bekisting untuk dinding</t>
  </si>
  <si>
    <t>Pemasangan 1 m2  bekisting untuk  tangga</t>
  </si>
  <si>
    <t>Pemasangan 1 m2  tangga pengecoran beton</t>
  </si>
  <si>
    <t xml:space="preserve">Pembuatan 1 m3 pondasi beton bertulang (150 kg besi)   </t>
  </si>
  <si>
    <t xml:space="preserve">Pembuatan 1 m3 sloof beton bertulang (200 kg besi)   </t>
  </si>
  <si>
    <t xml:space="preserve">Pembuatan 1 m3 kolom beton bertulang (300 kg besi)   </t>
  </si>
  <si>
    <t xml:space="preserve">Pembuatan 1 m3 balok beton bertulang (200 kg besi)  </t>
  </si>
  <si>
    <t xml:space="preserve">Pembuatan 1 m3 plat beton bertulang (150 kg besi)   </t>
  </si>
  <si>
    <t xml:space="preserve">Pembuatan 1 m3 dinding beton bertulang (150 kg besi)  </t>
  </si>
  <si>
    <t xml:space="preserve">Pembuatan 1 m3 dinding beton bertulang (200 kg besi)  </t>
  </si>
  <si>
    <t>Pembuangan tanah sejauh 30 m</t>
  </si>
  <si>
    <t xml:space="preserve">Pengurugan kembali galian   </t>
  </si>
  <si>
    <t>Pemadatan tanah per 20 cm</t>
  </si>
  <si>
    <r>
      <rPr>
        <sz val="11"/>
        <rFont val="Bookman Old Style"/>
        <family val="1"/>
      </rPr>
      <t>Pembuatan 1m</t>
    </r>
    <r>
      <rPr>
        <vertAlign val="superscript"/>
        <sz val="11"/>
        <rFont val="Bookman Old Style"/>
        <family val="1"/>
      </rPr>
      <t xml:space="preserve">2  </t>
    </r>
    <r>
      <rPr>
        <sz val="11"/>
        <rFont val="Bookman Old Style"/>
        <family val="1"/>
      </rPr>
      <t>lahan produksi tebal 8 cm beton f’c 14,5 MPa, slump (120 ± 20) mm</t>
    </r>
  </si>
  <si>
    <r>
      <rPr>
        <sz val="11"/>
        <rFont val="Bookman Old Style"/>
        <family val="1"/>
      </rPr>
      <t>Pembuatan 1m</t>
    </r>
    <r>
      <rPr>
        <vertAlign val="superscript"/>
        <sz val="11"/>
        <rFont val="Bookman Old Style"/>
        <family val="1"/>
      </rPr>
      <t xml:space="preserve">2  </t>
    </r>
    <r>
      <rPr>
        <sz val="11"/>
        <rFont val="Bookman Old Style"/>
        <family val="1"/>
      </rPr>
      <t>lahan produksi tebal 10 cm beton f’c 14,5 MPa, slump (120 ± 20) mm</t>
    </r>
  </si>
  <si>
    <r>
      <rPr>
        <sz val="11"/>
        <rFont val="Bookman Old Style"/>
        <family val="1"/>
      </rPr>
      <t>Pembuatan 1m</t>
    </r>
    <r>
      <rPr>
        <vertAlign val="superscript"/>
        <sz val="11"/>
        <rFont val="Bookman Old Style"/>
        <family val="1"/>
      </rPr>
      <t xml:space="preserve">2  </t>
    </r>
    <r>
      <rPr>
        <sz val="11"/>
        <rFont val="Bookman Old Style"/>
        <family val="1"/>
      </rPr>
      <t>lahan produksi tebal 12 cm beton f’c 14,5 MPa, slump (120 ± 20) mm</t>
    </r>
  </si>
  <si>
    <r>
      <rPr>
        <sz val="11"/>
        <rFont val="Bookman Old Style"/>
        <family val="1"/>
      </rPr>
      <t>Pembuatan 1m</t>
    </r>
    <r>
      <rPr>
        <vertAlign val="superscript"/>
        <sz val="11"/>
        <rFont val="Bookman Old Style"/>
        <family val="1"/>
      </rPr>
      <t xml:space="preserve">2  </t>
    </r>
    <r>
      <rPr>
        <sz val="11"/>
        <rFont val="Bookman Old Style"/>
        <family val="1"/>
      </rPr>
      <t>lahan produksi tebal 15 cm beton f’c 14,5 MPa, slump (120 ± 20) mm</t>
    </r>
  </si>
  <si>
    <t xml:space="preserve">Pemasangan 1 m2 lantai keramik 10x33 variasi/border   </t>
  </si>
  <si>
    <t>PERWAL NO. 66 Tahun 2015</t>
  </si>
  <si>
    <t>OH</t>
  </si>
  <si>
    <t>JUMLAH TENAGA KERJA</t>
  </si>
  <si>
    <t>JUMLAH HARGA BAHAN</t>
  </si>
  <si>
    <t>JUMLAH HARGA ALAT</t>
  </si>
  <si>
    <t>Jumlah (A+B+C)</t>
  </si>
  <si>
    <t>Overhead &amp; Profit (Contoh 15 %)</t>
  </si>
  <si>
    <t>Dolken kayu diameter 8-10/400 cm</t>
  </si>
  <si>
    <t>Batang</t>
  </si>
  <si>
    <t>Kg</t>
  </si>
  <si>
    <t>Koral beton</t>
  </si>
  <si>
    <t>Jumlah Harga (Rp)</t>
  </si>
  <si>
    <t>Semen portland</t>
  </si>
  <si>
    <t>Kayu 5/7</t>
  </si>
  <si>
    <t>Paku biasa 2” – 5”</t>
  </si>
  <si>
    <t>15% x D (maksimum)</t>
  </si>
  <si>
    <t>(K3) Pembuatan 1 m2    pagar sementara dari kawat duri tinggi 1,8</t>
  </si>
  <si>
    <t>Harga Satuan (Rp)</t>
  </si>
  <si>
    <r>
      <rPr>
        <sz val="10"/>
        <color rgb="FF000000"/>
        <rFont val="Times New Roman"/>
        <family val="1"/>
      </rPr>
      <t>A</t>
    </r>
  </si>
  <si>
    <r>
      <rPr>
        <sz val="10"/>
        <color rgb="FF000000"/>
        <rFont val="Times New Roman"/>
        <family val="1"/>
      </rPr>
      <t>TENAGA</t>
    </r>
  </si>
  <si>
    <r>
      <rPr>
        <sz val="10"/>
        <color rgb="FF000000"/>
        <rFont val="Times New Roman"/>
        <family val="1"/>
      </rPr>
      <t>B</t>
    </r>
  </si>
  <si>
    <r>
      <rPr>
        <sz val="10"/>
        <color rgb="FF000000"/>
        <rFont val="Times New Roman"/>
        <family val="1"/>
      </rPr>
      <t>BAHAN</t>
    </r>
  </si>
  <si>
    <r>
      <rPr>
        <sz val="10"/>
        <rFont val="Times New Roman"/>
        <family val="1"/>
      </rPr>
      <t>Dolken kayu 
8-10/400 cm</t>
    </r>
  </si>
  <si>
    <t>Kawat duri</t>
  </si>
  <si>
    <t>M’</t>
  </si>
  <si>
    <r>
      <rPr>
        <vertAlign val="subscript"/>
        <sz val="10"/>
        <rFont val="Times New Roman"/>
        <family val="1"/>
      </rPr>
      <t>m</t>
    </r>
    <r>
      <rPr>
        <sz val="10"/>
        <rFont val="Times New Roman"/>
        <family val="1"/>
      </rPr>
      <t>3</t>
    </r>
  </si>
  <si>
    <t>0.060</t>
  </si>
  <si>
    <r>
      <rPr>
        <sz val="10"/>
        <color rgb="FF000000"/>
        <rFont val="Times New Roman"/>
        <family val="1"/>
      </rPr>
      <t>C</t>
    </r>
  </si>
  <si>
    <r>
      <rPr>
        <sz val="10"/>
        <color rgb="FF000000"/>
        <rFont val="Times New Roman"/>
        <family val="1"/>
      </rPr>
      <t>PERALATAN</t>
    </r>
  </si>
  <si>
    <r>
      <rPr>
        <sz val="10"/>
        <color rgb="FF000000"/>
        <rFont val="Times New Roman"/>
        <family val="1"/>
      </rPr>
      <t>F</t>
    </r>
  </si>
  <si>
    <r>
      <rPr>
        <sz val="10"/>
        <color rgb="FF000000"/>
        <rFont val="Times New Roman"/>
        <family val="1"/>
      </rPr>
      <t>Harga Satuan Pekerjaan (D+E)</t>
    </r>
  </si>
  <si>
    <t>Pengukuran dan pemasangan 1 m’ Bouwplank</t>
  </si>
  <si>
    <t>Kayu balok 5/7</t>
  </si>
  <si>
    <t>Paku 2”-3”</t>
  </si>
  <si>
    <t>Kayu papan 3/20</t>
  </si>
  <si>
    <r>
      <rPr>
        <sz val="10"/>
        <color rgb="FF000000"/>
        <rFont val="Times New Roman"/>
        <family val="1"/>
      </rPr>
      <t>No</t>
    </r>
  </si>
  <si>
    <r>
      <rPr>
        <sz val="10"/>
        <color rgb="FF000000"/>
        <rFont val="Times New Roman"/>
        <family val="1"/>
      </rPr>
      <t>Uraian</t>
    </r>
  </si>
  <si>
    <r>
      <rPr>
        <sz val="10"/>
        <color rgb="FF000000"/>
        <rFont val="Times New Roman"/>
        <family val="1"/>
      </rPr>
      <t>Kode</t>
    </r>
  </si>
  <si>
    <r>
      <rPr>
        <sz val="10"/>
        <color rgb="FF000000"/>
        <rFont val="Times New Roman"/>
        <family val="1"/>
      </rPr>
      <t>Satuan</t>
    </r>
  </si>
  <si>
    <r>
      <rPr>
        <sz val="10"/>
        <color rgb="FF000000"/>
        <rFont val="Times New Roman"/>
        <family val="1"/>
      </rPr>
      <t>Koefisien</t>
    </r>
  </si>
  <si>
    <r>
      <rPr>
        <sz val="10"/>
        <color rgb="FF000000"/>
        <rFont val="Times New Roman"/>
        <family val="1"/>
      </rPr>
      <t>Harga Satuan (Rp)</t>
    </r>
  </si>
  <si>
    <r>
      <rPr>
        <sz val="10"/>
        <color rgb="FF000000"/>
        <rFont val="Times New Roman"/>
        <family val="1"/>
      </rPr>
      <t>Jumlah Harga (Rp)</t>
    </r>
  </si>
  <si>
    <r>
      <rPr>
        <sz val="10"/>
        <color rgb="FF000000"/>
        <rFont val="Times New Roman"/>
        <family val="1"/>
      </rPr>
      <t>Pekerja</t>
    </r>
  </si>
  <si>
    <r>
      <rPr>
        <sz val="10"/>
        <color rgb="FF000000"/>
        <rFont val="Times New Roman"/>
        <family val="1"/>
      </rPr>
      <t>L.01</t>
    </r>
  </si>
  <si>
    <r>
      <rPr>
        <sz val="10"/>
        <color rgb="FF000000"/>
        <rFont val="Times New Roman"/>
        <family val="1"/>
      </rPr>
      <t>OH</t>
    </r>
  </si>
  <si>
    <r>
      <rPr>
        <sz val="10"/>
        <color rgb="FF000000"/>
        <rFont val="Times New Roman"/>
        <family val="1"/>
      </rPr>
      <t>2.00</t>
    </r>
  </si>
  <si>
    <r>
      <rPr>
        <sz val="10"/>
        <color rgb="FF000000"/>
        <rFont val="Times New Roman"/>
        <family val="1"/>
      </rPr>
      <t>Tukang kayu</t>
    </r>
  </si>
  <si>
    <r>
      <rPr>
        <sz val="10"/>
        <color rgb="FF000000"/>
        <rFont val="Times New Roman"/>
        <family val="1"/>
      </rPr>
      <t>L.02</t>
    </r>
  </si>
  <si>
    <r>
      <rPr>
        <sz val="10"/>
        <color rgb="FF000000"/>
        <rFont val="Times New Roman"/>
        <family val="1"/>
      </rPr>
      <t>Tukang batu</t>
    </r>
  </si>
  <si>
    <r>
      <rPr>
        <sz val="10"/>
        <color rgb="FF000000"/>
        <rFont val="Times New Roman"/>
        <family val="1"/>
      </rPr>
      <t>1.00</t>
    </r>
  </si>
  <si>
    <r>
      <rPr>
        <sz val="10"/>
        <color rgb="FF000000"/>
        <rFont val="Times New Roman"/>
        <family val="1"/>
      </rPr>
      <t>Kepala tukang</t>
    </r>
  </si>
  <si>
    <r>
      <rPr>
        <sz val="10"/>
        <color rgb="FF000000"/>
        <rFont val="Times New Roman"/>
        <family val="1"/>
      </rPr>
      <t>L.03</t>
    </r>
  </si>
  <si>
    <r>
      <rPr>
        <sz val="10"/>
        <color rgb="FF000000"/>
        <rFont val="Times New Roman"/>
        <family val="1"/>
      </rPr>
      <t>0.30</t>
    </r>
  </si>
  <si>
    <r>
      <rPr>
        <sz val="10"/>
        <color rgb="FF000000"/>
        <rFont val="Times New Roman"/>
        <family val="1"/>
      </rPr>
      <t>Mandor</t>
    </r>
  </si>
  <si>
    <r>
      <rPr>
        <sz val="10"/>
        <color rgb="FF000000"/>
        <rFont val="Times New Roman"/>
        <family val="1"/>
      </rPr>
      <t>L.04</t>
    </r>
  </si>
  <si>
    <r>
      <rPr>
        <sz val="10"/>
        <color rgb="FF000000"/>
        <rFont val="Times New Roman"/>
        <family val="1"/>
      </rPr>
      <t>0.05</t>
    </r>
  </si>
  <si>
    <r>
      <rPr>
        <sz val="10"/>
        <color rgb="FF000000"/>
        <rFont val="Times New Roman"/>
        <family val="1"/>
      </rPr>
      <t>JUMLAH TENAGA KERJA</t>
    </r>
  </si>
  <si>
    <r>
      <rPr>
        <sz val="10"/>
        <color rgb="FF000000"/>
        <rFont val="Times New Roman"/>
        <family val="1"/>
      </rPr>
      <t>Dolken kayu diameter 8- 10/400 cm</t>
    </r>
  </si>
  <si>
    <r>
      <rPr>
        <sz val="10"/>
        <color rgb="FF000000"/>
        <rFont val="Times New Roman"/>
        <family val="1"/>
      </rPr>
      <t>Batang</t>
    </r>
  </si>
  <si>
    <r>
      <rPr>
        <sz val="10"/>
        <color rgb="FF000000"/>
        <rFont val="Times New Roman"/>
        <family val="1"/>
      </rPr>
      <t>Kayu</t>
    </r>
  </si>
  <si>
    <r>
      <rPr>
        <sz val="10"/>
        <color rgb="FF000000"/>
        <rFont val="Times New Roman"/>
        <family val="1"/>
      </rPr>
      <t>Paku biasa</t>
    </r>
  </si>
  <si>
    <r>
      <rPr>
        <sz val="10"/>
        <color rgb="FF000000"/>
        <rFont val="Times New Roman"/>
        <family val="1"/>
      </rPr>
      <t>Kg</t>
    </r>
  </si>
  <si>
    <r>
      <rPr>
        <sz val="10"/>
        <color rgb="FF000000"/>
        <rFont val="Times New Roman"/>
        <family val="1"/>
      </rPr>
      <t>Besi strip</t>
    </r>
  </si>
  <si>
    <r>
      <rPr>
        <sz val="10"/>
        <color rgb="FF000000"/>
        <rFont val="Times New Roman"/>
        <family val="1"/>
      </rPr>
      <t>Semen Portland</t>
    </r>
  </si>
  <si>
    <r>
      <rPr>
        <sz val="10"/>
        <color rgb="FF000000"/>
        <rFont val="Times New Roman"/>
        <family val="1"/>
      </rPr>
      <t>Pasir pasang</t>
    </r>
  </si>
  <si>
    <r>
      <rPr>
        <sz val="10"/>
        <color rgb="FF000000"/>
        <rFont val="Times New Roman"/>
        <family val="1"/>
      </rPr>
      <t>Pasir beton</t>
    </r>
  </si>
  <si>
    <r>
      <rPr>
        <sz val="10"/>
        <color rgb="FF000000"/>
        <rFont val="Times New Roman"/>
        <family val="1"/>
      </rPr>
      <t>Koral beton</t>
    </r>
  </si>
  <si>
    <r>
      <rPr>
        <sz val="10"/>
        <color rgb="FF000000"/>
        <rFont val="Times New Roman"/>
        <family val="1"/>
      </rPr>
      <t>Bata merah</t>
    </r>
  </si>
  <si>
    <r>
      <rPr>
        <sz val="10"/>
        <color rgb="FF000000"/>
        <rFont val="Times New Roman"/>
        <family val="1"/>
      </rPr>
      <t>Bh</t>
    </r>
  </si>
  <si>
    <r>
      <rPr>
        <sz val="10"/>
        <color rgb="FF000000"/>
        <rFont val="Times New Roman"/>
        <family val="1"/>
      </rPr>
      <t>Seng pelat</t>
    </r>
  </si>
  <si>
    <r>
      <rPr>
        <sz val="10"/>
        <color rgb="FF000000"/>
        <rFont val="Times New Roman"/>
        <family val="1"/>
      </rPr>
      <t>Lbr</t>
    </r>
  </si>
  <si>
    <r>
      <rPr>
        <sz val="10"/>
        <color rgb="FF000000"/>
        <rFont val="Times New Roman"/>
        <family val="1"/>
      </rPr>
      <t>Jendela naco</t>
    </r>
  </si>
  <si>
    <r>
      <rPr>
        <sz val="10"/>
        <color rgb="FF000000"/>
        <rFont val="Times New Roman"/>
        <family val="1"/>
      </rPr>
      <t>Kaca polos</t>
    </r>
  </si>
  <si>
    <r>
      <rPr>
        <sz val="10"/>
        <color rgb="FF000000"/>
        <rFont val="Times New Roman"/>
        <family val="1"/>
      </rPr>
      <t>Kunci tanam</t>
    </r>
  </si>
  <si>
    <r>
      <rPr>
        <sz val="10"/>
        <color rgb="FF000000"/>
        <rFont val="Times New Roman"/>
        <family val="1"/>
      </rPr>
      <t>JUMLAH HARGA BAHAN</t>
    </r>
  </si>
  <si>
    <r>
      <rPr>
        <sz val="10"/>
        <color rgb="FF000000"/>
        <rFont val="Times New Roman"/>
        <family val="1"/>
      </rPr>
      <t>JUMLAH HARGA ALAT</t>
    </r>
  </si>
  <si>
    <r>
      <rPr>
        <sz val="10"/>
        <color rgb="FF000000"/>
        <rFont val="Times New Roman"/>
        <family val="1"/>
      </rPr>
      <t>D</t>
    </r>
  </si>
  <si>
    <r>
      <rPr>
        <sz val="10"/>
        <color rgb="FF000000"/>
        <rFont val="Times New Roman"/>
        <family val="1"/>
      </rPr>
      <t>Jumlah (A+B+C)</t>
    </r>
  </si>
  <si>
    <r>
      <rPr>
        <sz val="10"/>
        <color rgb="FF000000"/>
        <rFont val="Times New Roman"/>
        <family val="1"/>
      </rPr>
      <t>E</t>
    </r>
  </si>
  <si>
    <r>
      <rPr>
        <sz val="10"/>
        <color rgb="FF000000"/>
        <rFont val="Times New Roman"/>
        <family val="1"/>
      </rPr>
      <t>Overhead &amp; Profit (Contoh 15 %)</t>
    </r>
  </si>
  <si>
    <r>
      <rPr>
        <sz val="10"/>
        <color rgb="FF000000"/>
        <rFont val="Times New Roman"/>
        <family val="1"/>
      </rPr>
      <t>15% x D (maksimum)</t>
    </r>
  </si>
  <si>
    <t>Semen Portland</t>
  </si>
  <si>
    <t>Kerikil (Maks 30mm)</t>
  </si>
  <si>
    <r>
      <t>Pemasangan 1 m</t>
    </r>
    <r>
      <rPr>
        <vertAlign val="superscript"/>
        <sz val="7"/>
        <rFont val="Bookman Old Style"/>
        <family val="1"/>
      </rPr>
      <t xml:space="preserve">2  </t>
    </r>
    <r>
      <rPr>
        <sz val="11"/>
        <rFont val="Bookman Old Style"/>
        <family val="1"/>
      </rPr>
      <t>plesteran dengan mortar siap pakai (MSP)</t>
    </r>
  </si>
  <si>
    <r>
      <t xml:space="preserve"> Pemasangan 1 m</t>
    </r>
    <r>
      <rPr>
        <vertAlign val="superscript"/>
        <sz val="7"/>
        <rFont val="Bookman Old Style"/>
        <family val="1"/>
      </rPr>
      <t xml:space="preserve">2  </t>
    </r>
    <r>
      <rPr>
        <sz val="11"/>
        <rFont val="Bookman Old Style"/>
        <family val="1"/>
      </rPr>
      <t>plesteran acian mortar siap pakai (MSP)</t>
    </r>
  </si>
  <si>
    <t>TENAGA</t>
  </si>
  <si>
    <t>BAHAN</t>
  </si>
  <si>
    <t>Semen PC</t>
  </si>
  <si>
    <t>Kerikil (maks 30 mm)</t>
  </si>
  <si>
    <t>L</t>
  </si>
  <si>
    <t>PERALATAN</t>
  </si>
  <si>
    <t>Overhead &amp; Profit (Contoh 15%)</t>
  </si>
  <si>
    <t>Harga Satuan Pekerjaan (D+E)</t>
  </si>
  <si>
    <t>Kerikil (maks 30mm)</t>
  </si>
  <si>
    <t>Lantai kerja t=10cm</t>
  </si>
  <si>
    <t>Kayu kaso 5/7 (lebar 5 cm, tinggi 7 cm)</t>
  </si>
  <si>
    <t>Phenol film 12 mm</t>
  </si>
  <si>
    <t>Lbr</t>
  </si>
  <si>
    <t>Minyak cetakan (bekisting)</t>
  </si>
  <si>
    <t>Dinabolt  Ø 12mm (10 s.d.15 cm)</t>
  </si>
  <si>
    <t>buah</t>
  </si>
  <si>
    <t>Paku (5 s.d.7) cm</t>
  </si>
  <si>
    <t>Dinabolt  Ø 12 mm (10 s.d.15 cm)</t>
  </si>
  <si>
    <t>Dinabolt Ø 12 mm (10-15cm)</t>
  </si>
  <si>
    <t>Tukang vibrator</t>
  </si>
  <si>
    <t>Mandor/Supervisor/ Penyelia</t>
  </si>
  <si>
    <t>Tukang ereksi</t>
  </si>
  <si>
    <t>Solar</t>
  </si>
  <si>
    <t>unit hari</t>
  </si>
  <si>
    <t>buah hari</t>
  </si>
  <si>
    <t>Screening</t>
  </si>
  <si>
    <t>Papan cor</t>
  </si>
  <si>
    <t>Overhead &amp; Profit</t>
  </si>
  <si>
    <r>
      <rPr>
        <sz val="10"/>
        <rFont val="Times New Roman"/>
        <family val="1"/>
      </rPr>
      <t xml:space="preserve">Untuk  produksi  pracetak bisa dilakukan  dipabrik (cor  di  </t>
    </r>
    <r>
      <rPr>
        <i/>
        <sz val="10"/>
        <rFont val="Times New Roman"/>
        <family val="1"/>
      </rPr>
      <t>plant</t>
    </r>
    <r>
      <rPr>
        <sz val="10"/>
        <rFont val="Times New Roman"/>
        <family val="1"/>
      </rPr>
      <t>)  atau  di  lapangan  (</t>
    </r>
    <r>
      <rPr>
        <i/>
        <sz val="10"/>
        <rFont val="Times New Roman"/>
        <family val="1"/>
      </rPr>
      <t>cast  in</t>
    </r>
  </si>
  <si>
    <r>
      <rPr>
        <i/>
        <sz val="10"/>
        <rFont val="Times New Roman"/>
        <family val="1"/>
      </rPr>
      <t>place</t>
    </r>
    <r>
      <rPr>
        <sz val="10"/>
        <rFont val="Times New Roman"/>
        <family val="1"/>
      </rPr>
      <t>).  Indeks  yang  ada  dalam  pedoman  ini  hanya  untuk  pekerjaan  produksi  yang dilakukan  di  lapangan,  terutama  untuk analisa  cetakan  (bekisting)   pracetak baik  untuk komponen kolom, balok dan pelat.</t>
    </r>
  </si>
  <si>
    <r>
      <rPr>
        <sz val="10"/>
        <rFont val="Times New Roman"/>
        <family val="1"/>
      </rPr>
      <t>No</t>
    </r>
  </si>
  <si>
    <r>
      <rPr>
        <sz val="10"/>
        <rFont val="Times New Roman"/>
        <family val="1"/>
      </rPr>
      <t>Uraian</t>
    </r>
  </si>
  <si>
    <r>
      <rPr>
        <sz val="10"/>
        <rFont val="Times New Roman"/>
        <family val="1"/>
      </rPr>
      <t>Kode</t>
    </r>
  </si>
  <si>
    <r>
      <rPr>
        <sz val="10"/>
        <rFont val="Times New Roman"/>
        <family val="1"/>
      </rPr>
      <t>Satuan</t>
    </r>
  </si>
  <si>
    <r>
      <rPr>
        <sz val="10"/>
        <rFont val="Times New Roman"/>
        <family val="1"/>
      </rPr>
      <t>Koefisien</t>
    </r>
  </si>
  <si>
    <r>
      <rPr>
        <sz val="10"/>
        <rFont val="Times New Roman"/>
        <family val="1"/>
      </rPr>
      <t>Harga Satuan (Rp)</t>
    </r>
  </si>
  <si>
    <r>
      <rPr>
        <sz val="10"/>
        <rFont val="Times New Roman"/>
        <family val="1"/>
      </rPr>
      <t>Jumlah Harga (Rp)</t>
    </r>
  </si>
  <si>
    <r>
      <rPr>
        <sz val="10"/>
        <rFont val="Times New Roman"/>
        <family val="1"/>
      </rPr>
      <t>Besi hollow (50 x 50
x 3) mm</t>
    </r>
  </si>
  <si>
    <r>
      <rPr>
        <sz val="10"/>
        <rFont val="Times New Roman"/>
        <family val="1"/>
      </rPr>
      <t xml:space="preserve">Operator </t>
    </r>
    <r>
      <rPr>
        <i/>
        <sz val="10"/>
        <rFont val="Times New Roman"/>
        <family val="1"/>
      </rPr>
      <t>crane</t>
    </r>
  </si>
  <si>
    <r>
      <rPr>
        <sz val="10"/>
        <rFont val="Times New Roman"/>
        <family val="1"/>
      </rPr>
      <t xml:space="preserve">Pembantu    operator
</t>
    </r>
    <r>
      <rPr>
        <i/>
        <sz val="10"/>
        <rFont val="Times New Roman"/>
        <family val="1"/>
      </rPr>
      <t>crane</t>
    </r>
  </si>
  <si>
    <r>
      <rPr>
        <sz val="10"/>
        <rFont val="Times New Roman"/>
        <family val="1"/>
      </rPr>
      <t xml:space="preserve">Sewa </t>
    </r>
    <r>
      <rPr>
        <i/>
        <sz val="10"/>
        <rFont val="Times New Roman"/>
        <family val="1"/>
      </rPr>
      <t>crane</t>
    </r>
  </si>
  <si>
    <r>
      <rPr>
        <sz val="10"/>
        <rFont val="Times New Roman"/>
        <family val="1"/>
      </rPr>
      <t xml:space="preserve">Sewa </t>
    </r>
    <r>
      <rPr>
        <i/>
        <sz val="10"/>
        <rFont val="Times New Roman"/>
        <family val="1"/>
      </rPr>
      <t>pipe support</t>
    </r>
  </si>
  <si>
    <r>
      <rPr>
        <sz val="10"/>
        <rFont val="Times New Roman"/>
        <family val="1"/>
      </rPr>
      <t>Indeks kenaikan lantai ereksi komponen untuk pelat pracetak</t>
    </r>
  </si>
  <si>
    <r>
      <rPr>
        <sz val="10"/>
        <rFont val="Times New Roman"/>
        <family val="1"/>
      </rPr>
      <t>Lantai</t>
    </r>
  </si>
  <si>
    <r>
      <rPr>
        <sz val="10"/>
        <rFont val="Times New Roman"/>
        <family val="1"/>
      </rPr>
      <t>Indeks kenaikan lantai ereksi pelat</t>
    </r>
  </si>
  <si>
    <r>
      <rPr>
        <sz val="10"/>
        <rFont val="Times New Roman"/>
        <family val="1"/>
      </rPr>
      <t xml:space="preserve">Pembantu operator </t>
    </r>
    <r>
      <rPr>
        <i/>
        <sz val="10"/>
        <rFont val="Times New Roman"/>
        <family val="1"/>
      </rPr>
      <t>crane</t>
    </r>
  </si>
  <si>
    <r>
      <rPr>
        <sz val="10"/>
        <rFont val="Times New Roman"/>
        <family val="1"/>
      </rPr>
      <t xml:space="preserve">Sewa </t>
    </r>
    <r>
      <rPr>
        <i/>
        <sz val="10"/>
        <rFont val="Times New Roman"/>
        <family val="1"/>
      </rPr>
      <t>scaffolding</t>
    </r>
  </si>
  <si>
    <r>
      <rPr>
        <sz val="10"/>
        <rFont val="Times New Roman"/>
        <family val="1"/>
      </rPr>
      <t>Indeks kenaikan lantai ereksi komponen untuk balok pracetak</t>
    </r>
  </si>
  <si>
    <r>
      <rPr>
        <sz val="10"/>
        <rFont val="Times New Roman"/>
        <family val="1"/>
      </rPr>
      <t>Indeks kenaikan lantai ereksi balok</t>
    </r>
  </si>
  <si>
    <r>
      <rPr>
        <sz val="10"/>
        <rFont val="Times New Roman"/>
        <family val="1"/>
      </rPr>
      <t xml:space="preserve">Pembantu operator
</t>
    </r>
    <r>
      <rPr>
        <i/>
        <sz val="10"/>
        <rFont val="Times New Roman"/>
        <family val="1"/>
      </rPr>
      <t>crane</t>
    </r>
  </si>
  <si>
    <r>
      <rPr>
        <sz val="10"/>
        <rFont val="Times New Roman"/>
        <family val="1"/>
      </rPr>
      <t>Indeks kenaikan lantai ereksi komponen untuk kolom pracetak</t>
    </r>
  </si>
  <si>
    <r>
      <rPr>
        <sz val="10"/>
        <rFont val="Times New Roman"/>
        <family val="1"/>
      </rPr>
      <t>Indeks kenaikan lantai ereksi kolom</t>
    </r>
  </si>
  <si>
    <r>
      <rPr>
        <sz val="10"/>
        <rFont val="Times New Roman"/>
        <family val="1"/>
      </rPr>
      <t xml:space="preserve">Semen </t>
    </r>
    <r>
      <rPr>
        <i/>
        <sz val="10"/>
        <rFont val="Times New Roman"/>
        <family val="1"/>
      </rPr>
      <t>grout</t>
    </r>
  </si>
  <si>
    <t>(K3) Pembuatan 1 m2  pagar sementara dari kayu</t>
  </si>
  <si>
    <t>(K3) Pembuatan 1 m2  pagar sementara dari seng gelombang</t>
  </si>
  <si>
    <t>(K3) Pembuatan 1 m2   pagar sementara dari kawat duri</t>
  </si>
  <si>
    <t>Pengukuran dan pemasangan 1 m2 Bouwplank</t>
  </si>
  <si>
    <t xml:space="preserve"> (K3) Pembuatan 1 m2  kantor sementara lantai plesteran</t>
  </si>
  <si>
    <t>(K3) Pembuatan 1 m2  gudang semen dan peralatan</t>
  </si>
  <si>
    <t>(K3) Pembuatan 1 m2  rumah jaga</t>
  </si>
  <si>
    <t>(K3) Pembersihan dan perataan lapangan 1 m2</t>
  </si>
  <si>
    <t>(K3) Pembuatan 1 m2  bedeng pekerja</t>
  </si>
  <si>
    <t xml:space="preserve"> (K3) Pembuatan 1 m2  perancah dari bambu</t>
  </si>
  <si>
    <t>Pembuatan 1 m2  jalan sementara</t>
  </si>
  <si>
    <t>Pembongkaran 1 m3   beton bertulang</t>
  </si>
  <si>
    <t>Pembongkaran 1 m2  dinding tembok</t>
  </si>
  <si>
    <t>Pemasangan 1 m2  kawat jaring galvanis</t>
  </si>
  <si>
    <t>Pemasangan 1 m2  pagar beton pracetak 50x50x240 untuk pagar</t>
  </si>
  <si>
    <t>KODE</t>
  </si>
  <si>
    <t>28/2016</t>
  </si>
  <si>
    <t xml:space="preserve">Pembuatan  Papan Nama Proyek 80x120 cm (bahan seng) </t>
  </si>
  <si>
    <t>Pembuatan  Papan Nama Proyek 80x120 cm (bahan flexi)</t>
  </si>
  <si>
    <t>Pembongkaran pasangan batu kali 1 m3</t>
  </si>
  <si>
    <t>Pembongkaran lantai tegel untuk dipergunakan lagi 1 m2</t>
  </si>
  <si>
    <t>Pembongkaran genteng / sirap untuk dipergunakan lagi 1 m2</t>
  </si>
  <si>
    <t>Pembongkaran atap seng 1 m2</t>
  </si>
  <si>
    <t>Pembongkaran usuk / reng dipakai lagi 1 m2</t>
  </si>
  <si>
    <t>Pembongkaran usuk / reng tidak dipakai lagi 1 m2</t>
  </si>
  <si>
    <t>Pembongkaran kayu balok loteng, kuda-kuda, dlurung, jembatan untuk digunakan lagi 1 m3</t>
  </si>
  <si>
    <t>Pembongkaran kayu balok loteng, kuda-kuda, dlurung, jembatan tidak digunakan lagi 1 m3</t>
  </si>
  <si>
    <t>Pembongkaran Plafon dgn rangka, tidak digunakan lagi 1 m2</t>
  </si>
  <si>
    <t>Pengurukan  tanah m3</t>
  </si>
  <si>
    <t>Pemasangan dinding terawang (roster) ukuran (12 x 11 x 24) cm, campuran spesi 1 PC : 3 PP</t>
  </si>
  <si>
    <t>Pemasangan rollag bata , campuran spesi 1 PC : 3 PP</t>
  </si>
  <si>
    <t>Pemasangan lantai keramik ukuran (40 x 40) cm</t>
  </si>
  <si>
    <t>Pemasangan  Batu Candi (30 x 30) Trotoar</t>
  </si>
  <si>
    <t>Pemasangan Batu Candi (20 x 20) Trotoar</t>
  </si>
  <si>
    <t>Pemasangan  lantai keramik ukuran (10 x 33) cm, variasi/border</t>
  </si>
  <si>
    <t>Pemasangan  plint keramik ukuran 10 x 30 cm</t>
  </si>
  <si>
    <t>Pemasangan plint keramik ukuran 10 x 40 cm</t>
  </si>
  <si>
    <t>Pemasangan  dinding keramik ukuran (20 x 25) cm</t>
  </si>
  <si>
    <t>Pemasangan  Batu Candi (20 x 20) Dinding</t>
  </si>
  <si>
    <t>Pemasangan  hospital plint panjang 20 cm</t>
  </si>
  <si>
    <t>Pemasangan  hospital plint panjang 30 cm</t>
  </si>
  <si>
    <t>Pemasangan  grassblock bulat tebal 10 cm, tebal pasir 5 cm</t>
  </si>
  <si>
    <t>Pemasangan  grassblock tebal 10 cm, tebal pasir 5 cm</t>
  </si>
  <si>
    <t>Pengurugan kembali 1 m3  galian tanah</t>
  </si>
  <si>
    <t>AK</t>
  </si>
  <si>
    <t>Tanah Liat</t>
  </si>
  <si>
    <t>SNI 6897:2008 - 6.22</t>
  </si>
  <si>
    <t>Pembuatan 1 buah kotak adukan ukuran 40 cm x 50 cm x 25 cm</t>
  </si>
  <si>
    <t>Pembongaran atap seng 1 m2</t>
  </si>
  <si>
    <t>Pembongaran usuk / reng dipakai lagi 1 m2</t>
  </si>
  <si>
    <t>Pembongaran usuk / reng tidak dipakai lagi 1 m2</t>
  </si>
  <si>
    <t>Pembongaran kayu balok loteng, kuda-kuda, dlurung, jembatan untuk digunakan lagi 1 m3</t>
  </si>
  <si>
    <t>Pembongaran kayu balok loteng, kuda-kuda, dlurung, jembatan tidak digunakan lagi 1 m3</t>
  </si>
  <si>
    <t>Pembongaran Plafon dgn rangka, tidak digunakan lagi 1 m2</t>
  </si>
  <si>
    <r>
      <rPr>
        <sz val="10"/>
        <rFont val="Times New Roman"/>
        <family val="1"/>
      </rPr>
      <t>A</t>
    </r>
  </si>
  <si>
    <r>
      <rPr>
        <sz val="10"/>
        <rFont val="Times New Roman"/>
        <family val="1"/>
      </rPr>
      <t>TENAGA</t>
    </r>
  </si>
  <si>
    <r>
      <rPr>
        <sz val="10"/>
        <rFont val="Times New Roman"/>
        <family val="1"/>
      </rPr>
      <t>B</t>
    </r>
  </si>
  <si>
    <r>
      <rPr>
        <sz val="10"/>
        <rFont val="Times New Roman"/>
        <family val="1"/>
      </rPr>
      <t>BAHAN</t>
    </r>
  </si>
  <si>
    <t>Dolken Kayu   8-10/400 cm</t>
  </si>
  <si>
    <r>
      <rPr>
        <sz val="10"/>
        <rFont val="Times New Roman"/>
        <family val="1"/>
      </rPr>
      <t>C</t>
    </r>
  </si>
  <si>
    <r>
      <rPr>
        <sz val="10"/>
        <rFont val="Times New Roman"/>
        <family val="1"/>
      </rPr>
      <t>PERALATAN</t>
    </r>
  </si>
  <si>
    <r>
      <rPr>
        <sz val="10"/>
        <rFont val="Times New Roman"/>
        <family val="1"/>
      </rPr>
      <t>F</t>
    </r>
  </si>
  <si>
    <r>
      <rPr>
        <sz val="10"/>
        <rFont val="Times New Roman"/>
        <family val="1"/>
      </rPr>
      <t>Harga Satuan Pekerjaan (D+E)</t>
    </r>
  </si>
  <si>
    <t>Dolken kayu  8-10/400 cm</t>
  </si>
  <si>
    <t>Seng gelombang</t>
  </si>
  <si>
    <t>1.20</t>
  </si>
  <si>
    <t>Meni besi</t>
  </si>
  <si>
    <r>
      <rPr>
        <i/>
        <sz val="10"/>
        <rFont val="Times New Roman"/>
        <family val="1"/>
      </rPr>
      <t xml:space="preserve">Plywood </t>
    </r>
    <r>
      <rPr>
        <sz val="10"/>
        <rFont val="Times New Roman"/>
        <family val="1"/>
      </rPr>
      <t>4mm</t>
    </r>
  </si>
  <si>
    <t>Kayu</t>
  </si>
  <si>
    <t>Paku biasa</t>
  </si>
  <si>
    <r>
      <rPr>
        <sz val="10"/>
        <rFont val="Times New Roman"/>
        <family val="1"/>
      </rPr>
      <t>a Satuan (Rp)</t>
    </r>
  </si>
  <si>
    <t>Seng pelat</t>
  </si>
  <si>
    <t>15% x D (Maksimum)</t>
  </si>
  <si>
    <t>Kepala  tukang</t>
  </si>
  <si>
    <t>Bambu     diameter 6-8/600 cm</t>
  </si>
  <si>
    <t>Tali ijuk</t>
  </si>
  <si>
    <t>Kayu  papan  kelas III</t>
  </si>
  <si>
    <t>Kayu    balok    5/7 kelas III</t>
  </si>
  <si>
    <t>Batu pecah</t>
  </si>
  <si>
    <t>Kepala Tukang</t>
  </si>
  <si>
    <t>Kawat jaring</t>
  </si>
  <si>
    <t>Panel             beton pracetak</t>
  </si>
  <si>
    <t>Kolom           beton pracetak</t>
  </si>
  <si>
    <t>0.525</t>
  </si>
  <si>
    <t>Koral</t>
  </si>
  <si>
    <t>0.146</t>
  </si>
  <si>
    <r>
      <rPr>
        <vertAlign val="subscript"/>
        <sz val="10"/>
        <rFont val="Times New Roman"/>
        <family val="1"/>
      </rPr>
      <t>m</t>
    </r>
    <r>
      <rPr>
        <sz val="10"/>
        <rFont val="Times New Roman"/>
        <family val="1"/>
      </rPr>
      <t>2</t>
    </r>
  </si>
  <si>
    <t>Kapur Padam</t>
  </si>
  <si>
    <t>Sirtu</t>
  </si>
  <si>
    <t>Harga Satuan
 (Rp)</t>
  </si>
  <si>
    <t>Jumlah Harga 
(Rp)</t>
  </si>
  <si>
    <t>Jumlah Harga
(Rp)</t>
  </si>
  <si>
    <t>Harga Satuan 
(Rp)</t>
  </si>
  <si>
    <t>Jumlah Harga
 (Rp)</t>
  </si>
  <si>
    <t>Jumlah Harg
 (Rp)</t>
  </si>
  <si>
    <r>
      <t>Pembongkaran 1 m</t>
    </r>
    <r>
      <rPr>
        <b/>
        <vertAlign val="superscript"/>
        <sz val="10"/>
        <rFont val="Times New Roman"/>
        <family val="1"/>
      </rPr>
      <t xml:space="preserve">3  </t>
    </r>
    <r>
      <rPr>
        <b/>
        <sz val="10"/>
        <rFont val="Times New Roman"/>
        <family val="1"/>
      </rPr>
      <t>dinding tembok bata</t>
    </r>
  </si>
  <si>
    <r>
      <t>Pembongkaran 1 m</t>
    </r>
    <r>
      <rPr>
        <b/>
        <vertAlign val="superscript"/>
        <sz val="10"/>
        <rFont val="Times New Roman"/>
        <family val="1"/>
      </rPr>
      <t xml:space="preserve">3  </t>
    </r>
    <r>
      <rPr>
        <b/>
        <sz val="10"/>
        <rFont val="Times New Roman"/>
        <family val="1"/>
      </rPr>
      <t>beton bertulang</t>
    </r>
  </si>
  <si>
    <r>
      <t>(K3) Pembuatan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pagar sementara dari kayu tinggi 2 meter</t>
    </r>
  </si>
  <si>
    <r>
      <t>(K3) Pembuatan 1 m</t>
    </r>
    <r>
      <rPr>
        <b/>
        <vertAlign val="superscript"/>
        <sz val="10"/>
        <rFont val="Times New Roman"/>
        <family val="1"/>
      </rPr>
      <t xml:space="preserve">2   </t>
    </r>
    <r>
      <rPr>
        <b/>
        <sz val="10"/>
        <rFont val="Times New Roman"/>
        <family val="1"/>
      </rPr>
      <t>pagar sementara dari seng gelombang tinggi 2 meter</t>
    </r>
  </si>
  <si>
    <r>
      <t>(K3) Pembuatan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rumah jaga (konstruksi kayu )</t>
    </r>
  </si>
  <si>
    <r>
      <t>(K3) Pembuatan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gudang semen dan peralatan</t>
    </r>
  </si>
  <si>
    <r>
      <t xml:space="preserve">  (K3) Pembuatan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bedeng pekerja</t>
    </r>
  </si>
  <si>
    <r>
      <t>(K3) Pembersihan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lapangan dan perataan</t>
    </r>
  </si>
  <si>
    <r>
      <t>(K3) Pembuatan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i/>
        <sz val="10"/>
        <rFont val="Times New Roman"/>
        <family val="1"/>
      </rPr>
      <t>steger</t>
    </r>
    <r>
      <rPr>
        <b/>
        <sz val="10"/>
        <rFont val="Times New Roman"/>
        <family val="1"/>
      </rPr>
      <t>/perancah dari bambu</t>
    </r>
  </si>
  <si>
    <r>
      <t>Pembuatan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jalan sementara</t>
    </r>
  </si>
  <si>
    <r>
      <t xml:space="preserve"> Pemasangan 1 m</t>
    </r>
    <r>
      <rPr>
        <b/>
        <vertAlign val="superscript"/>
        <sz val="10"/>
        <rFont val="Times New Roman"/>
        <family val="1"/>
      </rPr>
      <t xml:space="preserve">2   </t>
    </r>
    <r>
      <rPr>
        <b/>
        <sz val="10"/>
        <rFont val="Times New Roman"/>
        <family val="1"/>
      </rPr>
      <t>pagar kawat jaring galvanis panjang 240 cm</t>
    </r>
  </si>
  <si>
    <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panel beton pracetak 5x50x240 cm untuk pagar</t>
    </r>
  </si>
  <si>
    <r>
      <t>Penggalian 1 m</t>
    </r>
    <r>
      <rPr>
        <b/>
        <vertAlign val="superscript"/>
        <sz val="10"/>
        <rFont val="Times New Roman"/>
        <family val="1"/>
      </rPr>
      <t xml:space="preserve">3  </t>
    </r>
    <r>
      <rPr>
        <b/>
        <sz val="10"/>
        <rFont val="Times New Roman"/>
        <family val="1"/>
      </rPr>
      <t>tanah biasa sedalam 1 m</t>
    </r>
  </si>
  <si>
    <r>
      <t>Penggalian 1 m</t>
    </r>
    <r>
      <rPr>
        <b/>
        <vertAlign val="superscript"/>
        <sz val="10"/>
        <rFont val="Times New Roman"/>
        <family val="1"/>
      </rPr>
      <t xml:space="preserve">3  </t>
    </r>
    <r>
      <rPr>
        <b/>
        <sz val="10"/>
        <rFont val="Times New Roman"/>
        <family val="1"/>
      </rPr>
      <t>tanah biasa sedalam 2 m</t>
    </r>
  </si>
  <si>
    <r>
      <t>Menggali 1 m</t>
    </r>
    <r>
      <rPr>
        <b/>
        <vertAlign val="superscript"/>
        <sz val="10"/>
        <rFont val="Times New Roman"/>
        <family val="1"/>
      </rPr>
      <t xml:space="preserve">3  </t>
    </r>
    <r>
      <rPr>
        <b/>
        <sz val="10"/>
        <rFont val="Times New Roman"/>
        <family val="1"/>
      </rPr>
      <t>tanah biasa sedalam 3 m</t>
    </r>
  </si>
  <si>
    <r>
      <t>Menggali 1 m</t>
    </r>
    <r>
      <rPr>
        <b/>
        <vertAlign val="superscript"/>
        <sz val="10"/>
        <rFont val="Times New Roman"/>
        <family val="1"/>
      </rPr>
      <t xml:space="preserve">3  </t>
    </r>
    <r>
      <rPr>
        <b/>
        <sz val="10"/>
        <rFont val="Times New Roman"/>
        <family val="1"/>
      </rPr>
      <t>tanah keras sedalam 1 m</t>
    </r>
  </si>
  <si>
    <r>
      <t>Menggali 1 m</t>
    </r>
    <r>
      <rPr>
        <b/>
        <vertAlign val="superscript"/>
        <sz val="10"/>
        <rFont val="Times New Roman"/>
        <family val="1"/>
      </rPr>
      <t xml:space="preserve">3  </t>
    </r>
    <r>
      <rPr>
        <b/>
        <sz val="10"/>
        <rFont val="Times New Roman"/>
        <family val="1"/>
      </rPr>
      <t>tanah cadas sedalam 1 m</t>
    </r>
  </si>
  <si>
    <r>
      <t>Menggali 1 m</t>
    </r>
    <r>
      <rPr>
        <b/>
        <vertAlign val="superscript"/>
        <sz val="10"/>
        <rFont val="Times New Roman"/>
        <family val="1"/>
      </rPr>
      <t xml:space="preserve">3  </t>
    </r>
    <r>
      <rPr>
        <b/>
        <sz val="10"/>
        <rFont val="Times New Roman"/>
        <family val="1"/>
      </rPr>
      <t>tanah lumpur sedalam 1 m</t>
    </r>
  </si>
  <si>
    <r>
      <t xml:space="preserve">Pengerjaan </t>
    </r>
    <r>
      <rPr>
        <b/>
        <i/>
        <sz val="10"/>
        <rFont val="Times New Roman"/>
        <family val="1"/>
      </rPr>
      <t xml:space="preserve">stripping  </t>
    </r>
    <r>
      <rPr>
        <b/>
        <sz val="10"/>
        <rFont val="Times New Roman"/>
        <family val="1"/>
      </rPr>
      <t>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tanah tebing setinggi 1 meter</t>
    </r>
  </si>
  <si>
    <r>
      <t>Pengurugan kembali 1 m</t>
    </r>
    <r>
      <rPr>
        <b/>
        <vertAlign val="superscript"/>
        <sz val="10"/>
        <rFont val="Times New Roman"/>
        <family val="1"/>
      </rPr>
      <t xml:space="preserve">3  </t>
    </r>
    <r>
      <rPr>
        <b/>
        <sz val="10"/>
        <rFont val="Times New Roman"/>
        <family val="1"/>
      </rPr>
      <t>galian tanah</t>
    </r>
  </si>
  <si>
    <r>
      <t>(K3) Pemadatan tanah 1 m</t>
    </r>
    <r>
      <rPr>
        <b/>
        <vertAlign val="superscript"/>
        <sz val="10"/>
        <rFont val="Times New Roman"/>
        <family val="1"/>
      </rPr>
      <t xml:space="preserve">3  </t>
    </r>
    <r>
      <rPr>
        <b/>
        <sz val="10"/>
        <rFont val="Times New Roman"/>
        <family val="1"/>
      </rPr>
      <t>tanah ( per 20 cm)</t>
    </r>
  </si>
  <si>
    <r>
      <t>Pengurugan 1 m</t>
    </r>
    <r>
      <rPr>
        <b/>
        <vertAlign val="superscript"/>
        <sz val="10"/>
        <rFont val="Times New Roman"/>
        <family val="1"/>
      </rPr>
      <t xml:space="preserve">3  </t>
    </r>
    <r>
      <rPr>
        <b/>
        <sz val="10"/>
        <rFont val="Times New Roman"/>
        <family val="1"/>
      </rPr>
      <t>dengan pasir urug</t>
    </r>
  </si>
  <si>
    <r>
      <t>Pemasangan 1 m</t>
    </r>
    <r>
      <rPr>
        <b/>
        <vertAlign val="superscript"/>
        <sz val="10"/>
        <rFont val="Times New Roman"/>
        <family val="1"/>
      </rPr>
      <t xml:space="preserve">3  </t>
    </r>
    <r>
      <rPr>
        <b/>
        <sz val="10"/>
        <rFont val="Times New Roman"/>
        <family val="1"/>
      </rPr>
      <t>lapisan pudel campuran 1KP : 3PP : 7TL</t>
    </r>
  </si>
  <si>
    <r>
      <t>Pengurugan  1 m</t>
    </r>
    <r>
      <rPr>
        <b/>
        <vertAlign val="superscript"/>
        <sz val="10"/>
        <rFont val="Times New Roman"/>
        <family val="1"/>
      </rPr>
      <t xml:space="preserve">3  </t>
    </r>
    <r>
      <rPr>
        <b/>
        <sz val="10"/>
        <rFont val="Times New Roman"/>
        <family val="1"/>
      </rPr>
      <t>sirtu padat</t>
    </r>
  </si>
  <si>
    <t>Kapur</t>
  </si>
  <si>
    <r>
      <t xml:space="preserve"> Pemasangan 1 m</t>
    </r>
    <r>
      <rPr>
        <b/>
        <vertAlign val="superscript"/>
        <sz val="10"/>
        <rFont val="Times New Roman"/>
        <family val="1"/>
      </rPr>
      <t xml:space="preserve">3  </t>
    </r>
    <r>
      <rPr>
        <b/>
        <sz val="10"/>
        <rFont val="Times New Roman"/>
        <family val="1"/>
      </rPr>
      <t>pondasi batu belah campuran 1SP : 3PP</t>
    </r>
  </si>
  <si>
    <r>
      <t xml:space="preserve"> Pemasangan 1 m</t>
    </r>
    <r>
      <rPr>
        <b/>
        <vertAlign val="superscript"/>
        <sz val="10"/>
        <rFont val="Times New Roman"/>
        <family val="1"/>
      </rPr>
      <t xml:space="preserve">3  </t>
    </r>
    <r>
      <rPr>
        <b/>
        <sz val="10"/>
        <rFont val="Times New Roman"/>
        <family val="1"/>
      </rPr>
      <t>pondasi batu belah campuran 1SP : 4PP</t>
    </r>
  </si>
  <si>
    <r>
      <t>Pemasangan 1 m</t>
    </r>
    <r>
      <rPr>
        <b/>
        <vertAlign val="superscript"/>
        <sz val="10"/>
        <rFont val="Times New Roman"/>
        <family val="1"/>
      </rPr>
      <t xml:space="preserve">3  </t>
    </r>
    <r>
      <rPr>
        <b/>
        <sz val="10"/>
        <rFont val="Times New Roman"/>
        <family val="1"/>
      </rPr>
      <t>pondasi batu belah campuran 1SP : 5PP</t>
    </r>
  </si>
  <si>
    <r>
      <t>Pemasangan 1 m</t>
    </r>
    <r>
      <rPr>
        <b/>
        <vertAlign val="superscript"/>
        <sz val="10"/>
        <rFont val="Times New Roman"/>
        <family val="1"/>
      </rPr>
      <t xml:space="preserve">3  </t>
    </r>
    <r>
      <rPr>
        <b/>
        <sz val="10"/>
        <rFont val="Times New Roman"/>
        <family val="1"/>
      </rPr>
      <t>pondasi batu belah campuran 1 SP : 3 KP : 10 PP</t>
    </r>
  </si>
  <si>
    <r>
      <t>Pemasangan 1 m</t>
    </r>
    <r>
      <rPr>
        <b/>
        <vertAlign val="superscript"/>
        <sz val="10"/>
        <rFont val="Times New Roman"/>
        <family val="1"/>
      </rPr>
      <t xml:space="preserve">3  </t>
    </r>
    <r>
      <rPr>
        <b/>
        <sz val="10"/>
        <rFont val="Times New Roman"/>
        <family val="1"/>
      </rPr>
      <t>pondasi batu belah campuran 1SP : 1KP : 2PP</t>
    </r>
  </si>
  <si>
    <r>
      <t>Pemasangan 1 m</t>
    </r>
    <r>
      <rPr>
        <b/>
        <vertAlign val="superscript"/>
        <sz val="10"/>
        <rFont val="Times New Roman"/>
        <family val="1"/>
      </rPr>
      <t xml:space="preserve">3  </t>
    </r>
    <r>
      <rPr>
        <b/>
        <sz val="10"/>
        <rFont val="Times New Roman"/>
        <family val="1"/>
      </rPr>
      <t>pondasi batu belah campuran 1SP : 8PP</t>
    </r>
  </si>
  <si>
    <r>
      <t>Pemasangan 1 m</t>
    </r>
    <r>
      <rPr>
        <b/>
        <vertAlign val="superscript"/>
        <sz val="10"/>
        <rFont val="Times New Roman"/>
        <family val="1"/>
      </rPr>
      <t xml:space="preserve">3  </t>
    </r>
    <r>
      <rPr>
        <b/>
        <sz val="10"/>
        <rFont val="Times New Roman"/>
        <family val="1"/>
      </rPr>
      <t>pondasi batu belah campuran 1SP : 6PP</t>
    </r>
  </si>
  <si>
    <r>
      <t>Pemasangan 1 m</t>
    </r>
    <r>
      <rPr>
        <b/>
        <vertAlign val="superscript"/>
        <sz val="10"/>
        <rFont val="Times New Roman"/>
        <family val="1"/>
      </rPr>
      <t xml:space="preserve">3  </t>
    </r>
    <r>
      <rPr>
        <b/>
        <sz val="10"/>
        <rFont val="Times New Roman"/>
        <family val="1"/>
      </rPr>
      <t>pondasi batu belah campuran ¼ SP : 1 KP : 4PP</t>
    </r>
  </si>
  <si>
    <r>
      <t>(K3) Pemasangan 1 m</t>
    </r>
    <r>
      <rPr>
        <b/>
        <vertAlign val="superscript"/>
        <sz val="10"/>
        <rFont val="Times New Roman"/>
        <family val="1"/>
      </rPr>
      <t xml:space="preserve">3  </t>
    </r>
    <r>
      <rPr>
        <b/>
        <sz val="10"/>
        <rFont val="Times New Roman"/>
        <family val="1"/>
      </rPr>
      <t>batu kosong (</t>
    </r>
    <r>
      <rPr>
        <b/>
        <i/>
        <sz val="10"/>
        <rFont val="Times New Roman"/>
        <family val="1"/>
      </rPr>
      <t>anstamping</t>
    </r>
    <r>
      <rPr>
        <b/>
        <sz val="10"/>
        <rFont val="Times New Roman"/>
        <family val="1"/>
      </rPr>
      <t>)</t>
    </r>
  </si>
  <si>
    <r>
      <t>Pemasangan 1 m</t>
    </r>
    <r>
      <rPr>
        <b/>
        <vertAlign val="superscript"/>
        <sz val="10"/>
        <rFont val="Times New Roman"/>
        <family val="1"/>
      </rPr>
      <t xml:space="preserve">3 </t>
    </r>
    <r>
      <rPr>
        <b/>
        <sz val="10"/>
        <rFont val="Times New Roman"/>
        <family val="1"/>
      </rPr>
      <t>pondasi  siklop,  60% beton campuran 1SP : 2 PB</t>
    </r>
  </si>
  <si>
    <t>: 3 Kr dan 40% batu belah</t>
  </si>
  <si>
    <r>
      <t>Pemasangan 1 m</t>
    </r>
    <r>
      <rPr>
        <b/>
        <vertAlign val="superscript"/>
        <sz val="10"/>
        <rFont val="Times New Roman"/>
        <family val="1"/>
      </rPr>
      <t xml:space="preserve">3 </t>
    </r>
    <r>
      <rPr>
        <b/>
        <sz val="10"/>
        <rFont val="Times New Roman"/>
        <family val="1"/>
      </rPr>
      <t>pondasi  sumuran, diameter 100 cm</t>
    </r>
  </si>
  <si>
    <t>Pemasangan  1m2   dinding  bata  merah  (5x11x22)  cm  tebal  1  batu campuran  1SP : 4PP</t>
  </si>
  <si>
    <t>Pemasangan  1m2   dinding  bata  merah  (5x11x22)  cm  tebal  1  batu campuran  1SP : 5PP</t>
  </si>
  <si>
    <t>Pemasangan 1m2  Dinding Bata Merah (5x11x22) cm tebal 1 batu campuran  1SP : 6PP</t>
  </si>
  <si>
    <t>Pemasangan 1m2  dinding bata merah (5x11x22) cm tebal ½ batu campuran  1SP : 6PP</t>
  </si>
  <si>
    <t>Kepala bukang</t>
  </si>
  <si>
    <t>Semen merah</t>
  </si>
  <si>
    <t>15% x D (maksimmum)</t>
  </si>
  <si>
    <t>Besi angker diameter 8</t>
  </si>
  <si>
    <t>Bata berongga</t>
  </si>
  <si>
    <r>
      <rPr>
        <sz val="10"/>
        <rFont val="Times New Roman"/>
        <family val="1"/>
      </rPr>
      <t xml:space="preserve">Bata </t>
    </r>
    <r>
      <rPr>
        <i/>
        <sz val="10"/>
        <rFont val="Times New Roman"/>
        <family val="1"/>
      </rPr>
      <t>rooster</t>
    </r>
  </si>
  <si>
    <t>0.67</t>
  </si>
  <si>
    <t>0.13</t>
  </si>
  <si>
    <t>0.003</t>
  </si>
  <si>
    <t>Bata  ringan  tebal 7,5cm</t>
  </si>
  <si>
    <t>8.40</t>
  </si>
  <si>
    <t>Mortar siap pakai</t>
  </si>
  <si>
    <t>0.473</t>
  </si>
  <si>
    <t>%</t>
  </si>
  <si>
    <t>0.671</t>
  </si>
  <si>
    <t>0.1300</t>
  </si>
  <si>
    <t>Bata  ringan  tebal 10cm</t>
  </si>
  <si>
    <t>8.4</t>
  </si>
  <si>
    <r>
      <t>Pemasangan 1m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dinding bata merah (5x11x22) cm tebal 1 batu campuran  1SP : 2PP</t>
    </r>
  </si>
  <si>
    <r>
      <t>Pemasangan  1m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dinding  bata  merah  (5x11x22) cm  tebal  1  batu campuran  1SP : 3KP : 10PP</t>
    </r>
  </si>
  <si>
    <r>
      <t>Pemasangan 1m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dinding bata merah (5x11x22) cm tebal ½ batu campuran  1SP : 2PP</t>
    </r>
  </si>
  <si>
    <r>
      <t>Pemasangan 1m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 xml:space="preserve">dinding bata merah (5x11x22) cm tebal ½ batu campuran  1SP : 3PP
</t>
    </r>
  </si>
  <si>
    <r>
      <t>Pemasangan 1m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dinding bata merah (5x11x22) cm tebal ½ batu campuran  1SP :4PP</t>
    </r>
  </si>
  <si>
    <r>
      <t>Pemasangan 1m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dinding bata merah (5x11x22) cm tebal ½ batu campuran  1SP :5PP</t>
    </r>
  </si>
  <si>
    <r>
      <t>Pemasangan  1m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dinding bata merah  (5x11x22)cm  tebal ½  batu campuran  1SP :8PP</t>
    </r>
  </si>
  <si>
    <r>
      <t>Pemasangan 1m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dinding bata merah (5x11x22)cm tebal ½ batu campuran  1SP : 3KP :10PP</t>
    </r>
  </si>
  <si>
    <r>
      <t>Pemasangan 1m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dinding bata merah (5x11x22) cm tebal ½ batu campuran  1SM : 1KP :1PP</t>
    </r>
  </si>
  <si>
    <r>
      <t>Pemasangan 1m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dinding bata merah (5x11x22) cm tebal ½ batu campuran  1SM : 1KP :2PP</t>
    </r>
  </si>
  <si>
    <r>
      <t>Pemasangan 1m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 xml:space="preserve">dinding </t>
    </r>
    <r>
      <rPr>
        <b/>
        <i/>
        <sz val="10"/>
        <rFont val="Times New Roman"/>
        <family val="1"/>
      </rPr>
      <t xml:space="preserve">conblock </t>
    </r>
    <r>
      <rPr>
        <b/>
        <sz val="10"/>
        <rFont val="Times New Roman"/>
        <family val="1"/>
      </rPr>
      <t>HB20 campuran  1SP  :  3PP</t>
    </r>
  </si>
  <si>
    <r>
      <t>Pemasangan 1m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 xml:space="preserve">dinding </t>
    </r>
    <r>
      <rPr>
        <b/>
        <i/>
        <sz val="10"/>
        <rFont val="Times New Roman"/>
        <family val="1"/>
      </rPr>
      <t xml:space="preserve">conblock </t>
    </r>
    <r>
      <rPr>
        <b/>
        <sz val="10"/>
        <rFont val="Times New Roman"/>
        <family val="1"/>
      </rPr>
      <t>HB20 campuran  1SP : 4PP</t>
    </r>
  </si>
  <si>
    <r>
      <t>Pemasangan 1m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 xml:space="preserve">dinding </t>
    </r>
    <r>
      <rPr>
        <b/>
        <i/>
        <sz val="10"/>
        <rFont val="Times New Roman"/>
        <family val="1"/>
      </rPr>
      <t xml:space="preserve">conblock </t>
    </r>
    <r>
      <rPr>
        <b/>
        <sz val="10"/>
        <rFont val="Times New Roman"/>
        <family val="1"/>
      </rPr>
      <t>HB15 campuran  1SP : 3PP</t>
    </r>
  </si>
  <si>
    <r>
      <t xml:space="preserve"> Pemasangan 1 cm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 xml:space="preserve">dinding </t>
    </r>
    <r>
      <rPr>
        <b/>
        <i/>
        <sz val="10"/>
        <rFont val="Times New Roman"/>
        <family val="1"/>
      </rPr>
      <t xml:space="preserve">conblock </t>
    </r>
    <r>
      <rPr>
        <b/>
        <sz val="10"/>
        <rFont val="Times New Roman"/>
        <family val="1"/>
      </rPr>
      <t>HB15 campuran  1SP  :4PP</t>
    </r>
  </si>
  <si>
    <r>
      <t>Pemasangan 1 cm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 xml:space="preserve">dinding </t>
    </r>
    <r>
      <rPr>
        <b/>
        <i/>
        <sz val="10"/>
        <rFont val="Times New Roman"/>
        <family val="1"/>
      </rPr>
      <t xml:space="preserve">conblock </t>
    </r>
    <r>
      <rPr>
        <b/>
        <sz val="10"/>
        <rFont val="Times New Roman"/>
        <family val="1"/>
      </rPr>
      <t>HB10 campuran  1SP :3PP</t>
    </r>
  </si>
  <si>
    <r>
      <t xml:space="preserve"> Pemasangan 1 cm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 xml:space="preserve">dinding </t>
    </r>
    <r>
      <rPr>
        <b/>
        <i/>
        <sz val="10"/>
        <rFont val="Times New Roman"/>
        <family val="1"/>
      </rPr>
      <t xml:space="preserve">conblock </t>
    </r>
    <r>
      <rPr>
        <b/>
        <sz val="10"/>
        <rFont val="Times New Roman"/>
        <family val="1"/>
      </rPr>
      <t>HB10 campuran  1SP  : 4PP</t>
    </r>
  </si>
  <si>
    <r>
      <t>Pemasangan 1 cm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dinding terawang (</t>
    </r>
    <r>
      <rPr>
        <b/>
        <i/>
        <sz val="10"/>
        <rFont val="Times New Roman"/>
        <family val="1"/>
      </rPr>
      <t>rooster</t>
    </r>
    <r>
      <rPr>
        <b/>
        <sz val="10"/>
        <rFont val="Times New Roman"/>
        <family val="1"/>
      </rPr>
      <t>) 12x11x24  campuran 1SP :3PP</t>
    </r>
  </si>
  <si>
    <r>
      <t>Pemasangan  1  cm</t>
    </r>
    <r>
      <rPr>
        <b/>
        <vertAlign val="superscript"/>
        <sz val="10"/>
        <rFont val="Times New Roman"/>
        <family val="1"/>
      </rPr>
      <t xml:space="preserve">2    </t>
    </r>
    <r>
      <rPr>
        <b/>
        <sz val="10"/>
        <rFont val="Times New Roman"/>
        <family val="1"/>
      </rPr>
      <t>dinding  bata  berongga  ekspose  12x11x24 campuran 1SP :3PP</t>
    </r>
  </si>
  <si>
    <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dinding bata ringan tebal 7,5 cm dengan mortar siap pakai</t>
    </r>
  </si>
  <si>
    <r>
      <t xml:space="preserve"> Pemasangan 1m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dinding bata ringan tebal 10 cm dengan mortar siap pakai</t>
    </r>
  </si>
  <si>
    <r>
      <rPr>
        <sz val="10"/>
        <rFont val="Times New Roman"/>
        <family val="1"/>
      </rPr>
      <t>Kerikil   (Maks       30
mm)</t>
    </r>
  </si>
  <si>
    <t>Kerikil   (Maks   30 mm)</t>
  </si>
  <si>
    <r>
      <rPr>
        <sz val="10"/>
        <rFont val="Times New Roman"/>
        <family val="1"/>
      </rPr>
      <t>Kerikil
(Maks 30 mm)</t>
    </r>
  </si>
  <si>
    <r>
      <rPr>
        <sz val="10"/>
        <rFont val="Times New Roman"/>
        <family val="1"/>
      </rPr>
      <t>Kerikil
(Maks 30mm)</t>
    </r>
  </si>
  <si>
    <t>Kerikil  (Maks 30mm)</t>
  </si>
  <si>
    <t>Kerikil (Maksimum 30mm)</t>
  </si>
  <si>
    <t>Kerikil (Maks 30 mm)</t>
  </si>
  <si>
    <t>Kerikil (maksimum 30 mm)</t>
  </si>
  <si>
    <t>Bahan tambahan kimia</t>
  </si>
  <si>
    <t>Kerikil (2cm/3cm)</t>
  </si>
  <si>
    <t>Strorox – 100</t>
  </si>
  <si>
    <t>Tukang Batu/Pipa</t>
  </si>
  <si>
    <t>Waterstop lebar 150 mm</t>
  </si>
  <si>
    <t>m</t>
  </si>
  <si>
    <t>Waterstop lebar 200 mm</t>
  </si>
  <si>
    <t>Waterstop lebar 230 mm - 320 mm</t>
  </si>
  <si>
    <t>Besi beton (polos/ulir)</t>
  </si>
  <si>
    <t>Jaring kawat baja dilas</t>
  </si>
  <si>
    <t>Paku 5  – 10 cm</t>
  </si>
  <si>
    <t>Paku 5 cm – 10 cm</t>
  </si>
  <si>
    <t>Paku 5 cm – 12 cm</t>
  </si>
  <si>
    <t>Balok kayu kelas II</t>
  </si>
  <si>
    <r>
      <rPr>
        <i/>
        <sz val="10"/>
        <rFont val="Times New Roman"/>
        <family val="1"/>
      </rPr>
      <t xml:space="preserve">Plywood </t>
    </r>
    <r>
      <rPr>
        <sz val="10"/>
        <rFont val="Times New Roman"/>
        <family val="1"/>
      </rPr>
      <t>tebal 9 mm</t>
    </r>
  </si>
  <si>
    <t>Dolken kayu galam, (8–10) cm panjang 4m</t>
  </si>
  <si>
    <r>
      <rPr>
        <sz val="10"/>
        <rFont val="Times New Roman"/>
        <family val="1"/>
      </rPr>
      <t>Penjaga jarak bekisting/</t>
    </r>
    <r>
      <rPr>
        <i/>
        <sz val="10"/>
        <rFont val="Times New Roman"/>
        <family val="1"/>
      </rPr>
      <t>spacer</t>
    </r>
  </si>
  <si>
    <t>Kayu kelas III (papan)</t>
  </si>
  <si>
    <t>Pasir Beton</t>
  </si>
  <si>
    <r>
      <rPr>
        <i/>
        <sz val="10"/>
        <rFont val="Times New Roman"/>
        <family val="1"/>
      </rPr>
      <t>CATATAN: Bobot isi pasir = 1400 kg/m</t>
    </r>
    <r>
      <rPr>
        <i/>
        <vertAlign val="superscript"/>
        <sz val="10"/>
        <rFont val="Times New Roman"/>
        <family val="1"/>
      </rPr>
      <t>3</t>
    </r>
    <r>
      <rPr>
        <i/>
        <sz val="10"/>
        <rFont val="Times New Roman"/>
        <family val="1"/>
      </rPr>
      <t>, Bobot isi kerikil = 1350 kg/m</t>
    </r>
    <r>
      <rPr>
        <i/>
        <vertAlign val="superscript"/>
        <sz val="10"/>
        <rFont val="Times New Roman"/>
        <family val="1"/>
      </rPr>
      <t>3</t>
    </r>
    <r>
      <rPr>
        <i/>
        <sz val="10"/>
        <rFont val="Times New Roman"/>
        <family val="1"/>
      </rPr>
      <t>, Buckling factor pasir</t>
    </r>
  </si>
  <si>
    <r>
      <rPr>
        <i/>
        <sz val="10"/>
        <rFont val="Times New Roman"/>
        <family val="1"/>
      </rPr>
      <t>= 20%</t>
    </r>
  </si>
  <si>
    <r>
      <rPr>
        <sz val="10"/>
        <rFont val="Times New Roman"/>
        <family val="1"/>
      </rPr>
      <t xml:space="preserve">Dolken kayu </t>
    </r>
    <r>
      <rPr>
        <i/>
        <sz val="10"/>
        <rFont val="Times New Roman"/>
        <family val="1"/>
      </rPr>
      <t></t>
    </r>
    <r>
      <rPr>
        <sz val="10"/>
        <rFont val="Times New Roman"/>
        <family val="1"/>
      </rPr>
      <t xml:space="preserve">  8-
10cm –panj 4 m</t>
    </r>
  </si>
  <si>
    <r>
      <t xml:space="preserve">Dolken kayu </t>
    </r>
    <r>
      <rPr>
        <i/>
        <sz val="10"/>
        <rFont val="Times New Roman"/>
        <family val="1"/>
      </rPr>
      <t></t>
    </r>
    <r>
      <rPr>
        <sz val="10"/>
        <rFont val="Times New Roman"/>
        <family val="1"/>
      </rPr>
      <t xml:space="preserve">  (8–10) cm panjang 4 m</t>
    </r>
  </si>
  <si>
    <r>
      <rPr>
        <sz val="10"/>
        <rFont val="Times New Roman"/>
        <family val="1"/>
      </rPr>
      <t xml:space="preserve">Dolken kayu , </t>
    </r>
    <r>
      <rPr>
        <i/>
        <sz val="10"/>
        <rFont val="Times New Roman"/>
        <family val="1"/>
      </rPr>
      <t></t>
    </r>
    <r>
      <rPr>
        <sz val="10"/>
        <rFont val="Times New Roman"/>
        <family val="1"/>
      </rPr>
      <t xml:space="preserve">  8–
10 cm, panj4 m</t>
    </r>
  </si>
  <si>
    <r>
      <rPr>
        <sz val="10"/>
        <rFont val="Times New Roman"/>
        <family val="1"/>
      </rPr>
      <t xml:space="preserve">Dolken kayu, </t>
    </r>
    <r>
      <rPr>
        <i/>
        <sz val="10"/>
        <rFont val="Times New Roman"/>
        <family val="1"/>
      </rPr>
      <t></t>
    </r>
    <r>
      <rPr>
        <sz val="10"/>
        <rFont val="Times New Roman"/>
        <family val="1"/>
      </rPr>
      <t xml:space="preserve">  8–
10 cm,panjang 4 m</t>
    </r>
  </si>
  <si>
    <r>
      <rPr>
        <sz val="10"/>
        <rFont val="Times New Roman"/>
        <family val="1"/>
      </rPr>
      <t xml:space="preserve">Dolken kayu , </t>
    </r>
    <r>
      <rPr>
        <i/>
        <sz val="10"/>
        <rFont val="Times New Roman"/>
        <family val="1"/>
      </rPr>
      <t></t>
    </r>
    <r>
      <rPr>
        <sz val="10"/>
        <rFont val="Times New Roman"/>
        <family val="1"/>
      </rPr>
      <t xml:space="preserve">  8–10 panjang 4m</t>
    </r>
  </si>
  <si>
    <t>Pembesian 10 kg dengan besi polos atau besi ulir</t>
  </si>
  <si>
    <t xml:space="preserve"> Membuat 1 m’  kolom praktis beton bertulang (11 x 11) cm</t>
  </si>
  <si>
    <t xml:space="preserve"> Membuat 1 m’ ring balok beton bertulang (10 x 15) cm</t>
  </si>
  <si>
    <r>
      <rPr>
        <b/>
        <vertAlign val="superscript"/>
        <sz val="14"/>
        <rFont val="Times New Roman"/>
        <family val="1"/>
      </rPr>
      <t xml:space="preserve"> Membuat 1 m3  beton mutu f’</t>
    </r>
    <r>
      <rPr>
        <b/>
        <sz val="14"/>
        <rFont val="Times New Roman"/>
        <family val="1"/>
      </rPr>
      <t xml:space="preserve">c  </t>
    </r>
    <r>
      <rPr>
        <b/>
        <vertAlign val="superscript"/>
        <sz val="14"/>
        <rFont val="Times New Roman"/>
        <family val="1"/>
      </rPr>
      <t>= 7,4 MPa</t>
    </r>
  </si>
  <si>
    <r>
      <rPr>
        <b/>
        <vertAlign val="superscript"/>
        <sz val="14"/>
        <rFont val="Times New Roman"/>
        <family val="1"/>
      </rPr>
      <t>Membuat 1 m3  beton mutu f’</t>
    </r>
    <r>
      <rPr>
        <b/>
        <sz val="14"/>
        <rFont val="Times New Roman"/>
        <family val="1"/>
      </rPr>
      <t xml:space="preserve">c  </t>
    </r>
    <r>
      <rPr>
        <b/>
        <vertAlign val="superscript"/>
        <sz val="14"/>
        <rFont val="Times New Roman"/>
        <family val="1"/>
      </rPr>
      <t>= 9,8 MPa</t>
    </r>
  </si>
  <si>
    <r>
      <rPr>
        <b/>
        <vertAlign val="superscript"/>
        <sz val="12"/>
        <rFont val="Times New Roman"/>
        <family val="1"/>
      </rPr>
      <t>Membuat 1 m3  beton mutu f’</t>
    </r>
    <r>
      <rPr>
        <b/>
        <sz val="12"/>
        <rFont val="Times New Roman"/>
        <family val="1"/>
      </rPr>
      <t xml:space="preserve">c  </t>
    </r>
    <r>
      <rPr>
        <b/>
        <vertAlign val="superscript"/>
        <sz val="12"/>
        <rFont val="Times New Roman"/>
        <family val="1"/>
      </rPr>
      <t>= 12,2 MPa</t>
    </r>
  </si>
  <si>
    <r>
      <t>Membuat 1 m</t>
    </r>
    <r>
      <rPr>
        <b/>
        <vertAlign val="superscript"/>
        <sz val="10"/>
        <rFont val="Times New Roman"/>
        <family val="1"/>
      </rPr>
      <t xml:space="preserve">3  </t>
    </r>
    <r>
      <rPr>
        <b/>
        <sz val="10"/>
        <rFont val="Times New Roman"/>
        <family val="1"/>
      </rPr>
      <t>lantai kerja beton mutu f’c = 7,4 MPa slump (3-6) cm, w/c = 0,87</t>
    </r>
  </si>
  <si>
    <r>
      <rPr>
        <b/>
        <vertAlign val="superscript"/>
        <sz val="12"/>
        <rFont val="Times New Roman"/>
        <family val="1"/>
      </rPr>
      <t>Membuat 1 m3  beton mutu f’</t>
    </r>
    <r>
      <rPr>
        <b/>
        <sz val="12"/>
        <rFont val="Times New Roman"/>
        <family val="1"/>
      </rPr>
      <t xml:space="preserve">c  </t>
    </r>
    <r>
      <rPr>
        <b/>
        <vertAlign val="superscript"/>
        <sz val="12"/>
        <rFont val="Times New Roman"/>
        <family val="1"/>
      </rPr>
      <t>= 14,5 MPa, slump (120 ± 20) mm</t>
    </r>
  </si>
  <si>
    <r>
      <rPr>
        <b/>
        <vertAlign val="superscript"/>
        <sz val="12"/>
        <rFont val="Times New Roman"/>
        <family val="1"/>
      </rPr>
      <t>Membuat 1 m3  beton mutu f’</t>
    </r>
    <r>
      <rPr>
        <b/>
        <sz val="12"/>
        <rFont val="Times New Roman"/>
        <family val="1"/>
      </rPr>
      <t xml:space="preserve">c  </t>
    </r>
    <r>
      <rPr>
        <b/>
        <vertAlign val="superscript"/>
        <sz val="12"/>
        <rFont val="Times New Roman"/>
        <family val="1"/>
      </rPr>
      <t>= 16,9 Mpa</t>
    </r>
  </si>
  <si>
    <r>
      <rPr>
        <b/>
        <vertAlign val="superscript"/>
        <sz val="12"/>
        <rFont val="Times New Roman"/>
        <family val="1"/>
      </rPr>
      <t>Membuat 1 m3  beton mutu f’</t>
    </r>
    <r>
      <rPr>
        <b/>
        <sz val="12"/>
        <rFont val="Times New Roman"/>
        <family val="1"/>
      </rPr>
      <t xml:space="preserve">c  </t>
    </r>
    <r>
      <rPr>
        <b/>
        <vertAlign val="superscript"/>
        <sz val="12"/>
        <rFont val="Times New Roman"/>
        <family val="1"/>
      </rPr>
      <t>= 19,3 MPa</t>
    </r>
  </si>
  <si>
    <r>
      <rPr>
        <b/>
        <vertAlign val="superscript"/>
        <sz val="12"/>
        <rFont val="Times New Roman"/>
        <family val="1"/>
      </rPr>
      <t>Membuat 1 m3  beton mutu f’</t>
    </r>
    <r>
      <rPr>
        <b/>
        <sz val="12"/>
        <rFont val="Times New Roman"/>
        <family val="1"/>
      </rPr>
      <t xml:space="preserve">c  </t>
    </r>
    <r>
      <rPr>
        <b/>
        <vertAlign val="superscript"/>
        <sz val="12"/>
        <rFont val="Times New Roman"/>
        <family val="1"/>
      </rPr>
      <t>= 21,7 MPa</t>
    </r>
  </si>
  <si>
    <r>
      <rPr>
        <b/>
        <vertAlign val="superscript"/>
        <sz val="12"/>
        <rFont val="Times New Roman"/>
        <family val="1"/>
      </rPr>
      <t>Membuat 1 m3  beton mutu f’</t>
    </r>
    <r>
      <rPr>
        <b/>
        <sz val="12"/>
        <rFont val="Times New Roman"/>
        <family val="1"/>
      </rPr>
      <t xml:space="preserve">c  </t>
    </r>
    <r>
      <rPr>
        <b/>
        <vertAlign val="superscript"/>
        <sz val="12"/>
        <rFont val="Times New Roman"/>
        <family val="1"/>
      </rPr>
      <t>= 24,0 MPa</t>
    </r>
  </si>
  <si>
    <r>
      <rPr>
        <b/>
        <vertAlign val="superscript"/>
        <sz val="12"/>
        <rFont val="Times New Roman"/>
        <family val="1"/>
      </rPr>
      <t>Membuat 1 m3  beton mutu f’</t>
    </r>
    <r>
      <rPr>
        <b/>
        <sz val="12"/>
        <rFont val="Times New Roman"/>
        <family val="1"/>
      </rPr>
      <t xml:space="preserve">c  </t>
    </r>
    <r>
      <rPr>
        <b/>
        <vertAlign val="superscript"/>
        <sz val="12"/>
        <rFont val="Times New Roman"/>
        <family val="1"/>
      </rPr>
      <t>= 26,4 MPa</t>
    </r>
  </si>
  <si>
    <r>
      <rPr>
        <b/>
        <vertAlign val="superscript"/>
        <sz val="12"/>
        <rFont val="Times New Roman"/>
        <family val="1"/>
      </rPr>
      <t>Membuat 1 m3  beton mutu f’</t>
    </r>
    <r>
      <rPr>
        <b/>
        <sz val="12"/>
        <rFont val="Times New Roman"/>
        <family val="1"/>
      </rPr>
      <t xml:space="preserve">c  </t>
    </r>
    <r>
      <rPr>
        <b/>
        <vertAlign val="superscript"/>
        <sz val="12"/>
        <rFont val="Times New Roman"/>
        <family val="1"/>
      </rPr>
      <t>= 28,8 MPa</t>
    </r>
  </si>
  <si>
    <r>
      <rPr>
        <b/>
        <vertAlign val="superscript"/>
        <sz val="12"/>
        <rFont val="Times New Roman"/>
        <family val="1"/>
      </rPr>
      <t>Membuat 1 m3  beton mutu f’</t>
    </r>
    <r>
      <rPr>
        <b/>
        <sz val="12"/>
        <rFont val="Times New Roman"/>
        <family val="1"/>
      </rPr>
      <t xml:space="preserve">c  </t>
    </r>
    <r>
      <rPr>
        <b/>
        <vertAlign val="superscript"/>
        <sz val="12"/>
        <rFont val="Times New Roman"/>
        <family val="1"/>
      </rPr>
      <t>= 31,2 MPa, slump (120 ± 20) mm</t>
    </r>
  </si>
  <si>
    <t>Untuk  pekerjaan  beton  pracetak  yang  bisa  diangkat  24  jam  diperlukan</t>
  </si>
  <si>
    <t>penambahan bahan tambahan sesuai Tabel berikut:</t>
  </si>
  <si>
    <r>
      <t>Membuat 1 m</t>
    </r>
    <r>
      <rPr>
        <b/>
        <vertAlign val="superscript"/>
        <sz val="10"/>
        <rFont val="Times New Roman"/>
        <family val="1"/>
      </rPr>
      <t xml:space="preserve">3  </t>
    </r>
    <r>
      <rPr>
        <b/>
        <sz val="10"/>
        <rFont val="Times New Roman"/>
        <family val="1"/>
      </rPr>
      <t>beton kedap air dengan strorox – 100</t>
    </r>
  </si>
  <si>
    <r>
      <t>Pemasangan 1 m</t>
    </r>
    <r>
      <rPr>
        <b/>
        <vertAlign val="superscript"/>
        <sz val="10"/>
        <rFont val="Times New Roman"/>
        <family val="1"/>
      </rPr>
      <t xml:space="preserve">’  </t>
    </r>
    <r>
      <rPr>
        <b/>
        <sz val="10"/>
        <rFont val="Times New Roman"/>
        <family val="1"/>
      </rPr>
      <t xml:space="preserve">PVC </t>
    </r>
    <r>
      <rPr>
        <b/>
        <i/>
        <sz val="10"/>
        <rFont val="Times New Roman"/>
        <family val="1"/>
      </rPr>
      <t xml:space="preserve">Waterstop </t>
    </r>
    <r>
      <rPr>
        <b/>
        <sz val="10"/>
        <rFont val="Times New Roman"/>
        <family val="1"/>
      </rPr>
      <t>lebar 150 mm</t>
    </r>
  </si>
  <si>
    <r>
      <t xml:space="preserve"> Pemasangan 1 m</t>
    </r>
    <r>
      <rPr>
        <b/>
        <vertAlign val="superscript"/>
        <sz val="10"/>
        <rFont val="Times New Roman"/>
        <family val="1"/>
      </rPr>
      <t xml:space="preserve">’  </t>
    </r>
    <r>
      <rPr>
        <b/>
        <sz val="10"/>
        <rFont val="Times New Roman"/>
        <family val="1"/>
      </rPr>
      <t xml:space="preserve">PVC </t>
    </r>
    <r>
      <rPr>
        <b/>
        <i/>
        <sz val="10"/>
        <rFont val="Times New Roman"/>
        <family val="1"/>
      </rPr>
      <t xml:space="preserve">Waterstop </t>
    </r>
    <r>
      <rPr>
        <b/>
        <sz val="10"/>
        <rFont val="Times New Roman"/>
        <family val="1"/>
      </rPr>
      <t>lebar 200 mm</t>
    </r>
  </si>
  <si>
    <r>
      <t>Membuat 1 m</t>
    </r>
    <r>
      <rPr>
        <b/>
        <vertAlign val="superscript"/>
        <sz val="10"/>
        <rFont val="Times New Roman"/>
        <family val="1"/>
      </rPr>
      <t xml:space="preserve">’  </t>
    </r>
    <r>
      <rPr>
        <b/>
        <sz val="10"/>
        <rFont val="Times New Roman"/>
        <family val="1"/>
      </rPr>
      <t xml:space="preserve">PVC </t>
    </r>
    <r>
      <rPr>
        <b/>
        <i/>
        <sz val="10"/>
        <rFont val="Times New Roman"/>
        <family val="1"/>
      </rPr>
      <t xml:space="preserve">Waterstop </t>
    </r>
    <r>
      <rPr>
        <b/>
        <sz val="10"/>
        <rFont val="Times New Roman"/>
        <family val="1"/>
      </rPr>
      <t>lebar 230 mm – 320 mm</t>
    </r>
  </si>
  <si>
    <r>
      <t xml:space="preserve"> Pemasangan 10 kg kabel prategang (</t>
    </r>
    <r>
      <rPr>
        <b/>
        <i/>
        <sz val="10"/>
        <rFont val="Times New Roman"/>
        <family val="1"/>
      </rPr>
      <t xml:space="preserve">prestressed) </t>
    </r>
    <r>
      <rPr>
        <b/>
        <sz val="10"/>
        <rFont val="Times New Roman"/>
        <family val="1"/>
      </rPr>
      <t>polos/</t>
    </r>
    <r>
      <rPr>
        <b/>
        <i/>
        <sz val="10"/>
        <rFont val="Times New Roman"/>
        <family val="1"/>
      </rPr>
      <t>strands</t>
    </r>
  </si>
  <si>
    <r>
      <t xml:space="preserve"> Pemasangan 10 kg jaring kawat baja (</t>
    </r>
    <r>
      <rPr>
        <b/>
        <i/>
        <sz val="10"/>
        <rFont val="Times New Roman"/>
        <family val="1"/>
      </rPr>
      <t>wiremesh)</t>
    </r>
  </si>
  <si>
    <r>
      <t>(K3) Pemasangan 1 m</t>
    </r>
    <r>
      <rPr>
        <b/>
        <vertAlign val="superscript"/>
        <sz val="10"/>
        <rFont val="Times New Roman"/>
        <family val="1"/>
      </rPr>
      <t xml:space="preserve">2   </t>
    </r>
    <r>
      <rPr>
        <b/>
        <sz val="10"/>
        <rFont val="Times New Roman"/>
        <family val="1"/>
      </rPr>
      <t>bekisting untuk pondasi</t>
    </r>
  </si>
  <si>
    <r>
      <t>(K3) Pemasangan 1 m</t>
    </r>
    <r>
      <rPr>
        <b/>
        <vertAlign val="superscript"/>
        <sz val="10"/>
        <rFont val="Times New Roman"/>
        <family val="1"/>
      </rPr>
      <t xml:space="preserve">2   </t>
    </r>
    <r>
      <rPr>
        <b/>
        <sz val="10"/>
        <rFont val="Times New Roman"/>
        <family val="1"/>
      </rPr>
      <t xml:space="preserve">bekisting untuk </t>
    </r>
    <r>
      <rPr>
        <b/>
        <i/>
        <sz val="10"/>
        <rFont val="Times New Roman"/>
        <family val="1"/>
      </rPr>
      <t>sloof</t>
    </r>
  </si>
  <si>
    <r>
      <t>(K3) Pemasangan 1 m</t>
    </r>
    <r>
      <rPr>
        <b/>
        <vertAlign val="superscript"/>
        <sz val="10"/>
        <rFont val="Times New Roman"/>
        <family val="1"/>
      </rPr>
      <t xml:space="preserve">2   </t>
    </r>
    <r>
      <rPr>
        <b/>
        <sz val="10"/>
        <rFont val="Times New Roman"/>
        <family val="1"/>
      </rPr>
      <t>bekisting untuk kolom</t>
    </r>
  </si>
  <si>
    <r>
      <t>(K3) Pemasangan 1 m</t>
    </r>
    <r>
      <rPr>
        <b/>
        <vertAlign val="superscript"/>
        <sz val="10"/>
        <rFont val="Times New Roman"/>
        <family val="1"/>
      </rPr>
      <t xml:space="preserve">2   </t>
    </r>
    <r>
      <rPr>
        <b/>
        <sz val="10"/>
        <rFont val="Times New Roman"/>
        <family val="1"/>
      </rPr>
      <t>bekisting untuk balok</t>
    </r>
  </si>
  <si>
    <r>
      <t>(K3) Pemasangan 1 m</t>
    </r>
    <r>
      <rPr>
        <b/>
        <vertAlign val="superscript"/>
        <sz val="10"/>
        <rFont val="Times New Roman"/>
        <family val="1"/>
      </rPr>
      <t xml:space="preserve">2   </t>
    </r>
    <r>
      <rPr>
        <b/>
        <sz val="10"/>
        <rFont val="Times New Roman"/>
        <family val="1"/>
      </rPr>
      <t>bekisting untuk lantai</t>
    </r>
  </si>
  <si>
    <r>
      <t>(K3) Pemasangan 1 m</t>
    </r>
    <r>
      <rPr>
        <b/>
        <vertAlign val="superscript"/>
        <sz val="10"/>
        <rFont val="Times New Roman"/>
        <family val="1"/>
      </rPr>
      <t xml:space="preserve">2   </t>
    </r>
    <r>
      <rPr>
        <b/>
        <sz val="10"/>
        <rFont val="Times New Roman"/>
        <family val="1"/>
      </rPr>
      <t>bekisting untuk dinding</t>
    </r>
  </si>
  <si>
    <r>
      <t>(K3) Pemasangan 1 m</t>
    </r>
    <r>
      <rPr>
        <b/>
        <vertAlign val="superscript"/>
        <sz val="10"/>
        <rFont val="Times New Roman"/>
        <family val="1"/>
      </rPr>
      <t xml:space="preserve">2   </t>
    </r>
    <r>
      <rPr>
        <b/>
        <sz val="10"/>
        <rFont val="Times New Roman"/>
        <family val="1"/>
      </rPr>
      <t>bekisting untuk tangga</t>
    </r>
  </si>
  <si>
    <r>
      <t>Pemasangan 1 m</t>
    </r>
    <r>
      <rPr>
        <b/>
        <vertAlign val="superscript"/>
        <sz val="10"/>
        <rFont val="Times New Roman"/>
        <family val="1"/>
      </rPr>
      <t xml:space="preserve">2   </t>
    </r>
    <r>
      <rPr>
        <b/>
        <sz val="10"/>
        <rFont val="Times New Roman"/>
        <family val="1"/>
      </rPr>
      <t>jembatan untuk pengecoran beton</t>
    </r>
  </si>
  <si>
    <t>(K3) Pembuatan 1 m2   lahan produksi tebal 12 cm beton f’c 14,5 MPa, slump (120 ± 20) mm</t>
  </si>
  <si>
    <t xml:space="preserve"> Pembuatan 1 m2    bekisting untuk  kolom beton pracetak (10-12 kali pakai)</t>
  </si>
  <si>
    <t>Pemasangan dan membuka bekisting 1 buah komponen pelat beton pracetak</t>
  </si>
  <si>
    <t>Pemasangan dan membuka bekisting 1 buah komponen balok beton pracetak</t>
  </si>
  <si>
    <t>Pemasangan  dan  membuka  bekisting  1  buah  komponen  kolom beton pracetak</t>
  </si>
  <si>
    <t>Ereksi 1 buah komponen untuk pelat pracetak</t>
  </si>
  <si>
    <t xml:space="preserve"> Ereksi 1 buah komponen untuk balok pracetak</t>
  </si>
  <si>
    <t xml:space="preserve"> Ereksi 1 buah komponen untuk kolom pracetak</t>
  </si>
  <si>
    <t xml:space="preserve"> Langsir 1 buah komponen untuk pelat  pracetak ( ± 20 m)</t>
  </si>
  <si>
    <t>Langsir 1 buah komponen untuk balok pracetak ( ± 20 m)</t>
  </si>
  <si>
    <t>Langsir 1 buah komponen untuk kolom pracetak ( ± 20 m)</t>
  </si>
  <si>
    <r>
      <t>(K3)  Pembuatan  1 m</t>
    </r>
    <r>
      <rPr>
        <b/>
        <vertAlign val="superscript"/>
        <sz val="10"/>
        <rFont val="Times New Roman"/>
        <family val="1"/>
      </rPr>
      <t xml:space="preserve">2    </t>
    </r>
    <r>
      <rPr>
        <b/>
        <sz val="10"/>
        <rFont val="Times New Roman"/>
        <family val="1"/>
      </rPr>
      <t>lahan  produksi  tebal 8  cm  beton  f’c 14,5 MPa, slump (120 ± 20) mm</t>
    </r>
  </si>
  <si>
    <r>
      <t>(K3) Pembuatan 1 m</t>
    </r>
    <r>
      <rPr>
        <b/>
        <vertAlign val="superscript"/>
        <sz val="10"/>
        <rFont val="Times New Roman"/>
        <family val="1"/>
      </rPr>
      <t xml:space="preserve">2   </t>
    </r>
    <r>
      <rPr>
        <b/>
        <sz val="10"/>
        <rFont val="Times New Roman"/>
        <family val="1"/>
      </rPr>
      <t>lahan produksi tebal 10 cm beton f’c 14,5 MPa, slump (120 ± 20) mm</t>
    </r>
  </si>
  <si>
    <r>
      <t>(K3) Pembuatan 1 m</t>
    </r>
    <r>
      <rPr>
        <b/>
        <vertAlign val="superscript"/>
        <sz val="10"/>
        <rFont val="Times New Roman"/>
        <family val="1"/>
      </rPr>
      <t xml:space="preserve">2   </t>
    </r>
    <r>
      <rPr>
        <b/>
        <sz val="10"/>
        <rFont val="Times New Roman"/>
        <family val="1"/>
      </rPr>
      <t>lahan produksi tebal 15 cm beton f’c 14,5 MPa, slump (120 ± 20) mm</t>
    </r>
  </si>
  <si>
    <t>Pembuatan  1 m2    bekisting untuk  pelat  beton pracetak  ( 5 kali pakai)</t>
  </si>
  <si>
    <r>
      <t xml:space="preserve"> Pembuatan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bekisting untuk balok beton pracetak (10-12 kali pakai)</t>
    </r>
  </si>
  <si>
    <r>
      <t>Penuangan/menebar beton 1 m</t>
    </r>
    <r>
      <rPr>
        <b/>
        <vertAlign val="superscript"/>
        <sz val="10"/>
        <rFont val="Times New Roman"/>
        <family val="1"/>
      </rPr>
      <t xml:space="preserve">3  </t>
    </r>
    <r>
      <rPr>
        <b/>
        <sz val="10"/>
        <rFont val="Times New Roman"/>
        <family val="1"/>
      </rPr>
      <t>komponen untuk pelat pracetak</t>
    </r>
  </si>
  <si>
    <r>
      <t>Penuangan/menebar beton 1 m</t>
    </r>
    <r>
      <rPr>
        <b/>
        <vertAlign val="superscript"/>
        <sz val="10"/>
        <rFont val="Times New Roman"/>
        <family val="1"/>
      </rPr>
      <t xml:space="preserve">3  </t>
    </r>
    <r>
      <rPr>
        <b/>
        <sz val="10"/>
        <rFont val="Times New Roman"/>
        <family val="1"/>
      </rPr>
      <t>komponen untuk balok pracetak</t>
    </r>
  </si>
  <si>
    <r>
      <t>Penuangan/menebar beton 1 m</t>
    </r>
    <r>
      <rPr>
        <b/>
        <vertAlign val="superscript"/>
        <sz val="10"/>
        <rFont val="Times New Roman"/>
        <family val="1"/>
      </rPr>
      <t xml:space="preserve">3 </t>
    </r>
    <r>
      <rPr>
        <b/>
        <sz val="10"/>
        <rFont val="Times New Roman"/>
        <family val="1"/>
      </rPr>
      <t>komponen kolom pracetak</t>
    </r>
  </si>
  <si>
    <r>
      <t xml:space="preserve"> Bahan 1 m</t>
    </r>
    <r>
      <rPr>
        <b/>
        <vertAlign val="superscript"/>
        <sz val="10"/>
        <rFont val="Times New Roman"/>
        <family val="1"/>
      </rPr>
      <t xml:space="preserve">3  </t>
    </r>
    <r>
      <rPr>
        <b/>
        <i/>
        <sz val="10"/>
        <rFont val="Times New Roman"/>
        <family val="1"/>
      </rPr>
      <t xml:space="preserve">grout </t>
    </r>
    <r>
      <rPr>
        <b/>
        <sz val="10"/>
        <rFont val="Times New Roman"/>
        <family val="1"/>
      </rPr>
      <t>campuran</t>
    </r>
  </si>
  <si>
    <r>
      <t xml:space="preserve"> Bahan 1 m</t>
    </r>
    <r>
      <rPr>
        <b/>
        <vertAlign val="superscript"/>
        <sz val="10"/>
        <rFont val="Times New Roman"/>
        <family val="1"/>
      </rPr>
      <t xml:space="preserve">3  </t>
    </r>
    <r>
      <rPr>
        <b/>
        <sz val="10"/>
        <rFont val="Times New Roman"/>
        <family val="1"/>
      </rPr>
      <t>g</t>
    </r>
    <r>
      <rPr>
        <b/>
        <i/>
        <sz val="10"/>
        <rFont val="Times New Roman"/>
        <family val="1"/>
      </rPr>
      <t xml:space="preserve">rout </t>
    </r>
    <r>
      <rPr>
        <b/>
        <sz val="10"/>
        <rFont val="Times New Roman"/>
        <family val="1"/>
      </rPr>
      <t>(tidak campuran)</t>
    </r>
  </si>
  <si>
    <r>
      <t xml:space="preserve">Upah 1 titik pekerjaan </t>
    </r>
    <r>
      <rPr>
        <b/>
        <i/>
        <sz val="10"/>
        <rFont val="Times New Roman"/>
        <family val="1"/>
      </rPr>
      <t xml:space="preserve">grout </t>
    </r>
    <r>
      <rPr>
        <b/>
        <sz val="10"/>
        <rFont val="Times New Roman"/>
        <family val="1"/>
      </rPr>
      <t xml:space="preserve">pada </t>
    </r>
    <r>
      <rPr>
        <b/>
        <i/>
        <sz val="10"/>
        <rFont val="Times New Roman"/>
        <family val="1"/>
      </rPr>
      <t xml:space="preserve">joint </t>
    </r>
    <r>
      <rPr>
        <b/>
        <sz val="10"/>
        <rFont val="Times New Roman"/>
        <family val="1"/>
      </rPr>
      <t>beton pracetak</t>
    </r>
  </si>
  <si>
    <r>
      <t xml:space="preserve">Pemasangan  1 titik bekisting </t>
    </r>
    <r>
      <rPr>
        <b/>
        <i/>
        <sz val="10"/>
        <rFont val="Times New Roman"/>
        <family val="1"/>
      </rPr>
      <t xml:space="preserve">joint </t>
    </r>
    <r>
      <rPr>
        <b/>
        <sz val="10"/>
        <rFont val="Times New Roman"/>
        <family val="1"/>
      </rPr>
      <t>pracetak</t>
    </r>
  </si>
  <si>
    <r>
      <t xml:space="preserve">Upah  1 titik </t>
    </r>
    <r>
      <rPr>
        <b/>
        <i/>
        <sz val="10"/>
        <rFont val="Times New Roman"/>
        <family val="1"/>
      </rPr>
      <t xml:space="preserve">joint </t>
    </r>
    <r>
      <rPr>
        <b/>
        <sz val="10"/>
        <rFont val="Times New Roman"/>
        <family val="1"/>
      </rPr>
      <t xml:space="preserve">dengan </t>
    </r>
    <r>
      <rPr>
        <b/>
        <i/>
        <sz val="10"/>
        <rFont val="Times New Roman"/>
        <family val="1"/>
      </rPr>
      <t>sling</t>
    </r>
  </si>
  <si>
    <t>PP</t>
  </si>
  <si>
    <t>KP</t>
  </si>
  <si>
    <t>SM</t>
  </si>
  <si>
    <t>Batu granit</t>
  </si>
  <si>
    <t>Batu traso</t>
  </si>
  <si>
    <t>MSP</t>
  </si>
  <si>
    <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i/>
        <sz val="10"/>
        <rFont val="Times New Roman"/>
        <family val="1"/>
      </rPr>
      <t xml:space="preserve">finishing </t>
    </r>
    <r>
      <rPr>
        <b/>
        <sz val="10"/>
        <rFont val="Times New Roman"/>
        <family val="1"/>
      </rPr>
      <t xml:space="preserve">siar pasangan batu kali,campuran 1SP : 2PP
</t>
    </r>
  </si>
  <si>
    <r>
      <rPr>
        <b/>
        <sz val="10"/>
        <rFont val="Times New Roman"/>
        <family val="1"/>
      </rP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plesteran 1SP : 1PP tebal 15 mm</t>
    </r>
  </si>
  <si>
    <r>
      <rPr>
        <b/>
        <sz val="10"/>
        <rFont val="Times New Roman"/>
        <family val="1"/>
      </rP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plesteran 1SP : 2PP tebal 15 mm</t>
    </r>
  </si>
  <si>
    <r>
      <rPr>
        <b/>
        <sz val="10"/>
        <rFont val="Times New Roman"/>
        <family val="1"/>
      </rP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plesteran 1SP : 3PP tebal 15mm</t>
    </r>
  </si>
  <si>
    <r>
      <rPr>
        <b/>
        <sz val="10"/>
        <rFont val="Times New Roman"/>
        <family val="1"/>
      </rP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plesteran 1SP : 4PP tebal 15 mm</t>
    </r>
  </si>
  <si>
    <r>
      <rPr>
        <b/>
        <sz val="10"/>
        <rFont val="Times New Roman"/>
        <family val="1"/>
      </rP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plesteran 1SP : 5PP tebal 15 mm</t>
    </r>
  </si>
  <si>
    <r>
      <rPr>
        <b/>
        <sz val="10"/>
        <rFont val="Times New Roman"/>
        <family val="1"/>
      </rP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plesteran 1SP : 6PP tebal 15 mm</t>
    </r>
  </si>
  <si>
    <r>
      <rPr>
        <b/>
        <sz val="10"/>
        <rFont val="Times New Roman"/>
        <family val="1"/>
      </rP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plesteran 1SP : 7PP tebal 15 mm</t>
    </r>
  </si>
  <si>
    <r>
      <rPr>
        <b/>
        <sz val="10"/>
        <rFont val="Times New Roman"/>
        <family val="1"/>
      </rP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plesteran 1SP : 8PP tebal 15 mm</t>
    </r>
  </si>
  <si>
    <r>
      <rPr>
        <b/>
        <sz val="10"/>
        <rFont val="Times New Roman"/>
        <family val="1"/>
      </rP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plesteran 1SP : 1/2KP : 3PP tebal 15 mm</t>
    </r>
  </si>
  <si>
    <r>
      <rPr>
        <b/>
        <sz val="10"/>
        <rFont val="Times New Roman"/>
        <family val="1"/>
      </rP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plesteran 1SP : 2KP : 8PP tebal 15 mm</t>
    </r>
  </si>
  <si>
    <r>
      <rPr>
        <b/>
        <sz val="10"/>
        <rFont val="Times New Roman"/>
        <family val="1"/>
      </rP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plesteran 1SM : 1KP : 1PP tebal 15 mm</t>
    </r>
  </si>
  <si>
    <r>
      <rPr>
        <b/>
        <sz val="10"/>
        <rFont val="Times New Roman"/>
        <family val="1"/>
      </rP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plesteran 1SM : 1KP : 2PP tebal 15 mm</t>
    </r>
  </si>
  <si>
    <r>
      <rPr>
        <b/>
        <sz val="10"/>
        <rFont val="Times New Roman"/>
        <family val="1"/>
      </rP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plesteran 1SP : 1PP tebal 20 mm</t>
    </r>
  </si>
  <si>
    <r>
      <rPr>
        <b/>
        <sz val="10"/>
        <rFont val="Times New Roman"/>
        <family val="1"/>
      </rPr>
      <t xml:space="preserve"> 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plesteran 1SP : 3PP tebal 20 mm</t>
    </r>
  </si>
  <si>
    <r>
      <rPr>
        <b/>
        <sz val="10"/>
        <rFont val="Times New Roman"/>
        <family val="1"/>
      </rP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plesteran 1SP : 4PP tebal 20 mm</t>
    </r>
  </si>
  <si>
    <r>
      <rPr>
        <b/>
        <sz val="10"/>
        <rFont val="Times New Roman"/>
        <family val="1"/>
      </rPr>
      <t xml:space="preserve"> 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plesteran 1SP : 5PP tebal 20 mm</t>
    </r>
  </si>
  <si>
    <r>
      <rPr>
        <b/>
        <sz val="10"/>
        <rFont val="Times New Roman"/>
        <family val="1"/>
      </rP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plesteran 1SP : 6PP tebal 20 mm</t>
    </r>
  </si>
  <si>
    <r>
      <rPr>
        <b/>
        <sz val="10"/>
        <rFont val="Times New Roman"/>
        <family val="1"/>
      </rP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plesteran 1SM : 1KP : 2PP tebal 20 mm</t>
    </r>
  </si>
  <si>
    <r>
      <rPr>
        <b/>
        <sz val="10"/>
        <rFont val="Times New Roman"/>
        <family val="1"/>
      </rP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berapen 1SP : 5PP tebal 15 mm</t>
    </r>
  </si>
  <si>
    <t>Pemasangan 1 m’ plesteran skoning 1SP : 3PP lebar 10 cm</t>
  </si>
  <si>
    <r>
      <rPr>
        <b/>
        <sz val="10"/>
        <rFont val="Times New Roman"/>
        <family val="1"/>
      </rP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plesteran granit  1SP : 2 granit tebal 1cm</t>
    </r>
  </si>
  <si>
    <r>
      <rPr>
        <b/>
        <sz val="10"/>
        <rFont val="Times New Roman"/>
        <family val="1"/>
      </rP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plesteran traso  1SP : 2 traso tebal 1cm</t>
    </r>
  </si>
  <si>
    <r>
      <rPr>
        <b/>
        <sz val="10"/>
        <rFont val="Times New Roman"/>
        <family val="1"/>
      </rP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plesteran ciprat  1SP : 2PP</t>
    </r>
  </si>
  <si>
    <r>
      <rPr>
        <b/>
        <sz val="10"/>
        <rFont val="Times New Roman"/>
        <family val="1"/>
      </rP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i/>
        <sz val="10"/>
        <rFont val="Times New Roman"/>
        <family val="1"/>
      </rPr>
      <t xml:space="preserve">finishing </t>
    </r>
    <r>
      <rPr>
        <b/>
        <sz val="10"/>
        <rFont val="Times New Roman"/>
        <family val="1"/>
      </rPr>
      <t>siar pasangan bata merah</t>
    </r>
  </si>
  <si>
    <r>
      <rPr>
        <b/>
        <sz val="10"/>
        <rFont val="Times New Roman"/>
        <family val="1"/>
      </rP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i/>
        <sz val="10"/>
        <rFont val="Times New Roman"/>
        <family val="1"/>
      </rPr>
      <t xml:space="preserve">finishing </t>
    </r>
    <r>
      <rPr>
        <b/>
        <sz val="10"/>
        <rFont val="Times New Roman"/>
        <family val="1"/>
      </rPr>
      <t xml:space="preserve">siar pasangan </t>
    </r>
    <r>
      <rPr>
        <b/>
        <i/>
        <sz val="10"/>
        <rFont val="Times New Roman"/>
        <family val="1"/>
      </rPr>
      <t xml:space="preserve">conblock </t>
    </r>
    <r>
      <rPr>
        <b/>
        <sz val="10"/>
        <rFont val="Times New Roman"/>
        <family val="1"/>
      </rPr>
      <t>ekspose</t>
    </r>
  </si>
  <si>
    <r>
      <rPr>
        <b/>
        <sz val="10"/>
        <rFont val="Times New Roman"/>
        <family val="1"/>
      </rP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acian</t>
    </r>
  </si>
  <si>
    <r>
      <rPr>
        <b/>
        <sz val="10"/>
        <rFont val="Times New Roman"/>
        <family val="1"/>
      </rP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plesteran dengan mortar siap pakai (MSP)</t>
    </r>
  </si>
  <si>
    <r>
      <rPr>
        <b/>
        <sz val="10"/>
        <rFont val="Times New Roman"/>
        <family val="1"/>
      </rP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plesteran acian mortar siap pakai (MSP)</t>
    </r>
  </si>
  <si>
    <t>Tukang atu</t>
  </si>
  <si>
    <t>Ubin abu-abu</t>
  </si>
  <si>
    <t>Bh</t>
  </si>
  <si>
    <t>Tukang datu</t>
  </si>
  <si>
    <t>Ubin warna</t>
  </si>
  <si>
    <t>Ubin teraso</t>
  </si>
  <si>
    <t>Ubin granit</t>
  </si>
  <si>
    <t>Ubin teralux</t>
  </si>
  <si>
    <t>Ubin teralux marmer</t>
  </si>
  <si>
    <t>Plint ubin PC</t>
  </si>
  <si>
    <t>Plint ubin warna</t>
  </si>
  <si>
    <t>M3</t>
  </si>
  <si>
    <t>Plint ubin teraso</t>
  </si>
  <si>
    <t>Semen Portlan</t>
  </si>
  <si>
    <t>Plint ubin granit</t>
  </si>
  <si>
    <t>Plint teralux kerang</t>
  </si>
  <si>
    <t>Plint  teralux marmer</t>
  </si>
  <si>
    <t>Teraso cor</t>
  </si>
  <si>
    <t>0.036</t>
  </si>
  <si>
    <t>doos</t>
  </si>
  <si>
    <t>Doos</t>
  </si>
  <si>
    <t>Plint keramik</t>
  </si>
  <si>
    <t>Internal cove</t>
  </si>
  <si>
    <t>Marmer</t>
  </si>
  <si>
    <t>Karpet</t>
  </si>
  <si>
    <t>Lem</t>
  </si>
  <si>
    <t>Underlayer</t>
  </si>
  <si>
    <t>Parquet</t>
  </si>
  <si>
    <t>Porslen</t>
  </si>
  <si>
    <t>0.50</t>
  </si>
  <si>
    <t>Keramik artistik</t>
  </si>
  <si>
    <t>Paku 12 cm</t>
  </si>
  <si>
    <t>Bata pelapis</t>
  </si>
  <si>
    <t>Batu  paras</t>
  </si>
  <si>
    <t>Batu  tempel hitam</t>
  </si>
  <si>
    <t>Vynil</t>
  </si>
  <si>
    <t>Wallpaper</t>
  </si>
  <si>
    <t>Floor harderner</t>
  </si>
  <si>
    <t>Papan kayu kelas 1</t>
  </si>
  <si>
    <t>Paku/skrup 5 cm</t>
  </si>
  <si>
    <r>
      <rPr>
        <vertAlign val="subscript"/>
        <sz val="10"/>
        <rFont val="Times New Roman"/>
        <family val="1"/>
      </rPr>
      <t>M</t>
    </r>
    <r>
      <rPr>
        <sz val="10"/>
        <rFont val="Times New Roman"/>
        <family val="1"/>
      </rPr>
      <t>3</t>
    </r>
  </si>
  <si>
    <t>Pemasangan 1 m’ plint ubin PC abu-abu ukuran 15 cm x 20 cm</t>
  </si>
  <si>
    <t>Pemasangan 1 m’ plint ubin Pc abu-abu ukuran 10 cm x 30 cm</t>
  </si>
  <si>
    <t>Pemasangan 1 m’ plint ubin Pc abu-abu ukuran 10cm x 40cm</t>
  </si>
  <si>
    <t>Pemasangan 1 m’ plint ubin warna ukuran 10cm x 20cm</t>
  </si>
  <si>
    <t>Pemasangan 1 m’ plint ubin warna ukuran 10cm x 30cm</t>
  </si>
  <si>
    <t>Pemasangan 1 m’ plint ubin warna ukuran 10 cm x 40 cm</t>
  </si>
  <si>
    <t>Pemasangan 1 m’ plint ubin teraso ukuran 10cm x 30cm</t>
  </si>
  <si>
    <t>Pemasangan 1 m’ plint ubin teraso ukuran 10 cm x 40 cm</t>
  </si>
  <si>
    <t>Pemasangan 1 m’ plint ubin granit ukuran 10 cm x 40 cm</t>
  </si>
  <si>
    <t>Pemasangan 1 m’ plint ubin granit ukuran 10 cm x 30 cm</t>
  </si>
  <si>
    <t>Pemasangan 1 m’ plint ubin teralux kerang ukuran 10cm x 40cm</t>
  </si>
  <si>
    <t>Pemasangan 1 m’ plint ubin teralux kerang ukuran 10 cm x 30 cm</t>
  </si>
  <si>
    <t>Pemasangan 1 m’ plint ubin teralux marmer ukuran 10 cm x 60 cm</t>
  </si>
  <si>
    <t>Pemasangan 1 m’ plint ubin teralux marmer ukuran 10 cm x 40 cm</t>
  </si>
  <si>
    <t>Pemasangan 1 m’ plint ubin teralux marmer ukuran 10cm x 30cm</t>
  </si>
  <si>
    <t>Pemasangan 1 m’ plint keramik ukuran 10 cm x 20 cm</t>
  </si>
  <si>
    <t>Pemasangan 1 m’ plint keramik ukuran 10 cm x 10 cm</t>
  </si>
  <si>
    <t>Pemasangan 1 m’ plint keramik ukuran 5 cm x 20 cm</t>
  </si>
  <si>
    <t>Pemasangan 1 m’ plint vynil 15cm x 30cm</t>
  </si>
  <si>
    <t>Pemasangan 1 m’ plint kayu tebal 2 cm lebar 10 cm</t>
  </si>
  <si>
    <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lantai ubin PC abu-abu ukuran 40cm x 40 cm</t>
    </r>
  </si>
  <si>
    <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lantai ubin PC abu-abu ukuran 30 cm x30 cm</t>
    </r>
  </si>
  <si>
    <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lantai ubin PC abu-abu ukuran 20 cm x 20 cm</t>
    </r>
  </si>
  <si>
    <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lantai ubin warna  ukuran 40 cm x 40 cm</t>
    </r>
  </si>
  <si>
    <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lantai ubin warna  ukuran 30 cm x 30 cm</t>
    </r>
  </si>
  <si>
    <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lantai ubin warna  ukuran 20 cm x 20 cm</t>
    </r>
  </si>
  <si>
    <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lantai ubin teraso  ukuran 40 cm x 40 cm</t>
    </r>
  </si>
  <si>
    <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lantai ubin teraso  ukuran 30 cm x 30 cm</t>
    </r>
  </si>
  <si>
    <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lantai ubin granit  ukuran 40 cm x 40 cm</t>
    </r>
  </si>
  <si>
    <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lantai ubin granit  ukuran 30 cm x 30 cm</t>
    </r>
  </si>
  <si>
    <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lantai ubin teralux  ukuran 30 cm x 30 cm</t>
    </r>
  </si>
  <si>
    <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lantai ubin teralux marmer ukuran 60 cm x 60 cm</t>
    </r>
  </si>
  <si>
    <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lantai ubin teralux marmer ukuran 40 cm x 40 cm</t>
    </r>
  </si>
  <si>
    <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lantai ubin teralux marmer ukuran 30 cm x 30 cm</t>
    </r>
  </si>
  <si>
    <r>
      <t>Pemasangan 1m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lantai teraso cor di tempat, tebal 3 cm</t>
    </r>
  </si>
  <si>
    <r>
      <t>Pemasangan 1m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lantai keramik artistik 10 cm x 20 cm</t>
    </r>
  </si>
  <si>
    <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lantai keramik artistik 10 cm x 10 cm atau 5 cm x 20 cm</t>
    </r>
  </si>
  <si>
    <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lantai keramik ukuran 33 cm x 33 cm</t>
    </r>
  </si>
  <si>
    <r>
      <t>Pemasangan 1m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lantai keramik ukuran 30 cm x 30 cm</t>
    </r>
  </si>
  <si>
    <r>
      <t>Pemasangan 1m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lantai keramik ukuran 20 cm x 20 cm</t>
    </r>
  </si>
  <si>
    <r>
      <t>Pemasangan  1m</t>
    </r>
    <r>
      <rPr>
        <b/>
        <vertAlign val="superscript"/>
        <sz val="10"/>
        <rFont val="Times New Roman"/>
        <family val="1"/>
      </rPr>
      <t xml:space="preserve">2   </t>
    </r>
    <r>
      <rPr>
        <b/>
        <sz val="10"/>
        <rFont val="Times New Roman"/>
        <family val="1"/>
      </rPr>
      <t>lantai  keramik  ukuran  10  cm  x  33  cm  untuk variasi/border</t>
    </r>
  </si>
  <si>
    <r>
      <t>Pemasangan 1m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lantai keramik mozaik ukuran 30 cm x 30 cm</t>
    </r>
  </si>
  <si>
    <r>
      <t xml:space="preserve">Pemasangan 1 m’ </t>
    </r>
    <r>
      <rPr>
        <b/>
        <i/>
        <sz val="10"/>
        <rFont val="Times New Roman"/>
        <family val="1"/>
      </rPr>
      <t xml:space="preserve">plint internal cove </t>
    </r>
    <r>
      <rPr>
        <b/>
        <sz val="10"/>
        <rFont val="Times New Roman"/>
        <family val="1"/>
      </rPr>
      <t>artistik 5 cm x 5 cm x 20 cm</t>
    </r>
  </si>
  <si>
    <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lantai marmer ukuran 100cm x 100cm</t>
    </r>
  </si>
  <si>
    <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lantai karpet</t>
    </r>
  </si>
  <si>
    <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i/>
        <sz val="10"/>
        <rFont val="Times New Roman"/>
        <family val="1"/>
      </rPr>
      <t xml:space="preserve">underlayer </t>
    </r>
    <r>
      <rPr>
        <b/>
        <sz val="10"/>
        <rFont val="Times New Roman"/>
        <family val="1"/>
      </rPr>
      <t>(pelapis bawah karpet)</t>
    </r>
  </si>
  <si>
    <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 xml:space="preserve">lantai </t>
    </r>
    <r>
      <rPr>
        <b/>
        <i/>
        <sz val="10"/>
        <rFont val="Times New Roman"/>
        <family val="1"/>
      </rPr>
      <t xml:space="preserve">parquet </t>
    </r>
    <r>
      <rPr>
        <b/>
        <sz val="10"/>
        <rFont val="Times New Roman"/>
        <family val="1"/>
      </rPr>
      <t>kayu</t>
    </r>
  </si>
  <si>
    <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 xml:space="preserve">lantai  kayu </t>
    </r>
    <r>
      <rPr>
        <b/>
        <i/>
        <sz val="10"/>
        <rFont val="Times New Roman"/>
        <family val="1"/>
      </rPr>
      <t>gymfloor</t>
    </r>
  </si>
  <si>
    <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dinding porselen 11 cm x 11 cm</t>
    </r>
  </si>
  <si>
    <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dinding porselen 10 cm x 20 cm</t>
    </r>
  </si>
  <si>
    <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dinding porselen 20 cm x 20 cm</t>
    </r>
  </si>
  <si>
    <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dinding keramik artistik  10 cm x 20 cm</t>
    </r>
  </si>
  <si>
    <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dinding keramik artistik  5 cm x 20 cm</t>
    </r>
  </si>
  <si>
    <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dinding keramik 10 cm x 20 cm</t>
    </r>
  </si>
  <si>
    <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dinding keramik  20 cm x 20 cm</t>
    </r>
  </si>
  <si>
    <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dinding marmer 100 cm x 100 cm</t>
    </r>
  </si>
  <si>
    <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dinding bata pelapis 3 cm x 7 cm x 24 cm</t>
    </r>
  </si>
  <si>
    <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dinding batu paras</t>
    </r>
  </si>
  <si>
    <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dinding batu tempel hitam</t>
    </r>
  </si>
  <si>
    <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lantai vynil ukuran 30 cm x 30 cm</t>
    </r>
  </si>
  <si>
    <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i/>
        <sz val="10"/>
        <rFont val="Times New Roman"/>
        <family val="1"/>
      </rPr>
      <t xml:space="preserve">wallpaper </t>
    </r>
    <r>
      <rPr>
        <b/>
        <sz val="10"/>
        <rFont val="Times New Roman"/>
        <family val="1"/>
      </rPr>
      <t>lebar 50 cm</t>
    </r>
  </si>
  <si>
    <r>
      <t>Pemasangan 1m</t>
    </r>
    <r>
      <rPr>
        <b/>
        <vertAlign val="superscript"/>
        <sz val="10"/>
        <rFont val="Times New Roman"/>
        <family val="1"/>
      </rPr>
      <t xml:space="preserve">2  </t>
    </r>
    <r>
      <rPr>
        <b/>
        <i/>
        <sz val="10"/>
        <rFont val="Times New Roman"/>
        <family val="1"/>
      </rPr>
      <t>floor harderner</t>
    </r>
  </si>
  <si>
    <r>
      <rPr>
        <i/>
        <sz val="10"/>
        <rFont val="Times New Roman"/>
        <family val="1"/>
      </rPr>
      <t xml:space="preserve">Paving block </t>
    </r>
    <r>
      <rPr>
        <sz val="10"/>
        <rFont val="Times New Roman"/>
        <family val="1"/>
      </rPr>
      <t>6 cm</t>
    </r>
  </si>
  <si>
    <r>
      <rPr>
        <i/>
        <sz val="10"/>
        <rFont val="Times New Roman"/>
        <family val="1"/>
      </rPr>
      <t xml:space="preserve">Paving block </t>
    </r>
    <r>
      <rPr>
        <sz val="10"/>
        <rFont val="Times New Roman"/>
        <family val="1"/>
      </rPr>
      <t>8 cm natural</t>
    </r>
  </si>
  <si>
    <r>
      <rPr>
        <i/>
        <sz val="10"/>
        <rFont val="Times New Roman"/>
        <family val="1"/>
      </rPr>
      <t xml:space="preserve">Paving block </t>
    </r>
    <r>
      <rPr>
        <sz val="10"/>
        <rFont val="Times New Roman"/>
        <family val="1"/>
      </rPr>
      <t>6cm berwarna</t>
    </r>
  </si>
  <si>
    <t>0.5</t>
  </si>
  <si>
    <t>0.05</t>
  </si>
  <si>
    <t>0.0013</t>
  </si>
  <si>
    <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i/>
        <sz val="10"/>
        <rFont val="Times New Roman"/>
        <family val="1"/>
      </rPr>
      <t xml:space="preserve">paving block </t>
    </r>
    <r>
      <rPr>
        <b/>
        <sz val="10"/>
        <rFont val="Times New Roman"/>
        <family val="1"/>
      </rPr>
      <t>natural tebal 6 cm</t>
    </r>
  </si>
  <si>
    <r>
      <rPr>
        <vertAlign val="subscript"/>
        <sz val="10"/>
        <rFont val="Times New Roman"/>
        <family val="1"/>
      </rPr>
      <t>M</t>
    </r>
    <r>
      <rPr>
        <sz val="10"/>
        <rFont val="Times New Roman"/>
        <family val="1"/>
      </rPr>
      <t>2</t>
    </r>
  </si>
  <si>
    <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i/>
        <sz val="10"/>
        <rFont val="Times New Roman"/>
        <family val="1"/>
      </rPr>
      <t xml:space="preserve">paving block </t>
    </r>
    <r>
      <rPr>
        <b/>
        <sz val="10"/>
        <rFont val="Times New Roman"/>
        <family val="1"/>
      </rPr>
      <t>natural tebal 8 cm</t>
    </r>
  </si>
  <si>
    <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i/>
        <sz val="10"/>
        <rFont val="Times New Roman"/>
        <family val="1"/>
      </rPr>
      <t xml:space="preserve">paving block </t>
    </r>
    <r>
      <rPr>
        <b/>
        <sz val="10"/>
        <rFont val="Times New Roman"/>
        <family val="1"/>
      </rPr>
      <t>berwarna tebal 6 cm</t>
    </r>
  </si>
  <si>
    <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i/>
        <sz val="10"/>
        <rFont val="Times New Roman"/>
        <family val="1"/>
      </rPr>
      <t xml:space="preserve">paving block </t>
    </r>
    <r>
      <rPr>
        <b/>
        <sz val="10"/>
        <rFont val="Times New Roman"/>
        <family val="1"/>
      </rPr>
      <t>berwarna tebal 8 cm</t>
    </r>
  </si>
  <si>
    <r>
      <rPr>
        <i/>
        <sz val="10"/>
        <rFont val="Times New Roman"/>
        <family val="1"/>
      </rPr>
      <t xml:space="preserve">Paving block  </t>
    </r>
    <r>
      <rPr>
        <sz val="10"/>
        <rFont val="Times New Roman"/>
        <family val="1"/>
      </rPr>
      <t>8 cm berwarna</t>
    </r>
  </si>
  <si>
    <t xml:space="preserve">(K3) Pembuangan tanah </t>
  </si>
  <si>
    <t>Pembuatan  sumur Gali m1</t>
  </si>
  <si>
    <t>Pemasangan keramik stepnosing granito 5/30</t>
  </si>
  <si>
    <r>
      <t xml:space="preserve"> (K3)Pembuatan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kantor sementara lantai plesteran</t>
    </r>
  </si>
  <si>
    <r>
      <t xml:space="preserve"> (K3) Pembuangan   1 m</t>
    </r>
    <r>
      <rPr>
        <b/>
        <vertAlign val="superscript"/>
        <sz val="10"/>
        <rFont val="Times New Roman"/>
        <family val="1"/>
      </rPr>
      <t xml:space="preserve">3  </t>
    </r>
    <r>
      <rPr>
        <b/>
        <sz val="10"/>
        <rFont val="Times New Roman"/>
        <family val="1"/>
      </rPr>
      <t xml:space="preserve">tanah </t>
    </r>
  </si>
  <si>
    <t>Pasang keramik stepnosing granito 5/30</t>
  </si>
  <si>
    <t>AK17</t>
  </si>
  <si>
    <t>0,019</t>
  </si>
  <si>
    <t xml:space="preserve">0,038 </t>
  </si>
  <si>
    <t xml:space="preserve">0,019 </t>
  </si>
  <si>
    <t>(K3) Pemasangan batu kosong (aanstamping)</t>
  </si>
  <si>
    <t>Pemasangan dinding terawang (roster) campuran 1PC:3PP</t>
  </si>
  <si>
    <t>Pemasangan dinding terawang (roster) campuran 1PC:4PP</t>
  </si>
  <si>
    <t>(K3) Pembuatan 1m2  lahan produksi tebal 8 cm beton f’c 14,5 MPa, slump (120 ± 20) mm</t>
  </si>
  <si>
    <t>(K3) Pembuatan 1m2  lahan produksi tebal 10 cm beton f’c 14,5 MPa, slump (120 ± 20) mm</t>
  </si>
  <si>
    <t>(K3) Pembuatan 1m2  lahan produksi tebal 12 cm beton f’c 14,5 MPa, slump (120 ± 20) mm</t>
  </si>
  <si>
    <t>(K3) Pembuatan 1m2  lahan produksi tebal 15 cm beton f’c 14,5 MPa, slump (120 ± 20) mm</t>
  </si>
  <si>
    <t>Pembuatan 1m2  bekisting untuk pelat beton pracetak (5 kali pakai)</t>
  </si>
  <si>
    <t>Pembuatan 1m2  bekisting untuk balok beton pracetak (10-12 kali pakai)</t>
  </si>
  <si>
    <t>Pembuatan 1m2  bekisting untuk kolom beton pracetak (10-12 kali pakai)</t>
  </si>
  <si>
    <t>Penuangan/menebar beton 1 m3  untuk pelat beton pracetak</t>
  </si>
  <si>
    <t>Penuangan/menebar beton 1 m3  untuk balok beton pracetak</t>
  </si>
  <si>
    <t>Penuangan/menebar beton 1 m3  untuk kolom beton pracetak</t>
  </si>
  <si>
    <t>Bahan 1 m3 grout campuran</t>
  </si>
  <si>
    <t>Bahan 1 m3 grout (tidak campuran)</t>
  </si>
  <si>
    <t>Upah 1 titik pekerjaan grout pada joint pracetak</t>
  </si>
  <si>
    <t>Pemasangan 1 titik bekisting joint pracetak</t>
  </si>
  <si>
    <t>Upah 1 titik joint dengan sling</t>
  </si>
  <si>
    <t>Pemasangan finishing siar pasangan bata</t>
  </si>
  <si>
    <t>Pemasangan finishing siar pas. conblock</t>
  </si>
  <si>
    <t>Pemasangan finishing siar pas. batu belah</t>
  </si>
  <si>
    <t>Pemasangan 1 m2  plesteran dengan mortar siap pakai (MSP)</t>
  </si>
  <si>
    <t xml:space="preserve"> Pemasangan 1 m2  plesteran acian mortar siap pakai (MSP)</t>
  </si>
  <si>
    <t>Pemasangan 1 m2  lantai ubin PC abu-abu 40x40</t>
  </si>
  <si>
    <t>Pemasangan 1 m2  lantai ubin PC abu-abu 30x30</t>
  </si>
  <si>
    <t>Pemasangan 1 m2  lantai ubin PC abu-abu 20x20</t>
  </si>
  <si>
    <t>Pemasangan 1 m2  lantai ubin warna 40x40</t>
  </si>
  <si>
    <t>Pemasangan 1 m2  lantai ubin warna 30x30</t>
  </si>
  <si>
    <t>Pemasangan 1 m2  lantai ubin warna 20x20</t>
  </si>
  <si>
    <t>Pemasangan 1 m2  lantai ubin teraso 40x40</t>
  </si>
  <si>
    <t>Pemasangan 1 m2  lantai ubin teraso 30x30</t>
  </si>
  <si>
    <t>Pemasangan 1 m2  lantai ubin granit 40x40</t>
  </si>
  <si>
    <t>Pemasangan 1 m2  lantai ubin granit 30x30</t>
  </si>
  <si>
    <t>Pemasangan 1 m2  lantai ubin teralux 40x40</t>
  </si>
  <si>
    <t>Pemasangan 1 m2  lantai ubin teralux 30x30</t>
  </si>
  <si>
    <t>Pemasangan 1 m2  lantai ubin teralux marmer 60x60</t>
  </si>
  <si>
    <t>Pemasangan 1 m2  lantai ubin teralux marmer 40x40</t>
  </si>
  <si>
    <t>Pemasangan 1 m2  lantai ubin teralux marmer 30x30</t>
  </si>
  <si>
    <t>Pemasangan 1 m2  Plint ubin PC abu-abu 15x20</t>
  </si>
  <si>
    <t>Pemasangan 1 m2  Plint ubin PC abu-abu 10x30</t>
  </si>
  <si>
    <t>Pemasangan 1 m2  plint ubin PC abu-abu 10x40</t>
  </si>
  <si>
    <t>Pemasangan 1 m2  plint ubin warna 10x20</t>
  </si>
  <si>
    <t>Pemasangan 1 m2  plint ubin warna 10x30</t>
  </si>
  <si>
    <t>Pemasangan 1 m2  plint ubin warna 10x40</t>
  </si>
  <si>
    <t>Pemasangan 1 m2  plint ubin teraso 10x30</t>
  </si>
  <si>
    <t>Pemasangan 1 m2  plint ubin teraso 10x40</t>
  </si>
  <si>
    <t>Pemasangan 1 m2  plint ubin granit 10x40</t>
  </si>
  <si>
    <t>Pemasangan 1 m2  plint ubin granit 10x30</t>
  </si>
  <si>
    <t>Pemasangan 1 m2  plint ubin teralux kerang 10x40</t>
  </si>
  <si>
    <t>Pemasangan 1 m2  plint ubin teralux kerang 10x30</t>
  </si>
  <si>
    <t>Pemasangan 1 m2  plint ubin teralux marmer 10x60</t>
  </si>
  <si>
    <t>Pemasangan 1 m2  plint ubin teralux marmer 10x40</t>
  </si>
  <si>
    <t>Pemasangan 1 m2  plint ubin teralux marmer 10x30</t>
  </si>
  <si>
    <t>Pemasangan 1 m2  lantai teraso cor di tempat tebal 3 cm</t>
  </si>
  <si>
    <t>Pemasangan 1 m2  lantai keramik artistik 10x20</t>
  </si>
  <si>
    <t>Pemasangan 1 m2  lantai keramik artistik 10x20 atau 5x20</t>
  </si>
  <si>
    <t>Pemasangan 1 m2  lantai keramik 33x33</t>
  </si>
  <si>
    <t>Pemasangan 1 m2  lantai keramik 30x30</t>
  </si>
  <si>
    <t>Pemasangan 1 m2  lantai keramik 20x20</t>
  </si>
  <si>
    <t>Pemasangan 1 m2  lantai mozaik 30x30 1PC:3PP</t>
  </si>
  <si>
    <t>Pemasangan 1 m2  plint keramik 10x20</t>
  </si>
  <si>
    <t>Pemasangan 1 m2  plint keramik 10x10</t>
  </si>
  <si>
    <t>Pemasangan 1 m2  plint keramik 5x20</t>
  </si>
  <si>
    <t>Pemasangan 1 m2  plint internal cove artistik 5x5x20</t>
  </si>
  <si>
    <t>Pemasangan 1 m2  lantai marmer 100x100</t>
  </si>
  <si>
    <t>Pemasangan 1 m2  lantai karpet</t>
  </si>
  <si>
    <t>Pemasangan 1 m2  underlayer (lapisan bawah karpet)</t>
  </si>
  <si>
    <t>Pemasangan 1 m2  lantai parquet</t>
  </si>
  <si>
    <t>Pemasangan 1 m2  lantai kayu gymfloor</t>
  </si>
  <si>
    <t>Pemasangan 1 m2  dinding porslen 11x11</t>
  </si>
  <si>
    <t>Pemasangan 1 m2  dinding porslen 10x20</t>
  </si>
  <si>
    <t>Pemasangan 1 m2  dinding porslen 20x20</t>
  </si>
  <si>
    <t>Pemasangan 1 m2  dinding keramik artistik 10x20</t>
  </si>
  <si>
    <t>Pemasangan 1 m2  dinding keramik artistik 5x20</t>
  </si>
  <si>
    <t>Pemasangan 1 m2  dinding keramik 10x20</t>
  </si>
  <si>
    <t>Pemasangan 1 m2  dinding keramik 20x20</t>
  </si>
  <si>
    <t>Pemasangan 1 m2  dinding marmer 100x100</t>
  </si>
  <si>
    <t>Pemasangan 1 m2  dinding bata pelapis 3x7x24</t>
  </si>
  <si>
    <t>Pemasangan 1 m2  dinding batu paras</t>
  </si>
  <si>
    <t>Pemasangan 1 m2  dinding batu temple hitam</t>
  </si>
  <si>
    <t>Pemasangan 1 m2  lantai vinyl 30x30</t>
  </si>
  <si>
    <t>Pemasangan 1 m2  wallpaper lebar 50cm</t>
  </si>
  <si>
    <t>Pemasangan 1 m2  floor harderner</t>
  </si>
  <si>
    <t>Pemasangan 1 m2  plinti vinyl karet 15x30</t>
  </si>
  <si>
    <t>Pemasangan 1 m2  plint kayu 2x10</t>
  </si>
  <si>
    <t>Pemasangan paving block tebal 6 cm natural</t>
  </si>
  <si>
    <t>Pemasangan paving block tebal 8 cm natural</t>
  </si>
  <si>
    <t>Pemasangan paving block tebal 6 cm berwarna</t>
  </si>
  <si>
    <t>Pemasangan paving block tebal 8 cm berwarna</t>
  </si>
  <si>
    <t>A.1.1.1</t>
  </si>
  <si>
    <t>A.1.1.2</t>
  </si>
  <si>
    <t>A.1.1.3</t>
  </si>
  <si>
    <t>A.1.1.4</t>
  </si>
  <si>
    <t>A.1.1.5</t>
  </si>
  <si>
    <t>A.1.1.6</t>
  </si>
  <si>
    <t>A.1.1.7</t>
  </si>
  <si>
    <t>A.1.1.8</t>
  </si>
  <si>
    <t>A.1.1.9</t>
  </si>
  <si>
    <t>A.1.1.10</t>
  </si>
  <si>
    <t>A.1.1.11</t>
  </si>
  <si>
    <t>A.1.1.12</t>
  </si>
  <si>
    <t>A.1.1.13</t>
  </si>
  <si>
    <t>A.1.1.14</t>
  </si>
  <si>
    <t>A.1.1.15</t>
  </si>
  <si>
    <t>A.1.1.16</t>
  </si>
  <si>
    <t>NO</t>
  </si>
  <si>
    <t>A.1.2.1</t>
  </si>
  <si>
    <t>A.1.2.2</t>
  </si>
  <si>
    <t>A.1.2.3</t>
  </si>
  <si>
    <t>A.1.2.4</t>
  </si>
  <si>
    <t>A.1.2.5</t>
  </si>
  <si>
    <t>A.1.2.6</t>
  </si>
  <si>
    <t>A.1.2.7</t>
  </si>
  <si>
    <t>A.1.2.8</t>
  </si>
  <si>
    <t>A.1.2.9</t>
  </si>
  <si>
    <t>A.1.2.10</t>
  </si>
  <si>
    <t>A.1.2.11</t>
  </si>
  <si>
    <t>A.1.2.12</t>
  </si>
  <si>
    <t>A.1.2.13</t>
  </si>
  <si>
    <t>A.1.3.1</t>
  </si>
  <si>
    <t>A.1.3.2</t>
  </si>
  <si>
    <t>A.1.3.3</t>
  </si>
  <si>
    <t>A.1.3.4</t>
  </si>
  <si>
    <t>A.1.3.5</t>
  </si>
  <si>
    <t>A.1.3.6</t>
  </si>
  <si>
    <t>A.1.3.7</t>
  </si>
  <si>
    <t>A.1.3.8</t>
  </si>
  <si>
    <t>A.1.3.9</t>
  </si>
  <si>
    <t>A.1.3.10</t>
  </si>
  <si>
    <t>A.1.3.11</t>
  </si>
  <si>
    <t>A.1.3.12</t>
  </si>
  <si>
    <t>A.1.3.13</t>
  </si>
  <si>
    <t>A.1.3.14</t>
  </si>
  <si>
    <t>A.1.3.15</t>
  </si>
  <si>
    <t>A.1.3.16</t>
  </si>
  <si>
    <t>A.1.3.17</t>
  </si>
  <si>
    <t>A.1.3.18</t>
  </si>
  <si>
    <t>A.1.4.1</t>
  </si>
  <si>
    <t>A.1.4.2</t>
  </si>
  <si>
    <t>A.1.4.3</t>
  </si>
  <si>
    <t>A.1.4.4</t>
  </si>
  <si>
    <t>A.1.4.5</t>
  </si>
  <si>
    <t>A.1.4.6</t>
  </si>
  <si>
    <t>A.1.4.7</t>
  </si>
  <si>
    <t>A.1.4.8</t>
  </si>
  <si>
    <t>A.1.4.9</t>
  </si>
  <si>
    <t>A.1.4.10</t>
  </si>
  <si>
    <t>A.1.4.11</t>
  </si>
  <si>
    <t>A.1.5.1</t>
  </si>
  <si>
    <t>A.1.5.2</t>
  </si>
  <si>
    <t>A.1.5.3</t>
  </si>
  <si>
    <t>A.1.5.4</t>
  </si>
  <si>
    <t>A.1.5.5</t>
  </si>
  <si>
    <t>A.1.5.6</t>
  </si>
  <si>
    <t>A.1.5.7</t>
  </si>
  <si>
    <t>A.1.5.8</t>
  </si>
  <si>
    <t>A.1.5.9</t>
  </si>
  <si>
    <t>A.1.5.10</t>
  </si>
  <si>
    <t>A.1.5.11</t>
  </si>
  <si>
    <t>A.1.5.12</t>
  </si>
  <si>
    <t>A.1.5.13</t>
  </si>
  <si>
    <t>A.1.5.14</t>
  </si>
  <si>
    <t>A.1.5.15</t>
  </si>
  <si>
    <t>A.1.5.16</t>
  </si>
  <si>
    <t>A.1.5.17</t>
  </si>
  <si>
    <t>A.1.5.18</t>
  </si>
  <si>
    <t>A.1.5.19</t>
  </si>
  <si>
    <t>A.1.5.20</t>
  </si>
  <si>
    <t>A.1.5.21</t>
  </si>
  <si>
    <t>A.1.5.22</t>
  </si>
  <si>
    <t>A.1.5.23</t>
  </si>
  <si>
    <t>A.1.5.24</t>
  </si>
  <si>
    <t>A.1.5.25</t>
  </si>
  <si>
    <t>A.1.5.26</t>
  </si>
  <si>
    <t>A.1.5.27</t>
  </si>
  <si>
    <t>A.1.5.28</t>
  </si>
  <si>
    <t>A.1.5.29</t>
  </si>
  <si>
    <t>A.1.6.1</t>
  </si>
  <si>
    <t>A.1.6.2</t>
  </si>
  <si>
    <t>A.1.6.3</t>
  </si>
  <si>
    <t>A.1.6.4</t>
  </si>
  <si>
    <t>A.1.6.5</t>
  </si>
  <si>
    <t>A.1.6.6</t>
  </si>
  <si>
    <t>A.1.6.7</t>
  </si>
  <si>
    <t>A.1.6.8</t>
  </si>
  <si>
    <t>A.1.6.9</t>
  </si>
  <si>
    <t>A.1.6.10</t>
  </si>
  <si>
    <t>A.1.6.11</t>
  </si>
  <si>
    <t>A.1.6.12</t>
  </si>
  <si>
    <t>A.1.6.13</t>
  </si>
  <si>
    <t>A.1.6.14</t>
  </si>
  <si>
    <t>A.1.6.15</t>
  </si>
  <si>
    <t>A.1.6.16</t>
  </si>
  <si>
    <t>A.1.6.17</t>
  </si>
  <si>
    <t>A.1.6.18</t>
  </si>
  <si>
    <t>A.1.6.19</t>
  </si>
  <si>
    <t>A.1.6.20</t>
  </si>
  <si>
    <t>A.1.6.21</t>
  </si>
  <si>
    <t>A.1.6.22</t>
  </si>
  <si>
    <t>A.1.6.23</t>
  </si>
  <si>
    <t>A.1.6.24</t>
  </si>
  <si>
    <t>A.1.6.25</t>
  </si>
  <si>
    <t>A.1.6.26</t>
  </si>
  <si>
    <t>A.1.6.27</t>
  </si>
  <si>
    <t>A.1.6.28</t>
  </si>
  <si>
    <t>A.1.6.29</t>
  </si>
  <si>
    <t>A.1.6.30</t>
  </si>
  <si>
    <t>A.1.6.31</t>
  </si>
  <si>
    <t>A.1.6.32</t>
  </si>
  <si>
    <t>A.1.6.33</t>
  </si>
  <si>
    <t>A.1.6.34</t>
  </si>
  <si>
    <t>A.1.6.35</t>
  </si>
  <si>
    <t>A.1.6.36</t>
  </si>
  <si>
    <t>A.1.7.1</t>
  </si>
  <si>
    <t>A.1.7.2</t>
  </si>
  <si>
    <t>A.1.7.3</t>
  </si>
  <si>
    <t>A.1.7.4</t>
  </si>
  <si>
    <t>A.1.7.5</t>
  </si>
  <si>
    <t>A.1.7.6</t>
  </si>
  <si>
    <t>A.1.7.7</t>
  </si>
  <si>
    <t>A.1.7.8</t>
  </si>
  <si>
    <t>A.1.7.9</t>
  </si>
  <si>
    <t>A.1.7.10</t>
  </si>
  <si>
    <t>A.1.7.11</t>
  </si>
  <si>
    <t>A.1.7.12</t>
  </si>
  <si>
    <t>A.1.7.13</t>
  </si>
  <si>
    <t>A.1.7.14</t>
  </si>
  <si>
    <t>A.1.7.15</t>
  </si>
  <si>
    <t>A.1.7.16</t>
  </si>
  <si>
    <t>A.1.7.17</t>
  </si>
  <si>
    <t>A.1.7.18</t>
  </si>
  <si>
    <t>A.1.7.19</t>
  </si>
  <si>
    <t>A.1.7.20</t>
  </si>
  <si>
    <t>A.1.7.21</t>
  </si>
  <si>
    <t>A.1.7.22</t>
  </si>
  <si>
    <t>A.1.7.23</t>
  </si>
  <si>
    <t>A.1.7.24</t>
  </si>
  <si>
    <t>A.1.8.1</t>
  </si>
  <si>
    <t>A.1.8.2</t>
  </si>
  <si>
    <t>A.1.8.3</t>
  </si>
  <si>
    <t>A.1.8.4</t>
  </si>
  <si>
    <t>A.1.8.5</t>
  </si>
  <si>
    <t>A.1.8.6</t>
  </si>
  <si>
    <t>A.1.8.7</t>
  </si>
  <si>
    <t>A.1.8.8</t>
  </si>
  <si>
    <t>A.1.8.9</t>
  </si>
  <si>
    <t>A.1.8.10</t>
  </si>
  <si>
    <t>A.1.8.11</t>
  </si>
  <si>
    <t>A.1.8.12</t>
  </si>
  <si>
    <t>A.1.8.13</t>
  </si>
  <si>
    <t>A.1.8.14</t>
  </si>
  <si>
    <t>A.1.8.15</t>
  </si>
  <si>
    <t>A.1.8.16</t>
  </si>
  <si>
    <t>A.1.8.17</t>
  </si>
  <si>
    <t>A.1.8.18</t>
  </si>
  <si>
    <t>A.1.8.19</t>
  </si>
  <si>
    <t>A.1.8.20</t>
  </si>
  <si>
    <t>A.1.8.21</t>
  </si>
  <si>
    <t>A.1.8.22</t>
  </si>
  <si>
    <t>A.1.8.23</t>
  </si>
  <si>
    <t>A.1.8.24</t>
  </si>
  <si>
    <t>A.1.8.25</t>
  </si>
  <si>
    <t>A.1.8.26</t>
  </si>
  <si>
    <t>A.1.8.27</t>
  </si>
  <si>
    <t>A.1.8.28</t>
  </si>
  <si>
    <t>A.1.8.29</t>
  </si>
  <si>
    <t>A.1.8.30</t>
  </si>
  <si>
    <t>A.1.9.1</t>
  </si>
  <si>
    <t>A.1.9.2</t>
  </si>
  <si>
    <t>A.1.9.3</t>
  </si>
  <si>
    <t>A.1.9.4</t>
  </si>
  <si>
    <t>A.1.9.5</t>
  </si>
  <si>
    <t>A.1.9.6</t>
  </si>
  <si>
    <t>A.1.9.7</t>
  </si>
  <si>
    <t>A.1.9.8</t>
  </si>
  <si>
    <t>A.1.9.9</t>
  </si>
  <si>
    <t>A.1.9.10</t>
  </si>
  <si>
    <t>A.1.9.11</t>
  </si>
  <si>
    <t>A.1.9.12</t>
  </si>
  <si>
    <t>A.1.9.13</t>
  </si>
  <si>
    <t>A.1.9.14</t>
  </si>
  <si>
    <t>A.1.9.15</t>
  </si>
  <si>
    <t>A.1.9.16</t>
  </si>
  <si>
    <t>A.1.9.17</t>
  </si>
  <si>
    <t>A.1.9.18</t>
  </si>
  <si>
    <t>A.1.9.19</t>
  </si>
  <si>
    <t>A.1.9.20</t>
  </si>
  <si>
    <t>A.1.9.21</t>
  </si>
  <si>
    <t>A.1.9.22</t>
  </si>
  <si>
    <t>A.1.9.23</t>
  </si>
  <si>
    <t>A.1.9.24</t>
  </si>
  <si>
    <t>A.1.9.25</t>
  </si>
  <si>
    <t>A.1.9.26</t>
  </si>
  <si>
    <t>A.1.9.27</t>
  </si>
  <si>
    <t>A.1.9.28</t>
  </si>
  <si>
    <t>A.1.9.29</t>
  </si>
  <si>
    <t>A.1.9.30</t>
  </si>
  <si>
    <t>A.1.9.31</t>
  </si>
  <si>
    <t>A.1.9.32</t>
  </si>
  <si>
    <t>A.1.9.33</t>
  </si>
  <si>
    <t>A.1.9.34</t>
  </si>
  <si>
    <t>A.1.9.35</t>
  </si>
  <si>
    <t>A.1.9.36</t>
  </si>
  <si>
    <t>A.1.9.37</t>
  </si>
  <si>
    <t>A.1.9.38</t>
  </si>
  <si>
    <t>A.1.9.39</t>
  </si>
  <si>
    <t>A.1.9.40</t>
  </si>
  <si>
    <t>A.1.9.41</t>
  </si>
  <si>
    <t>A.1.9.42</t>
  </si>
  <si>
    <t>A.1.9.43</t>
  </si>
  <si>
    <t>A.1.9.44</t>
  </si>
  <si>
    <t>A.1.9.45</t>
  </si>
  <si>
    <t>A.1.9.46</t>
  </si>
  <si>
    <t>A.1.9.47</t>
  </si>
  <si>
    <t>A.1.9.48</t>
  </si>
  <si>
    <t>A.1.9.49</t>
  </si>
  <si>
    <t>A.1.9.50</t>
  </si>
  <si>
    <t>A.1.9.51</t>
  </si>
  <si>
    <t>A.1.9.52</t>
  </si>
  <si>
    <t>A.1.9.53</t>
  </si>
  <si>
    <t>A.1.9.54</t>
  </si>
  <si>
    <t>A.1.9.55</t>
  </si>
  <si>
    <t>A.1.9.56</t>
  </si>
  <si>
    <t>A.1.9.57</t>
  </si>
  <si>
    <t>A.1.9.58</t>
  </si>
  <si>
    <t>A.1.9.59</t>
  </si>
  <si>
    <t>A.1.9.60</t>
  </si>
  <si>
    <t>A.1.9.61</t>
  </si>
  <si>
    <t>A.1.9.62</t>
  </si>
  <si>
    <t>A.1.9.63</t>
  </si>
  <si>
    <t>A.1.9.64</t>
  </si>
  <si>
    <t>A.1.9.65</t>
  </si>
  <si>
    <t>A.1.9.66</t>
  </si>
  <si>
    <t>A.1.9.67</t>
  </si>
  <si>
    <t>A.1.9.68</t>
  </si>
  <si>
    <t>A.1.9.69</t>
  </si>
  <si>
    <t>A.1.9.70</t>
  </si>
  <si>
    <t>A.1.9.71</t>
  </si>
  <si>
    <t>A.1.9.72</t>
  </si>
  <si>
    <t>A.1.9.73</t>
  </si>
  <si>
    <t>A.1.9.74</t>
  </si>
  <si>
    <t>A.1.9.75</t>
  </si>
  <si>
    <t>A.1.10</t>
  </si>
  <si>
    <t>A.1.10.1</t>
  </si>
  <si>
    <t>A.1.10.2</t>
  </si>
  <si>
    <t>A.1.10.3</t>
  </si>
  <si>
    <t>A.1.10.4</t>
  </si>
  <si>
    <t>A.1.10.5</t>
  </si>
  <si>
    <t>A.1.10.6</t>
  </si>
  <si>
    <t>A.1.3 PEKERJAAN TANAH</t>
  </si>
  <si>
    <t>A.1.2 PEKERJAAN BONGKARAN</t>
  </si>
  <si>
    <t>A.1.1 PEKERJAAN PERSIAPAN</t>
  </si>
  <si>
    <t>A.1.4 PEKERJAAN PONDASI</t>
  </si>
  <si>
    <t>A.1.5 PEKERJAAN DINDING PASANGAN</t>
  </si>
  <si>
    <t>A.1.6 PEKERJAAN BETON</t>
  </si>
  <si>
    <t>A.1.7 PEKERJAAN BETON PRACETAK</t>
  </si>
  <si>
    <t>A.1.8 PEKERJAAN PLESTERAN</t>
  </si>
  <si>
    <t>A.1.9 PEKERJAAN PENUTUP LANTAI &amp; PENUTUP DINIDNG</t>
  </si>
  <si>
    <t>A.1.10 PEKERJAAN CONBLOCK</t>
  </si>
  <si>
    <t>AHSP</t>
  </si>
  <si>
    <r>
      <t xml:space="preserve"> 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lapisan ijuk tebal 10 cm</t>
    </r>
  </si>
  <si>
    <r>
      <t>Pemasangan 1 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lantai ubin teralux  ukuran 40 cm x 40 cm</t>
    </r>
  </si>
  <si>
    <t>Pemasangan dinding bata merah 1 batu 1PC:3KP: 10PP</t>
  </si>
  <si>
    <t>CATATAN: Bobot isi pasir = 1.400 kg/m3,  Bobot isi kerikil = 1.350 kg/m3, Buckling factor pasir = 20 %</t>
  </si>
  <si>
    <t>Pemasangan lantai keramik ukuran (60 x 60) cm</t>
  </si>
  <si>
    <t>Memasang lantai keramik ukuran (60 x 60) cm</t>
  </si>
  <si>
    <t>ubin teralux</t>
  </si>
  <si>
    <t>tiap naik size selisih o.2</t>
  </si>
  <si>
    <t>HB-15 (Hollow Block tebal 15cm)</t>
  </si>
  <si>
    <t>HB-10 ( Hollow Block tebal 10cm)</t>
  </si>
  <si>
    <t>HB-20 (Hollow Block tebal 20cm)</t>
  </si>
  <si>
    <t>HB-10 (Hollow Block tebal 10 cm)</t>
  </si>
  <si>
    <t>HB-20 ( Hollow Block tebal 20cm)</t>
  </si>
  <si>
    <t>A.1.7 HARGA SATUAN PEKERJAAN BETON PRACETAK</t>
  </si>
  <si>
    <r>
      <t>Pemasangan 1m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dinding bata merah (5x11x22) cm tebal 1 batu campuran  1SP : 3PP</t>
    </r>
  </si>
  <si>
    <r>
      <t>Pemasangan 1 cm</t>
    </r>
    <r>
      <rPr>
        <b/>
        <vertAlign val="superscript"/>
        <sz val="10"/>
        <rFont val="Times New Roman"/>
        <family val="1"/>
      </rPr>
      <t xml:space="preserve">2  </t>
    </r>
    <r>
      <rPr>
        <b/>
        <sz val="10"/>
        <rFont val="Times New Roman"/>
        <family val="1"/>
      </rPr>
      <t>dinding terawang (</t>
    </r>
    <r>
      <rPr>
        <b/>
        <i/>
        <sz val="10"/>
        <rFont val="Times New Roman"/>
        <family val="1"/>
      </rPr>
      <t>rooster</t>
    </r>
    <r>
      <rPr>
        <b/>
        <sz val="10"/>
        <rFont val="Times New Roman"/>
        <family val="1"/>
      </rPr>
      <t>) 12x11x24  campuran 1SP :4PP</t>
    </r>
  </si>
  <si>
    <t xml:space="preserve"> </t>
  </si>
  <si>
    <t>KOEFISIEN HARGA SATUAN PEKERJAAN KOSTRUKSI DAN JASA LAINNYA</t>
  </si>
</sst>
</file>

<file path=xl/styles.xml><?xml version="1.0" encoding="utf-8"?>
<styleSheet xmlns="http://schemas.openxmlformats.org/spreadsheetml/2006/main">
  <numFmts count="7">
    <numFmt numFmtId="41" formatCode="_(* #,##0_);_(* \(#,##0\);_(* &quot;-&quot;_);_(@_)"/>
    <numFmt numFmtId="43" formatCode="_(* #,##0.00_);_(* \(#,##0.00\);_(* &quot;-&quot;??_);_(@_)"/>
    <numFmt numFmtId="164" formatCode="_(* #,##0.000_);_(* \(#,##0.000\);_(* &quot;-&quot;_);_(@_)"/>
    <numFmt numFmtId="165" formatCode="0.0000"/>
    <numFmt numFmtId="166" formatCode="0.000"/>
    <numFmt numFmtId="167" formatCode="_(* #,##0.0000_);_(* \(#,##0.0000\);_(* &quot;-&quot;_);_(@_)"/>
    <numFmt numFmtId="168" formatCode="0.0"/>
  </numFmts>
  <fonts count="52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u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2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Symbol"/>
      <family val="1"/>
      <charset val="2"/>
    </font>
    <font>
      <b/>
      <sz val="16"/>
      <color theme="1"/>
      <name val="Times New Roman"/>
      <family val="1"/>
    </font>
    <font>
      <vertAlign val="superscript"/>
      <sz val="10"/>
      <name val="Times New Roman"/>
      <family val="1"/>
    </font>
    <font>
      <sz val="10"/>
      <color rgb="FF000000"/>
      <name val="Times New Roman"/>
      <family val="1"/>
    </font>
    <font>
      <sz val="11"/>
      <name val="Bookman Old Style"/>
      <family val="1"/>
    </font>
    <font>
      <sz val="11"/>
      <name val="Bookman Old Style"/>
      <family val="1"/>
    </font>
    <font>
      <i/>
      <sz val="11"/>
      <name val="Bookman Old Style"/>
      <family val="1"/>
    </font>
    <font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rgb="FF000000"/>
      <name val="Times New Roman"/>
      <family val="1"/>
    </font>
    <font>
      <b/>
      <sz val="11"/>
      <name val="Bookman Old Style"/>
      <family val="1"/>
    </font>
    <font>
      <vertAlign val="superscript"/>
      <sz val="11"/>
      <name val="Bookman Old Style"/>
      <family val="1"/>
    </font>
    <font>
      <sz val="11"/>
      <name val="Times New Roman"/>
      <family val="1"/>
    </font>
    <font>
      <vertAlign val="superscript"/>
      <sz val="11"/>
      <name val="Times New Roman"/>
      <family val="1"/>
    </font>
    <font>
      <i/>
      <sz val="11"/>
      <name val="Times New Roman"/>
      <family val="1"/>
    </font>
    <font>
      <vertAlign val="superscript"/>
      <sz val="7"/>
      <name val="Bookman Old Style"/>
      <family val="1"/>
    </font>
    <font>
      <vertAlign val="subscript"/>
      <sz val="10"/>
      <name val="Times New Roman"/>
      <family val="1"/>
    </font>
    <font>
      <sz val="10"/>
      <color rgb="FFFF0000"/>
      <name val="Times New Roman"/>
      <family val="1"/>
    </font>
    <font>
      <sz val="10"/>
      <color rgb="FF000000"/>
      <name val="Times New Roman"/>
      <family val="1"/>
    </font>
    <font>
      <i/>
      <sz val="10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vertAlign val="superscript"/>
      <sz val="10"/>
      <name val="Times New Roman"/>
      <family val="1"/>
    </font>
    <font>
      <b/>
      <i/>
      <sz val="10"/>
      <name val="Times New Roman"/>
      <family val="1"/>
    </font>
    <font>
      <b/>
      <sz val="10"/>
      <color rgb="FF000000"/>
      <name val="Times New Roman"/>
      <family val="1"/>
    </font>
    <font>
      <i/>
      <vertAlign val="superscript"/>
      <sz val="10"/>
      <name val="Times New Roman"/>
      <family val="1"/>
    </font>
    <font>
      <b/>
      <vertAlign val="superscript"/>
      <sz val="12"/>
      <name val="Times New Roman"/>
      <family val="1"/>
    </font>
    <font>
      <b/>
      <sz val="14"/>
      <name val="Times New Roman"/>
      <family val="1"/>
    </font>
    <font>
      <b/>
      <vertAlign val="superscript"/>
      <sz val="14"/>
      <name val="Times New Roman"/>
      <family val="1"/>
    </font>
    <font>
      <b/>
      <sz val="10"/>
      <color rgb="FFFF0000"/>
      <name val="Times New Roman"/>
      <family val="1"/>
    </font>
    <font>
      <u/>
      <sz val="11"/>
      <color theme="10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charset val="1"/>
      <scheme val="minor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59999389629810485"/>
        <bgColor indexed="64"/>
      </patternFill>
    </fill>
  </fills>
  <borders count="113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auto="1"/>
      </bottom>
      <diagonal/>
    </border>
    <border>
      <left style="thin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thin">
        <color auto="1"/>
      </right>
      <top style="thin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9">
    <xf numFmtId="0" fontId="0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/>
    <xf numFmtId="0" fontId="18" fillId="0" borderId="0"/>
    <xf numFmtId="0" fontId="22" fillId="0" borderId="0"/>
    <xf numFmtId="0" fontId="34" fillId="0" borderId="0"/>
    <xf numFmtId="0" fontId="46" fillId="0" borderId="0" applyNumberFormat="0" applyFill="0" applyBorder="0" applyAlignment="0" applyProtection="0"/>
  </cellStyleXfs>
  <cellXfs count="1279">
    <xf numFmtId="0" fontId="0" fillId="0" borderId="0" xfId="0"/>
    <xf numFmtId="0" fontId="4" fillId="0" borderId="0" xfId="0" applyFont="1" applyAlignment="1">
      <alignment horizontal="left"/>
    </xf>
    <xf numFmtId="0" fontId="5" fillId="0" borderId="0" xfId="0" applyFont="1"/>
    <xf numFmtId="164" fontId="5" fillId="0" borderId="0" xfId="1" applyNumberFormat="1" applyFont="1" applyAlignment="1">
      <alignment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41" fontId="5" fillId="0" borderId="0" xfId="1" applyFont="1"/>
    <xf numFmtId="41" fontId="6" fillId="0" borderId="2" xfId="1" applyFont="1" applyBorder="1" applyAlignment="1">
      <alignment horizontal="center"/>
    </xf>
    <xf numFmtId="41" fontId="6" fillId="0" borderId="4" xfId="1" applyFont="1" applyBorder="1" applyAlignment="1">
      <alignment horizontal="center"/>
    </xf>
    <xf numFmtId="0" fontId="5" fillId="0" borderId="9" xfId="0" applyFont="1" applyBorder="1" applyAlignment="1">
      <alignment horizontal="right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41" fontId="6" fillId="0" borderId="19" xfId="1" applyFont="1" applyBorder="1" applyAlignment="1">
      <alignment horizontal="center"/>
    </xf>
    <xf numFmtId="41" fontId="6" fillId="0" borderId="20" xfId="1" applyFont="1" applyBorder="1" applyAlignment="1">
      <alignment horizontal="center"/>
    </xf>
    <xf numFmtId="0" fontId="5" fillId="0" borderId="25" xfId="0" applyFont="1" applyBorder="1" applyAlignment="1">
      <alignment horizontal="right"/>
    </xf>
    <xf numFmtId="0" fontId="5" fillId="0" borderId="10" xfId="0" applyFont="1" applyBorder="1" applyAlignment="1">
      <alignment horizontal="center"/>
    </xf>
    <xf numFmtId="0" fontId="5" fillId="0" borderId="9" xfId="0" applyFont="1" applyBorder="1"/>
    <xf numFmtId="164" fontId="5" fillId="0" borderId="9" xfId="1" applyNumberFormat="1" applyFont="1" applyBorder="1" applyAlignment="1">
      <alignment vertical="center"/>
    </xf>
    <xf numFmtId="0" fontId="5" fillId="0" borderId="9" xfId="0" applyFont="1" applyBorder="1" applyAlignment="1">
      <alignment horizontal="center"/>
    </xf>
    <xf numFmtId="41" fontId="5" fillId="0" borderId="9" xfId="1" applyFont="1" applyBorder="1" applyAlignment="1">
      <alignment vertical="center"/>
    </xf>
    <xf numFmtId="41" fontId="5" fillId="0" borderId="11" xfId="1" applyFont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165" fontId="5" fillId="0" borderId="9" xfId="0" applyNumberFormat="1" applyFont="1" applyBorder="1" applyAlignment="1">
      <alignment horizontal="left"/>
    </xf>
    <xf numFmtId="41" fontId="5" fillId="0" borderId="26" xfId="1" applyFont="1" applyBorder="1" applyAlignment="1">
      <alignment horizontal="left"/>
    </xf>
    <xf numFmtId="0" fontId="5" fillId="0" borderId="16" xfId="0" applyFont="1" applyBorder="1" applyAlignment="1">
      <alignment horizontal="center" vertical="center"/>
    </xf>
    <xf numFmtId="164" fontId="5" fillId="0" borderId="9" xfId="1" applyNumberFormat="1" applyFont="1" applyBorder="1" applyAlignment="1">
      <alignment horizontal="center" vertical="center"/>
    </xf>
    <xf numFmtId="165" fontId="5" fillId="0" borderId="9" xfId="0" applyNumberFormat="1" applyFont="1" applyBorder="1" applyAlignment="1">
      <alignment horizontal="center"/>
    </xf>
    <xf numFmtId="0" fontId="5" fillId="0" borderId="0" xfId="0" applyFont="1" applyBorder="1" applyAlignment="1">
      <alignment horizontal="right"/>
    </xf>
    <xf numFmtId="41" fontId="5" fillId="0" borderId="16" xfId="0" applyNumberFormat="1" applyFont="1" applyBorder="1" applyAlignment="1"/>
    <xf numFmtId="165" fontId="5" fillId="0" borderId="9" xfId="0" applyNumberFormat="1" applyFont="1" applyBorder="1" applyAlignment="1">
      <alignment horizontal="right" vertical="center"/>
    </xf>
    <xf numFmtId="165" fontId="5" fillId="0" borderId="9" xfId="0" applyNumberFormat="1" applyFont="1" applyBorder="1" applyAlignment="1">
      <alignment horizontal="center" vertical="center"/>
    </xf>
    <xf numFmtId="43" fontId="5" fillId="0" borderId="11" xfId="2" applyFont="1" applyBorder="1" applyAlignment="1">
      <alignment vertical="center"/>
    </xf>
    <xf numFmtId="43" fontId="5" fillId="0" borderId="34" xfId="2" applyFont="1" applyBorder="1" applyAlignment="1">
      <alignment vertical="center"/>
    </xf>
    <xf numFmtId="10" fontId="5" fillId="0" borderId="16" xfId="3" applyNumberFormat="1" applyFont="1" applyBorder="1" applyAlignment="1"/>
    <xf numFmtId="0" fontId="5" fillId="0" borderId="21" xfId="0" applyNumberFormat="1" applyFont="1" applyBorder="1" applyAlignment="1">
      <alignment horizontal="center" vertical="center"/>
    </xf>
    <xf numFmtId="0" fontId="5" fillId="0" borderId="17" xfId="0" applyNumberFormat="1" applyFont="1" applyBorder="1" applyAlignment="1">
      <alignment horizontal="center" vertical="center"/>
    </xf>
    <xf numFmtId="0" fontId="5" fillId="0" borderId="17" xfId="1" applyNumberFormat="1" applyFont="1" applyBorder="1" applyAlignment="1">
      <alignment horizontal="center" vertical="center"/>
    </xf>
    <xf numFmtId="0" fontId="5" fillId="0" borderId="22" xfId="1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5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left" vertical="center"/>
    </xf>
    <xf numFmtId="0" fontId="5" fillId="0" borderId="21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3" fontId="5" fillId="0" borderId="22" xfId="2" applyFont="1" applyBorder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0" xfId="0" applyFont="1" applyAlignment="1"/>
    <xf numFmtId="0" fontId="5" fillId="0" borderId="17" xfId="0" applyNumberFormat="1" applyFont="1" applyBorder="1" applyAlignment="1">
      <alignment vertical="center"/>
    </xf>
    <xf numFmtId="0" fontId="5" fillId="0" borderId="9" xfId="0" applyFont="1" applyBorder="1" applyAlignment="1"/>
    <xf numFmtId="165" fontId="5" fillId="0" borderId="9" xfId="0" applyNumberFormat="1" applyFont="1" applyBorder="1" applyAlignment="1"/>
    <xf numFmtId="165" fontId="5" fillId="0" borderId="9" xfId="0" applyNumberFormat="1" applyFont="1" applyBorder="1" applyAlignment="1">
      <alignment vertical="center"/>
    </xf>
    <xf numFmtId="0" fontId="5" fillId="0" borderId="0" xfId="0" applyFont="1" applyBorder="1" applyAlignment="1"/>
    <xf numFmtId="165" fontId="5" fillId="0" borderId="25" xfId="0" applyNumberFormat="1" applyFont="1" applyBorder="1" applyAlignment="1"/>
    <xf numFmtId="0" fontId="5" fillId="0" borderId="25" xfId="0" applyFont="1" applyBorder="1" applyAlignment="1">
      <alignment horizontal="center" vertical="center"/>
    </xf>
    <xf numFmtId="2" fontId="6" fillId="0" borderId="0" xfId="0" applyNumberFormat="1" applyFont="1" applyAlignment="1">
      <alignment horizontal="left"/>
    </xf>
    <xf numFmtId="0" fontId="5" fillId="0" borderId="10" xfId="0" applyFont="1" applyBorder="1" applyAlignment="1">
      <alignment horizontal="center" vertical="center"/>
    </xf>
    <xf numFmtId="0" fontId="14" fillId="0" borderId="9" xfId="1" applyNumberFormat="1" applyFont="1" applyFill="1" applyBorder="1" applyAlignment="1"/>
    <xf numFmtId="0" fontId="14" fillId="0" borderId="9" xfId="4" applyNumberFormat="1" applyFont="1" applyFill="1" applyBorder="1" applyAlignment="1"/>
    <xf numFmtId="0" fontId="14" fillId="0" borderId="9" xfId="4" applyFont="1" applyFill="1" applyBorder="1" applyAlignment="1">
      <alignment horizontal="center"/>
    </xf>
    <xf numFmtId="0" fontId="14" fillId="0" borderId="9" xfId="1" applyNumberFormat="1" applyFont="1" applyFill="1" applyBorder="1" applyAlignment="1">
      <alignment wrapText="1"/>
    </xf>
    <xf numFmtId="164" fontId="14" fillId="0" borderId="9" xfId="1" applyNumberFormat="1" applyFont="1" applyFill="1" applyBorder="1" applyAlignment="1">
      <alignment horizontal="center"/>
    </xf>
    <xf numFmtId="0" fontId="14" fillId="0" borderId="17" xfId="1" applyNumberFormat="1" applyFont="1" applyFill="1" applyBorder="1" applyAlignment="1"/>
    <xf numFmtId="164" fontId="14" fillId="0" borderId="17" xfId="1" applyNumberFormat="1" applyFont="1" applyFill="1" applyBorder="1" applyAlignment="1">
      <alignment horizontal="center"/>
    </xf>
    <xf numFmtId="167" fontId="14" fillId="0" borderId="9" xfId="2" applyNumberFormat="1" applyFont="1" applyFill="1" applyBorder="1" applyAlignment="1">
      <alignment horizontal="center" vertical="center"/>
    </xf>
    <xf numFmtId="0" fontId="14" fillId="0" borderId="9" xfId="4" applyNumberFormat="1" applyFont="1" applyFill="1" applyBorder="1" applyAlignment="1">
      <alignment vertical="center"/>
    </xf>
    <xf numFmtId="0" fontId="5" fillId="0" borderId="0" xfId="0" applyFont="1" applyBorder="1" applyAlignment="1">
      <alignment horizontal="center"/>
    </xf>
    <xf numFmtId="10" fontId="5" fillId="0" borderId="16" xfId="3" applyNumberFormat="1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/>
    </xf>
    <xf numFmtId="0" fontId="10" fillId="0" borderId="16" xfId="0" applyFont="1" applyBorder="1"/>
    <xf numFmtId="0" fontId="9" fillId="6" borderId="16" xfId="0" applyFont="1" applyFill="1" applyBorder="1"/>
    <xf numFmtId="0" fontId="9" fillId="0" borderId="17" xfId="0" applyFont="1" applyBorder="1" applyAlignment="1">
      <alignment horizontal="center" vertical="center"/>
    </xf>
    <xf numFmtId="0" fontId="9" fillId="6" borderId="17" xfId="0" applyFont="1" applyFill="1" applyBorder="1"/>
    <xf numFmtId="0" fontId="10" fillId="0" borderId="17" xfId="0" applyFont="1" applyBorder="1" applyAlignment="1">
      <alignment horizontal="center"/>
    </xf>
    <xf numFmtId="0" fontId="9" fillId="0" borderId="41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/>
    </xf>
    <xf numFmtId="0" fontId="9" fillId="0" borderId="16" xfId="0" applyFont="1" applyBorder="1"/>
    <xf numFmtId="2" fontId="10" fillId="0" borderId="16" xfId="0" applyNumberFormat="1" applyFont="1" applyBorder="1"/>
    <xf numFmtId="2" fontId="9" fillId="0" borderId="16" xfId="0" applyNumberFormat="1" applyFont="1" applyBorder="1"/>
    <xf numFmtId="2" fontId="9" fillId="0" borderId="16" xfId="0" applyNumberFormat="1" applyFont="1" applyBorder="1" applyAlignment="1">
      <alignment vertical="center" wrapText="1"/>
    </xf>
    <xf numFmtId="0" fontId="9" fillId="6" borderId="16" xfId="0" applyFont="1" applyFill="1" applyBorder="1" applyAlignment="1">
      <alignment horizontal="center" vertical="center"/>
    </xf>
    <xf numFmtId="0" fontId="9" fillId="0" borderId="43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/>
    </xf>
    <xf numFmtId="0" fontId="10" fillId="6" borderId="16" xfId="0" applyFont="1" applyFill="1" applyBorder="1"/>
    <xf numFmtId="0" fontId="10" fillId="6" borderId="17" xfId="0" applyFont="1" applyFill="1" applyBorder="1"/>
    <xf numFmtId="167" fontId="14" fillId="0" borderId="9" xfId="2" applyNumberFormat="1" applyFont="1" applyFill="1" applyBorder="1" applyAlignment="1"/>
    <xf numFmtId="167" fontId="14" fillId="0" borderId="9" xfId="2" applyNumberFormat="1" applyFont="1" applyFill="1" applyBorder="1" applyAlignment="1">
      <alignment wrapText="1"/>
    </xf>
    <xf numFmtId="167" fontId="14" fillId="0" borderId="17" xfId="2" applyNumberFormat="1" applyFont="1" applyFill="1" applyBorder="1" applyAlignment="1">
      <alignment wrapText="1"/>
    </xf>
    <xf numFmtId="167" fontId="14" fillId="0" borderId="17" xfId="2" applyNumberFormat="1" applyFont="1" applyFill="1" applyBorder="1" applyAlignment="1"/>
    <xf numFmtId="167" fontId="14" fillId="0" borderId="17" xfId="2" applyNumberFormat="1" applyFont="1" applyFill="1" applyBorder="1" applyAlignment="1">
      <alignment horizontal="center" vertical="center" wrapText="1"/>
    </xf>
    <xf numFmtId="167" fontId="14" fillId="0" borderId="9" xfId="2" applyNumberFormat="1" applyFont="1" applyFill="1" applyBorder="1" applyAlignment="1">
      <alignment vertical="center"/>
    </xf>
    <xf numFmtId="167" fontId="14" fillId="0" borderId="9" xfId="2" applyNumberFormat="1" applyFont="1" applyFill="1" applyBorder="1" applyAlignment="1">
      <alignment horizontal="right" vertical="center"/>
    </xf>
    <xf numFmtId="164" fontId="14" fillId="0" borderId="9" xfId="1" applyNumberFormat="1" applyFont="1" applyFill="1" applyBorder="1" applyAlignment="1">
      <alignment horizontal="center" vertical="center"/>
    </xf>
    <xf numFmtId="0" fontId="15" fillId="0" borderId="27" xfId="0" applyFont="1" applyBorder="1" applyAlignment="1">
      <alignment horizontal="center"/>
    </xf>
    <xf numFmtId="0" fontId="10" fillId="0" borderId="30" xfId="0" applyFont="1" applyBorder="1"/>
    <xf numFmtId="0" fontId="9" fillId="0" borderId="44" xfId="0" applyFont="1" applyBorder="1" applyAlignment="1">
      <alignment horizontal="center" vertical="center" wrapText="1"/>
    </xf>
    <xf numFmtId="0" fontId="10" fillId="0" borderId="16" xfId="0" applyFont="1" applyFill="1" applyBorder="1" applyAlignment="1">
      <alignment horizontal="center"/>
    </xf>
    <xf numFmtId="0" fontId="10" fillId="0" borderId="0" xfId="0" applyFont="1" applyBorder="1"/>
    <xf numFmtId="0" fontId="9" fillId="0" borderId="16" xfId="0" applyFont="1" applyBorder="1" applyAlignment="1">
      <alignment horizontal="center" vertical="center"/>
    </xf>
    <xf numFmtId="0" fontId="10" fillId="0" borderId="16" xfId="0" applyFont="1" applyBorder="1" applyAlignment="1">
      <alignment horizontal="left" vertical="top"/>
    </xf>
    <xf numFmtId="0" fontId="24" fillId="0" borderId="16" xfId="0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top"/>
    </xf>
    <xf numFmtId="0" fontId="20" fillId="0" borderId="0" xfId="0" applyFont="1" applyFill="1" applyBorder="1" applyAlignment="1">
      <alignment horizontal="left" vertical="top" wrapText="1"/>
    </xf>
    <xf numFmtId="0" fontId="9" fillId="4" borderId="16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 wrapText="1"/>
    </xf>
    <xf numFmtId="0" fontId="9" fillId="0" borderId="16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0" fillId="0" borderId="0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9" fillId="7" borderId="16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top" wrapText="1"/>
    </xf>
    <xf numFmtId="0" fontId="9" fillId="0" borderId="30" xfId="0" applyFont="1" applyBorder="1" applyAlignment="1">
      <alignment horizontal="center" vertical="center"/>
    </xf>
    <xf numFmtId="0" fontId="9" fillId="6" borderId="30" xfId="0" applyFont="1" applyFill="1" applyBorder="1" applyAlignment="1">
      <alignment horizontal="left"/>
    </xf>
    <xf numFmtId="0" fontId="10" fillId="7" borderId="30" xfId="0" applyFont="1" applyFill="1" applyBorder="1" applyAlignment="1">
      <alignment horizontal="left"/>
    </xf>
    <xf numFmtId="0" fontId="9" fillId="0" borderId="30" xfId="0" applyFont="1" applyBorder="1" applyAlignment="1">
      <alignment horizontal="left"/>
    </xf>
    <xf numFmtId="2" fontId="9" fillId="0" borderId="30" xfId="0" applyNumberFormat="1" applyFont="1" applyBorder="1" applyAlignment="1">
      <alignment horizontal="left" vertical="center"/>
    </xf>
    <xf numFmtId="2" fontId="9" fillId="0" borderId="27" xfId="0" applyNumberFormat="1" applyFont="1" applyBorder="1" applyAlignment="1">
      <alignment horizontal="left"/>
    </xf>
    <xf numFmtId="2" fontId="9" fillId="0" borderId="30" xfId="0" applyNumberFormat="1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/>
    </xf>
    <xf numFmtId="0" fontId="10" fillId="0" borderId="27" xfId="0" applyFont="1" applyBorder="1" applyAlignment="1">
      <alignment horizontal="left" vertical="top"/>
    </xf>
    <xf numFmtId="0" fontId="24" fillId="0" borderId="16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31" xfId="0" applyFont="1" applyBorder="1" applyAlignment="1">
      <alignment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46" xfId="0" applyFont="1" applyBorder="1" applyAlignment="1">
      <alignment vertical="center" wrapText="1"/>
    </xf>
    <xf numFmtId="0" fontId="10" fillId="6" borderId="16" xfId="0" applyFont="1" applyFill="1" applyBorder="1" applyAlignment="1">
      <alignment horizontal="left" vertical="center" wrapText="1"/>
    </xf>
    <xf numFmtId="0" fontId="28" fillId="0" borderId="16" xfId="5" applyFont="1" applyFill="1" applyBorder="1" applyAlignment="1">
      <alignment horizontal="left" vertical="center" wrapText="1"/>
    </xf>
    <xf numFmtId="0" fontId="10" fillId="6" borderId="16" xfId="0" applyFont="1" applyFill="1" applyBorder="1" applyAlignment="1">
      <alignment horizontal="center" vertical="center" wrapText="1"/>
    </xf>
    <xf numFmtId="0" fontId="10" fillId="0" borderId="16" xfId="0" applyFont="1" applyFill="1" applyBorder="1" applyAlignment="1">
      <alignment horizontal="left" vertical="center" wrapText="1"/>
    </xf>
    <xf numFmtId="0" fontId="10" fillId="0" borderId="16" xfId="0" applyFont="1" applyBorder="1" applyAlignment="1">
      <alignment vertical="center" wrapText="1"/>
    </xf>
    <xf numFmtId="0" fontId="25" fillId="0" borderId="16" xfId="5" applyFont="1" applyBorder="1" applyAlignment="1">
      <alignment horizontal="left" vertical="center"/>
    </xf>
    <xf numFmtId="0" fontId="20" fillId="0" borderId="16" xfId="5" applyFont="1" applyFill="1" applyBorder="1" applyAlignment="1">
      <alignment horizontal="left" vertical="center" wrapText="1"/>
    </xf>
    <xf numFmtId="0" fontId="20" fillId="0" borderId="16" xfId="0" applyFont="1" applyFill="1" applyBorder="1" applyAlignment="1">
      <alignment horizontal="left" vertical="center" wrapText="1"/>
    </xf>
    <xf numFmtId="0" fontId="10" fillId="0" borderId="16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16" xfId="0" applyFont="1" applyBorder="1" applyAlignment="1">
      <alignment horizontal="left" vertical="center" wrapText="1"/>
    </xf>
    <xf numFmtId="0" fontId="20" fillId="0" borderId="16" xfId="6" applyFont="1" applyFill="1" applyBorder="1" applyAlignment="1">
      <alignment horizontal="left" vertical="center" wrapText="1"/>
    </xf>
    <xf numFmtId="0" fontId="19" fillId="0" borderId="16" xfId="6" applyFont="1" applyFill="1" applyBorder="1" applyAlignment="1">
      <alignment horizontal="left" vertical="center" wrapText="1"/>
    </xf>
    <xf numFmtId="0" fontId="10" fillId="0" borderId="47" xfId="0" applyFont="1" applyBorder="1" applyAlignment="1">
      <alignment horizontal="center" vertical="center"/>
    </xf>
    <xf numFmtId="0" fontId="28" fillId="0" borderId="16" xfId="0" applyFont="1" applyFill="1" applyBorder="1" applyAlignment="1">
      <alignment horizontal="left" vertical="center" wrapText="1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/>
    </xf>
    <xf numFmtId="0" fontId="10" fillId="0" borderId="31" xfId="0" applyFont="1" applyFill="1" applyBorder="1" applyAlignment="1">
      <alignment horizontal="center" vertical="center"/>
    </xf>
    <xf numFmtId="0" fontId="9" fillId="8" borderId="16" xfId="0" applyFont="1" applyFill="1" applyBorder="1" applyAlignment="1">
      <alignment horizontal="center" vertical="center"/>
    </xf>
    <xf numFmtId="0" fontId="9" fillId="8" borderId="30" xfId="0" applyFont="1" applyFill="1" applyBorder="1" applyAlignment="1">
      <alignment horizontal="center" vertical="center"/>
    </xf>
    <xf numFmtId="0" fontId="10" fillId="8" borderId="0" xfId="0" applyFont="1" applyFill="1" applyBorder="1"/>
    <xf numFmtId="0" fontId="10" fillId="8" borderId="0" xfId="0" applyFont="1" applyFill="1"/>
    <xf numFmtId="0" fontId="9" fillId="8" borderId="17" xfId="0" applyFont="1" applyFill="1" applyBorder="1" applyAlignment="1">
      <alignment horizontal="left" vertical="center"/>
    </xf>
    <xf numFmtId="0" fontId="10" fillId="8" borderId="0" xfId="0" applyFont="1" applyFill="1" applyBorder="1" applyAlignment="1">
      <alignment horizontal="left"/>
    </xf>
    <xf numFmtId="0" fontId="10" fillId="8" borderId="0" xfId="0" applyFont="1" applyFill="1" applyAlignment="1">
      <alignment horizontal="left"/>
    </xf>
    <xf numFmtId="0" fontId="9" fillId="8" borderId="16" xfId="0" applyFont="1" applyFill="1" applyBorder="1" applyAlignment="1">
      <alignment horizontal="left" vertical="center"/>
    </xf>
    <xf numFmtId="0" fontId="10" fillId="8" borderId="30" xfId="0" applyFont="1" applyFill="1" applyBorder="1" applyAlignment="1">
      <alignment horizontal="left"/>
    </xf>
    <xf numFmtId="0" fontId="2" fillId="0" borderId="16" xfId="0" applyFont="1" applyBorder="1" applyAlignment="1">
      <alignment vertical="center"/>
    </xf>
    <xf numFmtId="0" fontId="10" fillId="0" borderId="16" xfId="0" applyFont="1" applyBorder="1" applyAlignment="1">
      <alignment horizontal="left"/>
    </xf>
    <xf numFmtId="0" fontId="10" fillId="0" borderId="16" xfId="0" applyFont="1" applyFill="1" applyBorder="1" applyAlignment="1">
      <alignment horizontal="center" vertical="center" wrapText="1"/>
    </xf>
    <xf numFmtId="0" fontId="10" fillId="0" borderId="16" xfId="0" applyFont="1" applyFill="1" applyBorder="1" applyAlignment="1">
      <alignment horizontal="left" vertical="center"/>
    </xf>
    <xf numFmtId="0" fontId="1" fillId="0" borderId="16" xfId="0" applyFont="1" applyFill="1" applyBorder="1" applyAlignment="1">
      <alignment vertical="center"/>
    </xf>
    <xf numFmtId="0" fontId="28" fillId="0" borderId="30" xfId="0" applyFont="1" applyFill="1" applyBorder="1" applyAlignment="1">
      <alignment horizontal="left" vertical="center" wrapText="1"/>
    </xf>
    <xf numFmtId="0" fontId="10" fillId="0" borderId="35" xfId="0" applyFont="1" applyBorder="1" applyAlignment="1">
      <alignment horizontal="center" vertical="center"/>
    </xf>
    <xf numFmtId="0" fontId="10" fillId="0" borderId="16" xfId="0" applyFont="1" applyBorder="1" applyAlignment="1">
      <alignment horizontal="left" vertical="center" wrapText="1"/>
    </xf>
    <xf numFmtId="0" fontId="14" fillId="0" borderId="17" xfId="0" applyFont="1" applyFill="1" applyBorder="1" applyAlignment="1">
      <alignment horizontal="left" vertical="top" wrapText="1"/>
    </xf>
    <xf numFmtId="0" fontId="18" fillId="0" borderId="17" xfId="0" applyFont="1" applyFill="1" applyBorder="1" applyAlignment="1">
      <alignment horizontal="center" vertical="top" wrapText="1"/>
    </xf>
    <xf numFmtId="0" fontId="18" fillId="0" borderId="0" xfId="7" applyFont="1" applyFill="1" applyBorder="1" applyAlignment="1">
      <alignment horizontal="left" vertical="top"/>
    </xf>
    <xf numFmtId="0" fontId="18" fillId="0" borderId="0" xfId="7" applyFont="1" applyFill="1" applyBorder="1" applyAlignment="1">
      <alignment horizontal="center" vertical="top"/>
    </xf>
    <xf numFmtId="0" fontId="36" fillId="9" borderId="0" xfId="7" applyFont="1" applyFill="1" applyBorder="1" applyAlignment="1">
      <alignment horizontal="left" vertical="top"/>
    </xf>
    <xf numFmtId="0" fontId="14" fillId="0" borderId="47" xfId="7" applyFont="1" applyFill="1" applyBorder="1" applyAlignment="1">
      <alignment horizontal="center" vertical="top" wrapText="1"/>
    </xf>
    <xf numFmtId="0" fontId="14" fillId="0" borderId="25" xfId="7" applyFont="1" applyFill="1" applyBorder="1" applyAlignment="1">
      <alignment horizontal="left" vertical="top" wrapText="1"/>
    </xf>
    <xf numFmtId="0" fontId="18" fillId="0" borderId="25" xfId="7" applyFont="1" applyFill="1" applyBorder="1" applyAlignment="1">
      <alignment horizontal="left" vertical="top" wrapText="1"/>
    </xf>
    <xf numFmtId="0" fontId="18" fillId="0" borderId="48" xfId="7" applyFont="1" applyFill="1" applyBorder="1" applyAlignment="1">
      <alignment horizontal="left" vertical="top" wrapText="1"/>
    </xf>
    <xf numFmtId="0" fontId="18" fillId="0" borderId="10" xfId="7" applyFont="1" applyFill="1" applyBorder="1" applyAlignment="1">
      <alignment horizontal="center" vertical="top" wrapText="1"/>
    </xf>
    <xf numFmtId="0" fontId="14" fillId="0" borderId="9" xfId="7" applyFont="1" applyFill="1" applyBorder="1" applyAlignment="1">
      <alignment horizontal="left" vertical="top" wrapText="1"/>
    </xf>
    <xf numFmtId="0" fontId="14" fillId="0" borderId="9" xfId="7" applyFont="1" applyFill="1" applyBorder="1" applyAlignment="1">
      <alignment horizontal="center" vertical="top" wrapText="1"/>
    </xf>
    <xf numFmtId="166" fontId="18" fillId="0" borderId="9" xfId="7" applyNumberFormat="1" applyFont="1" applyFill="1" applyBorder="1" applyAlignment="1">
      <alignment horizontal="center" vertical="top" wrapText="1"/>
    </xf>
    <xf numFmtId="0" fontId="18" fillId="0" borderId="9" xfId="7" applyFont="1" applyFill="1" applyBorder="1" applyAlignment="1">
      <alignment horizontal="left" vertical="top" wrapText="1"/>
    </xf>
    <xf numFmtId="0" fontId="18" fillId="0" borderId="11" xfId="7" applyFont="1" applyFill="1" applyBorder="1" applyAlignment="1">
      <alignment horizontal="left" vertical="top" wrapText="1"/>
    </xf>
    <xf numFmtId="0" fontId="18" fillId="0" borderId="21" xfId="7" applyFont="1" applyFill="1" applyBorder="1" applyAlignment="1">
      <alignment horizontal="center" vertical="top" wrapText="1"/>
    </xf>
    <xf numFmtId="0" fontId="14" fillId="0" borderId="17" xfId="7" applyFont="1" applyFill="1" applyBorder="1" applyAlignment="1">
      <alignment horizontal="left" vertical="top" wrapText="1"/>
    </xf>
    <xf numFmtId="0" fontId="14" fillId="0" borderId="17" xfId="7" applyFont="1" applyFill="1" applyBorder="1" applyAlignment="1">
      <alignment horizontal="center" vertical="top" wrapText="1"/>
    </xf>
    <xf numFmtId="166" fontId="18" fillId="0" borderId="17" xfId="7" applyNumberFormat="1" applyFont="1" applyFill="1" applyBorder="1" applyAlignment="1">
      <alignment horizontal="center" vertical="top" wrapText="1"/>
    </xf>
    <xf numFmtId="0" fontId="18" fillId="0" borderId="17" xfId="7" applyFont="1" applyFill="1" applyBorder="1" applyAlignment="1">
      <alignment horizontal="left" vertical="top" wrapText="1"/>
    </xf>
    <xf numFmtId="0" fontId="18" fillId="0" borderId="22" xfId="7" applyFont="1" applyFill="1" applyBorder="1" applyAlignment="1">
      <alignment horizontal="left" vertical="top" wrapText="1"/>
    </xf>
    <xf numFmtId="0" fontId="18" fillId="0" borderId="38" xfId="7" applyFont="1" applyFill="1" applyBorder="1" applyAlignment="1">
      <alignment horizontal="center" vertical="top" wrapText="1"/>
    </xf>
    <xf numFmtId="0" fontId="18" fillId="0" borderId="34" xfId="7" applyFont="1" applyFill="1" applyBorder="1" applyAlignment="1">
      <alignment horizontal="left" vertical="top" wrapText="1"/>
    </xf>
    <xf numFmtId="0" fontId="14" fillId="0" borderId="25" xfId="7" applyFont="1" applyFill="1" applyBorder="1" applyAlignment="1">
      <alignment horizontal="left" vertical="top" wrapText="1" indent="2"/>
    </xf>
    <xf numFmtId="0" fontId="18" fillId="0" borderId="76" xfId="7" applyFont="1" applyFill="1" applyBorder="1" applyAlignment="1">
      <alignment horizontal="left" vertical="top" wrapText="1"/>
    </xf>
    <xf numFmtId="0" fontId="18" fillId="0" borderId="32" xfId="7" applyFont="1" applyFill="1" applyBorder="1" applyAlignment="1">
      <alignment horizontal="left" vertical="top" wrapText="1"/>
    </xf>
    <xf numFmtId="0" fontId="18" fillId="0" borderId="31" xfId="7" applyFont="1" applyFill="1" applyBorder="1" applyAlignment="1">
      <alignment horizontal="left" vertical="top" wrapText="1"/>
    </xf>
    <xf numFmtId="0" fontId="14" fillId="0" borderId="52" xfId="7" applyFont="1" applyFill="1" applyBorder="1" applyAlignment="1">
      <alignment horizontal="center" vertical="top" wrapText="1"/>
    </xf>
    <xf numFmtId="0" fontId="18" fillId="0" borderId="51" xfId="7" applyFont="1" applyFill="1" applyBorder="1" applyAlignment="1">
      <alignment horizontal="left" vertical="top" wrapText="1"/>
    </xf>
    <xf numFmtId="0" fontId="14" fillId="0" borderId="56" xfId="7" applyFont="1" applyFill="1" applyBorder="1" applyAlignment="1">
      <alignment horizontal="center" vertical="top" wrapText="1"/>
    </xf>
    <xf numFmtId="0" fontId="18" fillId="0" borderId="55" xfId="7" applyFont="1" applyFill="1" applyBorder="1" applyAlignment="1">
      <alignment horizontal="left" vertical="top" wrapText="1"/>
    </xf>
    <xf numFmtId="0" fontId="14" fillId="0" borderId="60" xfId="7" applyFont="1" applyFill="1" applyBorder="1" applyAlignment="1">
      <alignment horizontal="center" vertical="top" wrapText="1"/>
    </xf>
    <xf numFmtId="0" fontId="18" fillId="0" borderId="64" xfId="7" applyFont="1" applyFill="1" applyBorder="1" applyAlignment="1">
      <alignment horizontal="left" vertical="top" wrapText="1"/>
    </xf>
    <xf numFmtId="0" fontId="14" fillId="0" borderId="25" xfId="7" applyFont="1" applyFill="1" applyBorder="1" applyAlignment="1">
      <alignment horizontal="center" vertical="top" wrapText="1"/>
    </xf>
    <xf numFmtId="0" fontId="18" fillId="0" borderId="9" xfId="7" applyFont="1" applyFill="1" applyBorder="1" applyAlignment="1">
      <alignment horizontal="center" vertical="top" wrapText="1"/>
    </xf>
    <xf numFmtId="0" fontId="14" fillId="0" borderId="9" xfId="7" applyFont="1" applyFill="1" applyBorder="1" applyAlignment="1">
      <alignment horizontal="left" vertical="top" wrapText="1" indent="2"/>
    </xf>
    <xf numFmtId="0" fontId="14" fillId="0" borderId="9" xfId="7" applyFont="1" applyFill="1" applyBorder="1" applyAlignment="1">
      <alignment horizontal="left" vertical="top" wrapText="1" indent="1"/>
    </xf>
    <xf numFmtId="0" fontId="18" fillId="0" borderId="17" xfId="7" applyFont="1" applyFill="1" applyBorder="1" applyAlignment="1">
      <alignment horizontal="center" vertical="top" wrapText="1"/>
    </xf>
    <xf numFmtId="0" fontId="14" fillId="0" borderId="17" xfId="7" applyFont="1" applyFill="1" applyBorder="1" applyAlignment="1">
      <alignment horizontal="left" vertical="top" wrapText="1" indent="2"/>
    </xf>
    <xf numFmtId="0" fontId="14" fillId="0" borderId="17" xfId="7" applyFont="1" applyFill="1" applyBorder="1" applyAlignment="1">
      <alignment horizontal="left" vertical="top" wrapText="1" indent="1"/>
    </xf>
    <xf numFmtId="0" fontId="18" fillId="0" borderId="0" xfId="7" applyFont="1" applyFill="1" applyBorder="1" applyAlignment="1">
      <alignment horizontal="center" vertical="top" wrapText="1"/>
    </xf>
    <xf numFmtId="0" fontId="18" fillId="0" borderId="16" xfId="7" applyFont="1" applyFill="1" applyBorder="1" applyAlignment="1">
      <alignment horizontal="left" vertical="top" wrapText="1"/>
    </xf>
    <xf numFmtId="0" fontId="14" fillId="0" borderId="54" xfId="7" applyFont="1" applyFill="1" applyBorder="1" applyAlignment="1">
      <alignment horizontal="left" vertical="top" wrapText="1"/>
    </xf>
    <xf numFmtId="0" fontId="18" fillId="0" borderId="54" xfId="7" applyFont="1" applyFill="1" applyBorder="1" applyAlignment="1">
      <alignment horizontal="left" vertical="top" wrapText="1"/>
    </xf>
    <xf numFmtId="0" fontId="36" fillId="0" borderId="0" xfId="7" applyFont="1" applyFill="1" applyBorder="1" applyAlignment="1">
      <alignment horizontal="center" vertical="top"/>
    </xf>
    <xf numFmtId="0" fontId="14" fillId="0" borderId="16" xfId="7" applyFont="1" applyFill="1" applyBorder="1" applyAlignment="1">
      <alignment horizontal="left" vertical="top" wrapText="1" indent="2"/>
    </xf>
    <xf numFmtId="0" fontId="14" fillId="0" borderId="0" xfId="7" applyFont="1" applyFill="1" applyBorder="1" applyAlignment="1">
      <alignment horizontal="center" vertical="top" wrapText="1"/>
    </xf>
    <xf numFmtId="0" fontId="14" fillId="0" borderId="39" xfId="7" applyFont="1" applyFill="1" applyBorder="1" applyAlignment="1">
      <alignment horizontal="center" vertical="top" wrapText="1"/>
    </xf>
    <xf numFmtId="0" fontId="14" fillId="0" borderId="27" xfId="7" applyFont="1" applyFill="1" applyBorder="1" applyAlignment="1">
      <alignment horizontal="center" vertical="top" wrapText="1"/>
    </xf>
    <xf numFmtId="166" fontId="18" fillId="0" borderId="25" xfId="7" applyNumberFormat="1" applyFont="1" applyFill="1" applyBorder="1" applyAlignment="1">
      <alignment horizontal="center" vertical="top" wrapText="1"/>
    </xf>
    <xf numFmtId="0" fontId="14" fillId="0" borderId="17" xfId="7" applyFont="1" applyFill="1" applyBorder="1" applyAlignment="1">
      <alignment vertical="top"/>
    </xf>
    <xf numFmtId="0" fontId="36" fillId="0" borderId="0" xfId="7" applyFont="1" applyFill="1" applyBorder="1" applyAlignment="1">
      <alignment horizontal="left" vertical="top"/>
    </xf>
    <xf numFmtId="0" fontId="36" fillId="0" borderId="16" xfId="7" applyFont="1" applyFill="1" applyBorder="1" applyAlignment="1">
      <alignment horizontal="center" vertical="top" wrapText="1"/>
    </xf>
    <xf numFmtId="0" fontId="36" fillId="0" borderId="0" xfId="7" applyFont="1" applyFill="1" applyBorder="1" applyAlignment="1">
      <alignment vertical="top" wrapText="1"/>
    </xf>
    <xf numFmtId="1" fontId="18" fillId="0" borderId="16" xfId="7" applyNumberFormat="1" applyFont="1" applyFill="1" applyBorder="1" applyAlignment="1">
      <alignment horizontal="center" vertical="top" wrapText="1"/>
    </xf>
    <xf numFmtId="166" fontId="18" fillId="0" borderId="16" xfId="7" applyNumberFormat="1" applyFont="1" applyFill="1" applyBorder="1" applyAlignment="1">
      <alignment horizontal="center" vertical="top" wrapText="1"/>
    </xf>
    <xf numFmtId="1" fontId="18" fillId="0" borderId="0" xfId="7" applyNumberFormat="1" applyFont="1" applyFill="1" applyBorder="1" applyAlignment="1">
      <alignment vertical="top" wrapText="1"/>
    </xf>
    <xf numFmtId="166" fontId="18" fillId="0" borderId="0" xfId="7" applyNumberFormat="1" applyFont="1" applyFill="1" applyBorder="1" applyAlignment="1">
      <alignment vertical="top" wrapText="1"/>
    </xf>
    <xf numFmtId="0" fontId="18" fillId="0" borderId="9" xfId="7" applyFont="1" applyFill="1" applyBorder="1" applyAlignment="1">
      <alignment horizontal="left" vertical="top" wrapText="1" indent="1"/>
    </xf>
    <xf numFmtId="0" fontId="36" fillId="0" borderId="57" xfId="7" applyFont="1" applyFill="1" applyBorder="1" applyAlignment="1">
      <alignment horizontal="center" vertical="top" wrapText="1"/>
    </xf>
    <xf numFmtId="1" fontId="18" fillId="0" borderId="57" xfId="7" applyNumberFormat="1" applyFont="1" applyFill="1" applyBorder="1" applyAlignment="1">
      <alignment horizontal="center" vertical="top" wrapText="1"/>
    </xf>
    <xf numFmtId="0" fontId="14" fillId="0" borderId="25" xfId="7" applyFont="1" applyFill="1" applyBorder="1" applyAlignment="1">
      <alignment vertical="top" wrapText="1"/>
    </xf>
    <xf numFmtId="0" fontId="14" fillId="0" borderId="17" xfId="7" applyFont="1" applyFill="1" applyBorder="1" applyAlignment="1">
      <alignment vertical="top" wrapText="1"/>
    </xf>
    <xf numFmtId="0" fontId="36" fillId="0" borderId="94" xfId="7" applyFont="1" applyFill="1" applyBorder="1" applyAlignment="1">
      <alignment horizontal="center" vertical="top" wrapText="1"/>
    </xf>
    <xf numFmtId="1" fontId="18" fillId="0" borderId="96" xfId="7" applyNumberFormat="1" applyFont="1" applyFill="1" applyBorder="1" applyAlignment="1">
      <alignment horizontal="center" vertical="top" wrapText="1"/>
    </xf>
    <xf numFmtId="1" fontId="18" fillId="0" borderId="98" xfId="7" applyNumberFormat="1" applyFont="1" applyFill="1" applyBorder="1" applyAlignment="1">
      <alignment horizontal="center" vertical="top" wrapText="1"/>
    </xf>
    <xf numFmtId="0" fontId="14" fillId="0" borderId="9" xfId="7" applyFont="1" applyFill="1" applyBorder="1" applyAlignment="1">
      <alignment vertical="top" wrapText="1"/>
    </xf>
    <xf numFmtId="0" fontId="18" fillId="0" borderId="25" xfId="7" applyFont="1" applyFill="1" applyBorder="1" applyAlignment="1">
      <alignment vertical="top" wrapText="1"/>
    </xf>
    <xf numFmtId="0" fontId="18" fillId="0" borderId="9" xfId="7" applyFont="1" applyFill="1" applyBorder="1" applyAlignment="1">
      <alignment vertical="top" wrapText="1"/>
    </xf>
    <xf numFmtId="0" fontId="14" fillId="0" borderId="26" xfId="7" applyFont="1" applyFill="1" applyBorder="1" applyAlignment="1">
      <alignment vertical="top" wrapText="1"/>
    </xf>
    <xf numFmtId="0" fontId="18" fillId="0" borderId="17" xfId="7" applyFont="1" applyFill="1" applyBorder="1" applyAlignment="1">
      <alignment vertical="top" wrapText="1"/>
    </xf>
    <xf numFmtId="0" fontId="14" fillId="0" borderId="29" xfId="7" applyFont="1" applyFill="1" applyBorder="1" applyAlignment="1">
      <alignment vertical="top" wrapText="1"/>
    </xf>
    <xf numFmtId="0" fontId="14" fillId="0" borderId="30" xfId="7" applyFont="1" applyFill="1" applyBorder="1" applyAlignment="1">
      <alignment vertical="top" wrapText="1"/>
    </xf>
    <xf numFmtId="0" fontId="14" fillId="0" borderId="32" xfId="7" applyFont="1" applyFill="1" applyBorder="1" applyAlignment="1">
      <alignment vertical="top" wrapText="1"/>
    </xf>
    <xf numFmtId="0" fontId="14" fillId="0" borderId="31" xfId="7" applyFont="1" applyFill="1" applyBorder="1" applyAlignment="1">
      <alignment vertical="top" wrapText="1"/>
    </xf>
    <xf numFmtId="0" fontId="35" fillId="0" borderId="93" xfId="7" applyFont="1" applyFill="1" applyBorder="1" applyAlignment="1">
      <alignment vertical="top" wrapText="1"/>
    </xf>
    <xf numFmtId="0" fontId="35" fillId="0" borderId="80" xfId="7" applyFont="1" applyFill="1" applyBorder="1" applyAlignment="1">
      <alignment vertical="top" wrapText="1"/>
    </xf>
    <xf numFmtId="0" fontId="14" fillId="0" borderId="46" xfId="7" applyFont="1" applyFill="1" applyBorder="1" applyAlignment="1">
      <alignment horizontal="left" vertical="top" wrapText="1" indent="2"/>
    </xf>
    <xf numFmtId="0" fontId="18" fillId="0" borderId="26" xfId="7" applyFont="1" applyFill="1" applyBorder="1" applyAlignment="1">
      <alignment horizontal="left" vertical="top" wrapText="1" indent="2"/>
    </xf>
    <xf numFmtId="4" fontId="18" fillId="0" borderId="9" xfId="7" applyNumberFormat="1" applyFont="1" applyFill="1" applyBorder="1" applyAlignment="1">
      <alignment horizontal="left" vertical="top" wrapText="1" indent="2"/>
    </xf>
    <xf numFmtId="0" fontId="35" fillId="0" borderId="26" xfId="7" applyFont="1" applyFill="1" applyBorder="1" applyAlignment="1">
      <alignment horizontal="left" vertical="top" wrapText="1" indent="2"/>
    </xf>
    <xf numFmtId="2" fontId="18" fillId="0" borderId="9" xfId="7" applyNumberFormat="1" applyFont="1" applyFill="1" applyBorder="1" applyAlignment="1">
      <alignment horizontal="left" vertical="top" wrapText="1" indent="2"/>
    </xf>
    <xf numFmtId="0" fontId="14" fillId="0" borderId="29" xfId="7" applyFont="1" applyFill="1" applyBorder="1" applyAlignment="1">
      <alignment horizontal="left" vertical="top" wrapText="1" indent="2"/>
    </xf>
    <xf numFmtId="2" fontId="18" fillId="0" borderId="17" xfId="7" applyNumberFormat="1" applyFont="1" applyFill="1" applyBorder="1" applyAlignment="1">
      <alignment horizontal="left" vertical="top" wrapText="1" indent="2"/>
    </xf>
    <xf numFmtId="0" fontId="18" fillId="0" borderId="9" xfId="7" applyFont="1" applyFill="1" applyBorder="1" applyAlignment="1">
      <alignment horizontal="left" vertical="top" wrapText="1" indent="2"/>
    </xf>
    <xf numFmtId="4" fontId="18" fillId="0" borderId="9" xfId="7" applyNumberFormat="1" applyFont="1" applyFill="1" applyBorder="1" applyAlignment="1">
      <alignment horizontal="right" vertical="top" wrapText="1"/>
    </xf>
    <xf numFmtId="2" fontId="18" fillId="0" borderId="17" xfId="7" applyNumberFormat="1" applyFont="1" applyFill="1" applyBorder="1" applyAlignment="1">
      <alignment horizontal="right" vertical="top" wrapText="1"/>
    </xf>
    <xf numFmtId="0" fontId="18" fillId="0" borderId="16" xfId="7" applyFont="1" applyFill="1" applyBorder="1" applyAlignment="1">
      <alignment vertical="top" wrapText="1"/>
    </xf>
    <xf numFmtId="0" fontId="14" fillId="0" borderId="25" xfId="7" applyFont="1" applyFill="1" applyBorder="1" applyAlignment="1">
      <alignment horizontal="left" vertical="top" wrapText="1" indent="1"/>
    </xf>
    <xf numFmtId="0" fontId="14" fillId="0" borderId="35" xfId="7" applyFont="1" applyFill="1" applyBorder="1" applyAlignment="1">
      <alignment horizontal="center" vertical="top" wrapText="1"/>
    </xf>
    <xf numFmtId="0" fontId="26" fillId="8" borderId="31" xfId="0" applyFont="1" applyFill="1" applyBorder="1" applyAlignment="1">
      <alignment vertical="center" wrapText="1"/>
    </xf>
    <xf numFmtId="0" fontId="10" fillId="0" borderId="16" xfId="0" applyFont="1" applyBorder="1" applyAlignment="1">
      <alignment vertical="center"/>
    </xf>
    <xf numFmtId="0" fontId="10" fillId="6" borderId="16" xfId="0" applyFont="1" applyFill="1" applyBorder="1" applyAlignment="1">
      <alignment vertical="center"/>
    </xf>
    <xf numFmtId="0" fontId="6" fillId="0" borderId="0" xfId="0" applyFont="1" applyAlignment="1">
      <alignment horizontal="left"/>
    </xf>
    <xf numFmtId="0" fontId="18" fillId="0" borderId="0" xfId="7" applyFont="1" applyFill="1" applyBorder="1" applyAlignment="1">
      <alignment horizontal="left" vertical="top" wrapText="1"/>
    </xf>
    <xf numFmtId="0" fontId="14" fillId="0" borderId="16" xfId="7" applyFont="1" applyFill="1" applyBorder="1" applyAlignment="1">
      <alignment horizontal="left" vertical="top" wrapText="1"/>
    </xf>
    <xf numFmtId="0" fontId="14" fillId="0" borderId="32" xfId="7" applyFont="1" applyFill="1" applyBorder="1" applyAlignment="1">
      <alignment horizontal="center" vertical="top" wrapText="1"/>
    </xf>
    <xf numFmtId="0" fontId="14" fillId="0" borderId="0" xfId="7" applyFont="1" applyFill="1" applyBorder="1" applyAlignment="1">
      <alignment horizontal="left" vertical="top" wrapText="1"/>
    </xf>
    <xf numFmtId="0" fontId="18" fillId="0" borderId="33" xfId="7" applyFont="1" applyFill="1" applyBorder="1" applyAlignment="1">
      <alignment horizontal="center" vertical="top" wrapText="1"/>
    </xf>
    <xf numFmtId="0" fontId="18" fillId="0" borderId="32" xfId="7" applyFont="1" applyFill="1" applyBorder="1" applyAlignment="1">
      <alignment horizontal="center" vertical="top" wrapText="1"/>
    </xf>
    <xf numFmtId="0" fontId="5" fillId="9" borderId="0" xfId="0" applyFont="1" applyFill="1"/>
    <xf numFmtId="0" fontId="6" fillId="9" borderId="0" xfId="0" quotePrefix="1" applyFont="1" applyFill="1" applyAlignment="1">
      <alignment horizontal="center"/>
    </xf>
    <xf numFmtId="0" fontId="6" fillId="9" borderId="0" xfId="0" applyFont="1" applyFill="1" applyAlignment="1">
      <alignment horizontal="left"/>
    </xf>
    <xf numFmtId="164" fontId="5" fillId="9" borderId="0" xfId="1" applyNumberFormat="1" applyFont="1" applyFill="1" applyAlignment="1">
      <alignment vertical="center"/>
    </xf>
    <xf numFmtId="0" fontId="5" fillId="9" borderId="0" xfId="0" applyFont="1" applyFill="1" applyAlignment="1">
      <alignment horizontal="center"/>
    </xf>
    <xf numFmtId="0" fontId="5" fillId="9" borderId="0" xfId="0" applyFont="1" applyFill="1" applyAlignment="1">
      <alignment horizontal="right"/>
    </xf>
    <xf numFmtId="0" fontId="6" fillId="9" borderId="0" xfId="0" applyFont="1" applyFill="1" applyAlignment="1">
      <alignment horizontal="center"/>
    </xf>
    <xf numFmtId="0" fontId="14" fillId="0" borderId="0" xfId="0" applyFont="1" applyFill="1" applyBorder="1" applyAlignment="1">
      <alignment horizontal="left" vertical="top" wrapText="1"/>
    </xf>
    <xf numFmtId="0" fontId="14" fillId="0" borderId="9" xfId="0" applyFont="1" applyFill="1" applyBorder="1" applyAlignment="1">
      <alignment horizontal="center" vertical="top" wrapText="1"/>
    </xf>
    <xf numFmtId="166" fontId="18" fillId="0" borderId="9" xfId="0" applyNumberFormat="1" applyFont="1" applyFill="1" applyBorder="1" applyAlignment="1">
      <alignment horizontal="center" vertical="top" wrapText="1"/>
    </xf>
    <xf numFmtId="0" fontId="14" fillId="0" borderId="17" xfId="0" applyFont="1" applyFill="1" applyBorder="1" applyAlignment="1">
      <alignment horizontal="center" vertical="top" wrapText="1"/>
    </xf>
    <xf numFmtId="166" fontId="18" fillId="0" borderId="17" xfId="0" applyNumberFormat="1" applyFont="1" applyFill="1" applyBorder="1" applyAlignment="1">
      <alignment horizontal="center" vertical="top" wrapText="1"/>
    </xf>
    <xf numFmtId="0" fontId="14" fillId="0" borderId="9" xfId="0" applyFont="1" applyFill="1" applyBorder="1" applyAlignment="1">
      <alignment horizontal="left" vertical="top" wrapText="1"/>
    </xf>
    <xf numFmtId="0" fontId="14" fillId="0" borderId="56" xfId="0" applyFont="1" applyFill="1" applyBorder="1" applyAlignment="1">
      <alignment horizontal="center" vertical="top" wrapText="1"/>
    </xf>
    <xf numFmtId="0" fontId="14" fillId="0" borderId="60" xfId="0" applyFont="1" applyFill="1" applyBorder="1" applyAlignment="1">
      <alignment horizontal="center" vertical="top" wrapText="1"/>
    </xf>
    <xf numFmtId="0" fontId="14" fillId="0" borderId="47" xfId="0" applyFont="1" applyFill="1" applyBorder="1" applyAlignment="1">
      <alignment horizontal="center" vertical="top" wrapText="1"/>
    </xf>
    <xf numFmtId="0" fontId="14" fillId="0" borderId="25" xfId="0" applyFont="1" applyFill="1" applyBorder="1" applyAlignment="1">
      <alignment horizontal="left" vertical="top" wrapText="1"/>
    </xf>
    <xf numFmtId="0" fontId="14" fillId="0" borderId="54" xfId="0" applyFont="1" applyFill="1" applyBorder="1" applyAlignment="1">
      <alignment horizontal="left" vertical="top" wrapText="1"/>
    </xf>
    <xf numFmtId="0" fontId="14" fillId="0" borderId="0" xfId="0" applyFont="1" applyFill="1" applyBorder="1" applyAlignment="1">
      <alignment horizontal="center" vertical="top" wrapText="1"/>
    </xf>
    <xf numFmtId="0" fontId="5" fillId="0" borderId="25" xfId="0" applyFont="1" applyFill="1" applyBorder="1" applyAlignment="1">
      <alignment horizontal="left" vertical="top" wrapText="1"/>
    </xf>
    <xf numFmtId="0" fontId="5" fillId="0" borderId="48" xfId="0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center" vertical="top" wrapText="1"/>
    </xf>
    <xf numFmtId="0" fontId="5" fillId="0" borderId="9" xfId="0" applyFont="1" applyFill="1" applyBorder="1" applyAlignment="1">
      <alignment horizontal="left" vertical="top" wrapText="1"/>
    </xf>
    <xf numFmtId="0" fontId="5" fillId="0" borderId="11" xfId="0" applyFont="1" applyFill="1" applyBorder="1" applyAlignment="1">
      <alignment horizontal="left" vertical="top" wrapText="1"/>
    </xf>
    <xf numFmtId="0" fontId="5" fillId="0" borderId="21" xfId="0" applyFont="1" applyFill="1" applyBorder="1" applyAlignment="1">
      <alignment horizontal="center" vertical="top" wrapText="1"/>
    </xf>
    <xf numFmtId="0" fontId="5" fillId="0" borderId="17" xfId="0" applyFont="1" applyFill="1" applyBorder="1" applyAlignment="1">
      <alignment horizontal="left" vertical="top" wrapText="1"/>
    </xf>
    <xf numFmtId="0" fontId="5" fillId="0" borderId="22" xfId="0" applyFont="1" applyFill="1" applyBorder="1" applyAlignment="1">
      <alignment horizontal="left" vertical="top" wrapText="1"/>
    </xf>
    <xf numFmtId="0" fontId="5" fillId="0" borderId="75" xfId="0" applyFont="1" applyFill="1" applyBorder="1" applyAlignment="1">
      <alignment horizontal="left" vertical="top" wrapText="1"/>
    </xf>
    <xf numFmtId="0" fontId="5" fillId="0" borderId="51" xfId="0" applyFont="1" applyFill="1" applyBorder="1" applyAlignment="1">
      <alignment horizontal="left" vertical="top" wrapText="1"/>
    </xf>
    <xf numFmtId="0" fontId="5" fillId="0" borderId="55" xfId="0" applyFont="1" applyFill="1" applyBorder="1" applyAlignment="1">
      <alignment horizontal="left" vertical="top" wrapText="1"/>
    </xf>
    <xf numFmtId="0" fontId="5" fillId="0" borderId="64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5" fillId="0" borderId="35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47" xfId="0" applyFont="1" applyBorder="1" applyAlignment="1">
      <alignment horizontal="center" vertical="center"/>
    </xf>
    <xf numFmtId="0" fontId="5" fillId="0" borderId="33" xfId="0" applyFont="1" applyFill="1" applyBorder="1" applyAlignment="1">
      <alignment horizontal="center" vertical="top" wrapText="1"/>
    </xf>
    <xf numFmtId="0" fontId="5" fillId="0" borderId="32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left" vertical="top" wrapText="1"/>
    </xf>
    <xf numFmtId="0" fontId="5" fillId="0" borderId="54" xfId="0" applyFont="1" applyFill="1" applyBorder="1" applyAlignment="1">
      <alignment horizontal="left" vertical="top" wrapText="1"/>
    </xf>
    <xf numFmtId="0" fontId="5" fillId="0" borderId="57" xfId="0" applyFont="1" applyFill="1" applyBorder="1" applyAlignment="1">
      <alignment horizontal="left" vertical="top" wrapText="1"/>
    </xf>
    <xf numFmtId="0" fontId="5" fillId="0" borderId="78" xfId="0" applyFont="1" applyFill="1" applyBorder="1" applyAlignment="1">
      <alignment horizontal="left" vertical="top" wrapText="1"/>
    </xf>
    <xf numFmtId="0" fontId="5" fillId="0" borderId="16" xfId="0" applyFont="1" applyFill="1" applyBorder="1" applyAlignment="1">
      <alignment horizontal="left" vertical="center" wrapText="1"/>
    </xf>
    <xf numFmtId="0" fontId="18" fillId="0" borderId="41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 wrapText="1"/>
    </xf>
    <xf numFmtId="0" fontId="18" fillId="0" borderId="9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92" xfId="0" applyFont="1" applyBorder="1" applyAlignment="1">
      <alignment horizontal="center" vertical="center"/>
    </xf>
    <xf numFmtId="0" fontId="36" fillId="0" borderId="88" xfId="0" applyFont="1" applyFill="1" applyBorder="1" applyAlignment="1">
      <alignment horizontal="center" vertical="top" wrapText="1"/>
    </xf>
    <xf numFmtId="0" fontId="36" fillId="0" borderId="89" xfId="0" applyFont="1" applyFill="1" applyBorder="1" applyAlignment="1">
      <alignment horizontal="center" vertical="top" wrapText="1"/>
    </xf>
    <xf numFmtId="0" fontId="36" fillId="0" borderId="90" xfId="0" applyFont="1" applyFill="1" applyBorder="1" applyAlignment="1">
      <alignment horizontal="center" vertical="top" wrapText="1"/>
    </xf>
    <xf numFmtId="0" fontId="36" fillId="0" borderId="91" xfId="0" applyFont="1" applyFill="1" applyBorder="1" applyAlignment="1">
      <alignment horizontal="center" vertical="top" wrapText="1"/>
    </xf>
    <xf numFmtId="0" fontId="36" fillId="0" borderId="88" xfId="0" applyFont="1" applyFill="1" applyBorder="1" applyAlignment="1">
      <alignment horizontal="center" vertical="center" wrapText="1"/>
    </xf>
    <xf numFmtId="0" fontId="36" fillId="0" borderId="89" xfId="0" applyFont="1" applyFill="1" applyBorder="1" applyAlignment="1">
      <alignment horizontal="center" vertical="center" wrapText="1"/>
    </xf>
    <xf numFmtId="0" fontId="36" fillId="0" borderId="90" xfId="0" applyFont="1" applyFill="1" applyBorder="1" applyAlignment="1">
      <alignment horizontal="left" vertical="center" wrapText="1"/>
    </xf>
    <xf numFmtId="0" fontId="36" fillId="0" borderId="9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41" fontId="5" fillId="0" borderId="0" xfId="1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14" fillId="0" borderId="0" xfId="0" applyFont="1" applyFill="1" applyBorder="1" applyAlignment="1">
      <alignment horizontal="left" vertical="center"/>
    </xf>
    <xf numFmtId="0" fontId="36" fillId="0" borderId="1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left" vertical="center" wrapText="1"/>
    </xf>
    <xf numFmtId="0" fontId="18" fillId="0" borderId="9" xfId="0" applyFont="1" applyFill="1" applyBorder="1" applyAlignment="1">
      <alignment horizontal="left" vertical="center" wrapText="1"/>
    </xf>
    <xf numFmtId="0" fontId="18" fillId="0" borderId="0" xfId="0" applyFont="1" applyFill="1" applyBorder="1" applyAlignment="1">
      <alignment horizontal="left" vertical="center" wrapText="1"/>
    </xf>
    <xf numFmtId="0" fontId="18" fillId="0" borderId="11" xfId="0" applyFont="1" applyFill="1" applyBorder="1" applyAlignment="1">
      <alignment horizontal="left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left" vertical="center" wrapText="1"/>
    </xf>
    <xf numFmtId="0" fontId="14" fillId="0" borderId="9" xfId="0" applyFont="1" applyFill="1" applyBorder="1" applyAlignment="1">
      <alignment horizontal="center" vertical="center" wrapText="1"/>
    </xf>
    <xf numFmtId="166" fontId="18" fillId="0" borderId="9" xfId="0" applyNumberFormat="1" applyFont="1" applyFill="1" applyBorder="1" applyAlignment="1">
      <alignment horizontal="center" vertical="center" wrapText="1"/>
    </xf>
    <xf numFmtId="0" fontId="18" fillId="0" borderId="21" xfId="0" applyFont="1" applyFill="1" applyBorder="1" applyAlignment="1">
      <alignment horizontal="center" vertical="center" wrapText="1"/>
    </xf>
    <xf numFmtId="0" fontId="14" fillId="0" borderId="17" xfId="0" applyFont="1" applyFill="1" applyBorder="1" applyAlignment="1">
      <alignment horizontal="center" vertical="center" wrapText="1"/>
    </xf>
    <xf numFmtId="166" fontId="18" fillId="0" borderId="17" xfId="0" applyNumberFormat="1" applyFont="1" applyFill="1" applyBorder="1" applyAlignment="1">
      <alignment horizontal="center" vertical="center" wrapText="1"/>
    </xf>
    <xf numFmtId="0" fontId="18" fillId="0" borderId="68" xfId="0" applyFont="1" applyFill="1" applyBorder="1" applyAlignment="1">
      <alignment horizontal="center" vertical="center" wrapText="1"/>
    </xf>
    <xf numFmtId="0" fontId="18" fillId="0" borderId="69" xfId="0" applyFont="1" applyFill="1" applyBorder="1" applyAlignment="1">
      <alignment horizontal="left" vertical="center" wrapText="1"/>
    </xf>
    <xf numFmtId="0" fontId="18" fillId="0" borderId="70" xfId="0" applyFont="1" applyFill="1" applyBorder="1" applyAlignment="1">
      <alignment horizontal="left" vertical="center" wrapText="1"/>
    </xf>
    <xf numFmtId="0" fontId="36" fillId="0" borderId="47" xfId="0" applyFont="1" applyFill="1" applyBorder="1" applyAlignment="1">
      <alignment horizontal="center" vertical="center" wrapText="1"/>
    </xf>
    <xf numFmtId="0" fontId="36" fillId="0" borderId="25" xfId="0" applyFont="1" applyFill="1" applyBorder="1" applyAlignment="1">
      <alignment horizontal="left" vertical="center" wrapText="1"/>
    </xf>
    <xf numFmtId="0" fontId="18" fillId="0" borderId="25" xfId="0" applyFont="1" applyFill="1" applyBorder="1" applyAlignment="1">
      <alignment horizontal="left" vertical="center" wrapText="1"/>
    </xf>
    <xf numFmtId="0" fontId="18" fillId="0" borderId="48" xfId="0" applyFont="1" applyFill="1" applyBorder="1" applyAlignment="1">
      <alignment horizontal="left" vertical="center" wrapText="1"/>
    </xf>
    <xf numFmtId="0" fontId="18" fillId="0" borderId="9" xfId="0" applyFont="1" applyBorder="1" applyAlignment="1">
      <alignment vertical="center" wrapText="1"/>
    </xf>
    <xf numFmtId="3" fontId="18" fillId="0" borderId="9" xfId="0" applyNumberFormat="1" applyFont="1" applyFill="1" applyBorder="1" applyAlignment="1">
      <alignment horizontal="center" vertical="center" wrapText="1"/>
    </xf>
    <xf numFmtId="0" fontId="14" fillId="0" borderId="9" xfId="0" applyFont="1" applyFill="1" applyBorder="1" applyAlignment="1">
      <alignment horizontal="left" vertical="center" wrapText="1"/>
    </xf>
    <xf numFmtId="0" fontId="18" fillId="0" borderId="22" xfId="0" applyFont="1" applyFill="1" applyBorder="1" applyAlignment="1">
      <alignment horizontal="left" vertical="center" wrapText="1"/>
    </xf>
    <xf numFmtId="0" fontId="18" fillId="0" borderId="33" xfId="0" applyFont="1" applyFill="1" applyBorder="1" applyAlignment="1">
      <alignment horizontal="center" vertical="center" wrapText="1"/>
    </xf>
    <xf numFmtId="0" fontId="18" fillId="0" borderId="32" xfId="0" applyFont="1" applyFill="1" applyBorder="1" applyAlignment="1">
      <alignment horizontal="left" vertical="center" wrapText="1"/>
    </xf>
    <xf numFmtId="0" fontId="18" fillId="0" borderId="71" xfId="0" applyFont="1" applyFill="1" applyBorder="1" applyAlignment="1">
      <alignment horizontal="left" vertical="center" wrapText="1"/>
    </xf>
    <xf numFmtId="0" fontId="36" fillId="0" borderId="66" xfId="0" applyFont="1" applyFill="1" applyBorder="1" applyAlignment="1">
      <alignment horizontal="center" vertical="center" wrapText="1"/>
    </xf>
    <xf numFmtId="0" fontId="36" fillId="0" borderId="65" xfId="0" applyFont="1" applyFill="1" applyBorder="1" applyAlignment="1">
      <alignment horizontal="left" vertical="center" wrapText="1"/>
    </xf>
    <xf numFmtId="0" fontId="18" fillId="0" borderId="65" xfId="0" applyFont="1" applyFill="1" applyBorder="1" applyAlignment="1">
      <alignment horizontal="left" vertical="center" wrapText="1"/>
    </xf>
    <xf numFmtId="0" fontId="18" fillId="0" borderId="72" xfId="0" applyFont="1" applyFill="1" applyBorder="1" applyAlignment="1">
      <alignment horizontal="left" vertical="center" wrapText="1"/>
    </xf>
    <xf numFmtId="0" fontId="18" fillId="0" borderId="55" xfId="0" applyFont="1" applyFill="1" applyBorder="1" applyAlignment="1">
      <alignment horizontal="left" vertical="center" wrapText="1"/>
    </xf>
    <xf numFmtId="0" fontId="18" fillId="0" borderId="73" xfId="0" applyFont="1" applyFill="1" applyBorder="1" applyAlignment="1">
      <alignment horizontal="left" vertical="center" wrapText="1"/>
    </xf>
    <xf numFmtId="0" fontId="14" fillId="0" borderId="52" xfId="0" applyFont="1" applyFill="1" applyBorder="1" applyAlignment="1">
      <alignment horizontal="center" vertical="center" wrapText="1"/>
    </xf>
    <xf numFmtId="0" fontId="14" fillId="0" borderId="56" xfId="0" applyFont="1" applyFill="1" applyBorder="1" applyAlignment="1">
      <alignment horizontal="center" vertical="center" wrapText="1"/>
    </xf>
    <xf numFmtId="0" fontId="36" fillId="0" borderId="60" xfId="0" applyFont="1" applyFill="1" applyBorder="1" applyAlignment="1">
      <alignment horizontal="center" vertical="center" wrapText="1"/>
    </xf>
    <xf numFmtId="0" fontId="18" fillId="0" borderId="64" xfId="0" applyFont="1" applyFill="1" applyBorder="1" applyAlignment="1">
      <alignment horizontal="left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36" fillId="0" borderId="9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 wrapText="1"/>
    </xf>
    <xf numFmtId="0" fontId="14" fillId="0" borderId="17" xfId="0" applyFont="1" applyFill="1" applyBorder="1" applyAlignment="1">
      <alignment horizontal="left" vertical="center" wrapText="1"/>
    </xf>
    <xf numFmtId="0" fontId="5" fillId="0" borderId="17" xfId="0" applyFont="1" applyFill="1" applyBorder="1" applyAlignment="1">
      <alignment horizontal="left" vertical="center" wrapText="1"/>
    </xf>
    <xf numFmtId="0" fontId="5" fillId="0" borderId="22" xfId="0" applyFont="1" applyFill="1" applyBorder="1" applyAlignment="1">
      <alignment horizontal="left" vertical="center" wrapText="1"/>
    </xf>
    <xf numFmtId="0" fontId="5" fillId="0" borderId="33" xfId="0" applyFont="1" applyFill="1" applyBorder="1" applyAlignment="1">
      <alignment horizontal="center" vertical="center" wrapText="1"/>
    </xf>
    <xf numFmtId="0" fontId="5" fillId="0" borderId="32" xfId="0" applyFont="1" applyFill="1" applyBorder="1" applyAlignment="1">
      <alignment horizontal="left" vertical="center" wrapText="1"/>
    </xf>
    <xf numFmtId="0" fontId="5" fillId="0" borderId="75" xfId="0" applyFont="1" applyFill="1" applyBorder="1" applyAlignment="1">
      <alignment horizontal="left" vertical="center" wrapText="1"/>
    </xf>
    <xf numFmtId="0" fontId="5" fillId="0" borderId="25" xfId="0" applyFont="1" applyFill="1" applyBorder="1" applyAlignment="1">
      <alignment horizontal="left" vertical="center" wrapText="1"/>
    </xf>
    <xf numFmtId="0" fontId="5" fillId="0" borderId="25" xfId="0" applyFont="1" applyFill="1" applyBorder="1" applyAlignment="1">
      <alignment horizontal="center" vertical="center" wrapText="1"/>
    </xf>
    <xf numFmtId="0" fontId="5" fillId="0" borderId="76" xfId="0" applyFont="1" applyFill="1" applyBorder="1" applyAlignment="1">
      <alignment horizontal="left" vertical="center" wrapText="1"/>
    </xf>
    <xf numFmtId="2" fontId="18" fillId="0" borderId="9" xfId="0" applyNumberFormat="1" applyFont="1" applyFill="1" applyBorder="1" applyAlignment="1">
      <alignment horizontal="center" vertical="center" wrapText="1"/>
    </xf>
    <xf numFmtId="2" fontId="18" fillId="0" borderId="17" xfId="0" applyNumberFormat="1" applyFont="1" applyFill="1" applyBorder="1" applyAlignment="1">
      <alignment horizontal="center" vertical="center" wrapText="1"/>
    </xf>
    <xf numFmtId="0" fontId="5" fillId="0" borderId="77" xfId="0" applyFont="1" applyFill="1" applyBorder="1" applyAlignment="1">
      <alignment horizontal="left" vertical="center" wrapText="1"/>
    </xf>
    <xf numFmtId="0" fontId="5" fillId="0" borderId="65" xfId="0" applyFont="1" applyFill="1" applyBorder="1" applyAlignment="1">
      <alignment horizontal="left" vertical="center" wrapText="1"/>
    </xf>
    <xf numFmtId="0" fontId="5" fillId="0" borderId="72" xfId="0" applyFont="1" applyFill="1" applyBorder="1" applyAlignment="1">
      <alignment horizontal="left" vertical="center" wrapText="1"/>
    </xf>
    <xf numFmtId="0" fontId="5" fillId="0" borderId="51" xfId="0" applyFont="1" applyFill="1" applyBorder="1" applyAlignment="1">
      <alignment horizontal="left" vertical="center" wrapText="1"/>
    </xf>
    <xf numFmtId="0" fontId="5" fillId="0" borderId="73" xfId="0" applyFont="1" applyFill="1" applyBorder="1" applyAlignment="1">
      <alignment horizontal="left" vertical="center" wrapText="1"/>
    </xf>
    <xf numFmtId="0" fontId="5" fillId="0" borderId="55" xfId="0" applyFont="1" applyFill="1" applyBorder="1" applyAlignment="1">
      <alignment horizontal="left" vertical="center" wrapText="1"/>
    </xf>
    <xf numFmtId="0" fontId="5" fillId="0" borderId="64" xfId="0" applyFont="1" applyFill="1" applyBorder="1" applyAlignment="1">
      <alignment horizontal="left" vertical="center" wrapText="1"/>
    </xf>
    <xf numFmtId="0" fontId="5" fillId="9" borderId="0" xfId="0" applyFont="1" applyFill="1" applyAlignment="1">
      <alignment vertical="center"/>
    </xf>
    <xf numFmtId="0" fontId="5" fillId="9" borderId="0" xfId="0" applyFont="1" applyFill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33" xfId="0" applyFont="1" applyBorder="1" applyAlignment="1">
      <alignment horizontal="center" vertical="center"/>
    </xf>
    <xf numFmtId="0" fontId="5" fillId="0" borderId="32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5" fillId="0" borderId="25" xfId="0" applyFont="1" applyBorder="1" applyAlignment="1">
      <alignment horizontal="right" vertical="center"/>
    </xf>
    <xf numFmtId="0" fontId="5" fillId="0" borderId="48" xfId="0" applyFont="1" applyBorder="1" applyAlignment="1">
      <alignment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right" vertical="center"/>
    </xf>
    <xf numFmtId="0" fontId="5" fillId="0" borderId="21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right" vertical="center"/>
    </xf>
    <xf numFmtId="0" fontId="5" fillId="0" borderId="16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45" xfId="0" applyFont="1" applyBorder="1" applyAlignment="1">
      <alignment vertical="center"/>
    </xf>
    <xf numFmtId="0" fontId="5" fillId="0" borderId="39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5" fillId="0" borderId="76" xfId="0" applyFont="1" applyBorder="1" applyAlignment="1">
      <alignment vertical="center"/>
    </xf>
    <xf numFmtId="0" fontId="5" fillId="0" borderId="46" xfId="0" applyFont="1" applyBorder="1" applyAlignment="1">
      <alignment vertical="center"/>
    </xf>
    <xf numFmtId="0" fontId="5" fillId="0" borderId="77" xfId="0" applyFont="1" applyBorder="1" applyAlignment="1">
      <alignment vertical="center"/>
    </xf>
    <xf numFmtId="0" fontId="36" fillId="0" borderId="90" xfId="0" applyFont="1" applyFill="1" applyBorder="1" applyAlignment="1">
      <alignment horizontal="center" vertical="center" wrapText="1"/>
    </xf>
    <xf numFmtId="0" fontId="5" fillId="0" borderId="33" xfId="0" applyFont="1" applyFill="1" applyBorder="1" applyAlignment="1">
      <alignment horizontal="center" vertical="center" wrapText="1"/>
    </xf>
    <xf numFmtId="0" fontId="5" fillId="0" borderId="32" xfId="0" applyFont="1" applyFill="1" applyBorder="1" applyAlignment="1">
      <alignment horizontal="center" vertical="center" wrapText="1"/>
    </xf>
    <xf numFmtId="0" fontId="5" fillId="0" borderId="31" xfId="0" applyFont="1" applyFill="1" applyBorder="1" applyAlignment="1">
      <alignment horizontal="center" vertical="center" wrapText="1"/>
    </xf>
    <xf numFmtId="0" fontId="5" fillId="0" borderId="34" xfId="0" applyFont="1" applyFill="1" applyBorder="1" applyAlignment="1">
      <alignment horizontal="left" vertical="center" wrapText="1"/>
    </xf>
    <xf numFmtId="0" fontId="5" fillId="0" borderId="48" xfId="0" applyFont="1" applyFill="1" applyBorder="1" applyAlignment="1">
      <alignment horizontal="left" vertical="center" wrapText="1"/>
    </xf>
    <xf numFmtId="0" fontId="5" fillId="0" borderId="31" xfId="0" applyFont="1" applyFill="1" applyBorder="1" applyAlignment="1">
      <alignment horizontal="left" vertical="center" wrapText="1"/>
    </xf>
    <xf numFmtId="0" fontId="36" fillId="0" borderId="35" xfId="0" applyFont="1" applyFill="1" applyBorder="1" applyAlignment="1">
      <alignment horizontal="center" vertical="center" wrapText="1"/>
    </xf>
    <xf numFmtId="0" fontId="36" fillId="0" borderId="16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54" xfId="0" applyFont="1" applyFill="1" applyBorder="1" applyAlignment="1">
      <alignment horizontal="left" vertical="center" wrapText="1"/>
    </xf>
    <xf numFmtId="0" fontId="5" fillId="0" borderId="57" xfId="0" applyFont="1" applyFill="1" applyBorder="1" applyAlignment="1">
      <alignment horizontal="left" vertical="center" wrapText="1"/>
    </xf>
    <xf numFmtId="0" fontId="5" fillId="0" borderId="38" xfId="0" applyFont="1" applyFill="1" applyBorder="1" applyAlignment="1">
      <alignment horizontal="center" vertical="center" wrapText="1"/>
    </xf>
    <xf numFmtId="0" fontId="5" fillId="0" borderId="40" xfId="0" applyFont="1" applyFill="1" applyBorder="1" applyAlignment="1">
      <alignment horizontal="center" vertical="center" wrapText="1"/>
    </xf>
    <xf numFmtId="0" fontId="5" fillId="0" borderId="66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left" vertical="center" wrapText="1"/>
    </xf>
    <xf numFmtId="0" fontId="5" fillId="0" borderId="78" xfId="0" applyFont="1" applyFill="1" applyBorder="1" applyAlignment="1">
      <alignment horizontal="left" vertical="center" wrapText="1"/>
    </xf>
    <xf numFmtId="0" fontId="36" fillId="0" borderId="56" xfId="0" applyFont="1" applyFill="1" applyBorder="1" applyAlignment="1">
      <alignment horizontal="center" vertical="center" wrapText="1"/>
    </xf>
    <xf numFmtId="0" fontId="36" fillId="0" borderId="54" xfId="0" applyFont="1" applyFill="1" applyBorder="1" applyAlignment="1">
      <alignment horizontal="left" vertical="center" wrapText="1"/>
    </xf>
    <xf numFmtId="0" fontId="36" fillId="0" borderId="52" xfId="0" applyFont="1" applyFill="1" applyBorder="1" applyAlignment="1">
      <alignment horizontal="center" vertical="center" wrapText="1"/>
    </xf>
    <xf numFmtId="0" fontId="36" fillId="0" borderId="53" xfId="0" applyFont="1" applyFill="1" applyBorder="1" applyAlignment="1">
      <alignment horizontal="left" vertical="center" wrapText="1"/>
    </xf>
    <xf numFmtId="0" fontId="5" fillId="0" borderId="53" xfId="0" applyFont="1" applyFill="1" applyBorder="1" applyAlignment="1">
      <alignment horizontal="left" vertical="center" wrapText="1"/>
    </xf>
    <xf numFmtId="0" fontId="5" fillId="0" borderId="30" xfId="0" applyFont="1" applyFill="1" applyBorder="1" applyAlignment="1">
      <alignment horizontal="left" vertical="center" wrapText="1"/>
    </xf>
    <xf numFmtId="0" fontId="5" fillId="0" borderId="83" xfId="0" applyFont="1" applyFill="1" applyBorder="1" applyAlignment="1">
      <alignment horizontal="left" vertical="center" wrapText="1"/>
    </xf>
    <xf numFmtId="0" fontId="5" fillId="0" borderId="71" xfId="0" applyFont="1" applyFill="1" applyBorder="1" applyAlignment="1">
      <alignment horizontal="left" vertical="center" wrapText="1"/>
    </xf>
    <xf numFmtId="0" fontId="14" fillId="0" borderId="60" xfId="0" applyFont="1" applyFill="1" applyBorder="1" applyAlignment="1">
      <alignment horizontal="center" vertical="center" wrapText="1"/>
    </xf>
    <xf numFmtId="0" fontId="14" fillId="0" borderId="47" xfId="0" applyFont="1" applyFill="1" applyBorder="1" applyAlignment="1">
      <alignment horizontal="center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5" fillId="0" borderId="17" xfId="0" applyFont="1" applyFill="1" applyBorder="1" applyAlignment="1">
      <alignment horizontal="center" vertical="center" wrapText="1"/>
    </xf>
    <xf numFmtId="0" fontId="14" fillId="0" borderId="54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5" fillId="0" borderId="45" xfId="0" applyFont="1" applyFill="1" applyBorder="1" applyAlignment="1">
      <alignment horizontal="left" vertical="center" wrapText="1"/>
    </xf>
    <xf numFmtId="0" fontId="14" fillId="0" borderId="39" xfId="0" applyFont="1" applyFill="1" applyBorder="1" applyAlignment="1">
      <alignment horizontal="center" vertical="center" wrapText="1"/>
    </xf>
    <xf numFmtId="0" fontId="14" fillId="0" borderId="27" xfId="0" applyFont="1" applyFill="1" applyBorder="1" applyAlignment="1">
      <alignment horizontal="center" vertical="center" wrapText="1"/>
    </xf>
    <xf numFmtId="165" fontId="18" fillId="0" borderId="17" xfId="0" applyNumberFormat="1" applyFont="1" applyFill="1" applyBorder="1" applyAlignment="1">
      <alignment horizontal="center" vertical="center" wrapText="1"/>
    </xf>
    <xf numFmtId="0" fontId="5" fillId="0" borderId="52" xfId="0" applyFont="1" applyFill="1" applyBorder="1" applyAlignment="1">
      <alignment horizontal="center" vertical="center" wrapText="1"/>
    </xf>
    <xf numFmtId="1" fontId="18" fillId="0" borderId="9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6" fillId="9" borderId="0" xfId="0" applyFont="1" applyFill="1" applyAlignment="1">
      <alignment horizontal="left" vertical="center"/>
    </xf>
    <xf numFmtId="0" fontId="5" fillId="9" borderId="0" xfId="0" applyFont="1" applyFill="1" applyAlignment="1">
      <alignment horizontal="right" vertical="center"/>
    </xf>
    <xf numFmtId="41" fontId="5" fillId="9" borderId="0" xfId="1" applyFont="1" applyFill="1" applyAlignment="1">
      <alignment vertical="center"/>
    </xf>
    <xf numFmtId="41" fontId="6" fillId="0" borderId="2" xfId="1" applyFont="1" applyBorder="1" applyAlignment="1">
      <alignment horizontal="center" vertical="center"/>
    </xf>
    <xf numFmtId="41" fontId="6" fillId="0" borderId="19" xfId="1" applyFont="1" applyBorder="1" applyAlignment="1">
      <alignment horizontal="center" vertical="center"/>
    </xf>
    <xf numFmtId="41" fontId="6" fillId="0" borderId="4" xfId="1" applyFont="1" applyBorder="1" applyAlignment="1">
      <alignment horizontal="center" vertical="center"/>
    </xf>
    <xf numFmtId="41" fontId="6" fillId="0" borderId="20" xfId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165" fontId="5" fillId="0" borderId="9" xfId="0" applyNumberFormat="1" applyFont="1" applyBorder="1" applyAlignment="1">
      <alignment horizontal="left" vertical="center"/>
    </xf>
    <xf numFmtId="41" fontId="5" fillId="0" borderId="26" xfId="1" applyFont="1" applyBorder="1" applyAlignment="1">
      <alignment horizontal="left" vertical="center"/>
    </xf>
    <xf numFmtId="0" fontId="5" fillId="0" borderId="0" xfId="0" applyFont="1" applyBorder="1" applyAlignment="1">
      <alignment horizontal="right" vertical="center"/>
    </xf>
    <xf numFmtId="0" fontId="6" fillId="0" borderId="35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0" fontId="5" fillId="0" borderId="16" xfId="3" applyNumberFormat="1" applyFont="1" applyBorder="1" applyAlignment="1">
      <alignment vertical="center"/>
    </xf>
    <xf numFmtId="43" fontId="5" fillId="0" borderId="22" xfId="2" applyFont="1" applyBorder="1" applyAlignment="1">
      <alignment vertical="center"/>
    </xf>
    <xf numFmtId="0" fontId="6" fillId="0" borderId="23" xfId="0" applyFont="1" applyBorder="1" applyAlignment="1">
      <alignment horizontal="center" vertical="center"/>
    </xf>
    <xf numFmtId="43" fontId="6" fillId="0" borderId="24" xfId="2" applyFont="1" applyBorder="1" applyAlignment="1">
      <alignment vertical="center"/>
    </xf>
    <xf numFmtId="0" fontId="36" fillId="0" borderId="38" xfId="0" applyFont="1" applyFill="1" applyBorder="1" applyAlignment="1">
      <alignment horizontal="center" vertical="center" wrapText="1"/>
    </xf>
    <xf numFmtId="0" fontId="36" fillId="0" borderId="13" xfId="0" applyFont="1" applyFill="1" applyBorder="1" applyAlignment="1">
      <alignment horizontal="center" vertical="center" wrapText="1"/>
    </xf>
    <xf numFmtId="0" fontId="36" fillId="0" borderId="42" xfId="0" applyFont="1" applyFill="1" applyBorder="1" applyAlignment="1">
      <alignment horizontal="center" vertical="center" wrapText="1"/>
    </xf>
    <xf numFmtId="0" fontId="36" fillId="0" borderId="101" xfId="0" applyFont="1" applyFill="1" applyBorder="1" applyAlignment="1">
      <alignment horizontal="center" vertical="center" wrapText="1"/>
    </xf>
    <xf numFmtId="0" fontId="14" fillId="0" borderId="10" xfId="0" applyFont="1" applyFill="1" applyBorder="1" applyAlignment="1">
      <alignment horizontal="center" vertical="center" wrapText="1"/>
    </xf>
    <xf numFmtId="0" fontId="5" fillId="0" borderId="39" xfId="0" applyFont="1" applyFill="1" applyBorder="1" applyAlignment="1">
      <alignment horizontal="left" vertical="center" wrapText="1"/>
    </xf>
    <xf numFmtId="0" fontId="33" fillId="0" borderId="0" xfId="0" applyFont="1" applyFill="1" applyBorder="1" applyAlignment="1">
      <alignment horizontal="left" vertical="center"/>
    </xf>
    <xf numFmtId="0" fontId="14" fillId="0" borderId="16" xfId="0" applyFont="1" applyFill="1" applyBorder="1" applyAlignment="1">
      <alignment horizontal="left" vertical="center" wrapText="1"/>
    </xf>
    <xf numFmtId="0" fontId="14" fillId="0" borderId="29" xfId="0" applyFont="1" applyFill="1" applyBorder="1" applyAlignment="1">
      <alignment horizontal="left" vertical="center" wrapText="1"/>
    </xf>
    <xf numFmtId="0" fontId="36" fillId="0" borderId="92" xfId="0" applyFont="1" applyFill="1" applyBorder="1" applyAlignment="1">
      <alignment horizontal="center" vertical="center" wrapText="1"/>
    </xf>
    <xf numFmtId="0" fontId="5" fillId="0" borderId="46" xfId="0" applyFont="1" applyFill="1" applyBorder="1" applyAlignment="1">
      <alignment horizontal="left" vertical="center" wrapText="1"/>
    </xf>
    <xf numFmtId="0" fontId="5" fillId="0" borderId="27" xfId="0" applyFont="1" applyFill="1" applyBorder="1" applyAlignment="1">
      <alignment horizontal="left" vertical="center" wrapText="1"/>
    </xf>
    <xf numFmtId="0" fontId="5" fillId="0" borderId="29" xfId="0" applyFont="1" applyFill="1" applyBorder="1" applyAlignment="1">
      <alignment horizontal="left" vertical="center" wrapText="1"/>
    </xf>
    <xf numFmtId="0" fontId="5" fillId="0" borderId="69" xfId="0" applyFont="1" applyFill="1" applyBorder="1" applyAlignment="1">
      <alignment horizontal="left" vertical="center" wrapText="1"/>
    </xf>
    <xf numFmtId="0" fontId="5" fillId="0" borderId="28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vertical="center" wrapText="1"/>
    </xf>
    <xf numFmtId="41" fontId="6" fillId="0" borderId="2" xfId="1" applyFont="1" applyBorder="1" applyAlignment="1">
      <alignment horizontal="center" vertical="center" wrapText="1"/>
    </xf>
    <xf numFmtId="164" fontId="5" fillId="0" borderId="0" xfId="1" applyNumberFormat="1" applyFont="1" applyBorder="1" applyAlignment="1">
      <alignment vertical="center"/>
    </xf>
    <xf numFmtId="0" fontId="5" fillId="0" borderId="0" xfId="0" applyFont="1" applyBorder="1" applyAlignment="1">
      <alignment horizontal="right" vertical="center"/>
    </xf>
    <xf numFmtId="0" fontId="6" fillId="9" borderId="0" xfId="0" applyFont="1" applyFill="1" applyAlignment="1">
      <alignment vertical="center"/>
    </xf>
    <xf numFmtId="0" fontId="36" fillId="0" borderId="41" xfId="0" applyFont="1" applyFill="1" applyBorder="1" applyAlignment="1">
      <alignment horizontal="center" vertical="center" wrapText="1"/>
    </xf>
    <xf numFmtId="0" fontId="14" fillId="0" borderId="89" xfId="0" applyFont="1" applyFill="1" applyBorder="1" applyAlignment="1">
      <alignment horizontal="center" vertical="center" wrapText="1"/>
    </xf>
    <xf numFmtId="0" fontId="14" fillId="0" borderId="91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vertical="center" wrapText="1"/>
    </xf>
    <xf numFmtId="0" fontId="5" fillId="0" borderId="22" xfId="0" applyFont="1" applyFill="1" applyBorder="1" applyAlignment="1">
      <alignment vertical="center" wrapText="1"/>
    </xf>
    <xf numFmtId="0" fontId="5" fillId="0" borderId="34" xfId="0" applyFont="1" applyFill="1" applyBorder="1" applyAlignment="1">
      <alignment vertical="center" wrapText="1"/>
    </xf>
    <xf numFmtId="0" fontId="5" fillId="0" borderId="48" xfId="0" applyFont="1" applyFill="1" applyBorder="1" applyAlignment="1">
      <alignment vertical="center" wrapText="1"/>
    </xf>
    <xf numFmtId="0" fontId="5" fillId="0" borderId="51" xfId="0" applyFont="1" applyFill="1" applyBorder="1" applyAlignment="1">
      <alignment vertical="center" wrapText="1"/>
    </xf>
    <xf numFmtId="0" fontId="5" fillId="0" borderId="55" xfId="0" applyFont="1" applyFill="1" applyBorder="1" applyAlignment="1">
      <alignment vertical="center" wrapText="1"/>
    </xf>
    <xf numFmtId="0" fontId="5" fillId="0" borderId="64" xfId="0" applyFont="1" applyFill="1" applyBorder="1" applyAlignment="1">
      <alignment vertical="center" wrapText="1"/>
    </xf>
    <xf numFmtId="0" fontId="6" fillId="9" borderId="0" xfId="0" applyFont="1" applyFill="1" applyAlignment="1">
      <alignment horizontal="center" vertical="center"/>
    </xf>
    <xf numFmtId="4" fontId="6" fillId="9" borderId="0" xfId="0" applyNumberFormat="1" applyFont="1" applyFill="1" applyAlignment="1">
      <alignment horizontal="left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5" fillId="0" borderId="68" xfId="0" applyFont="1" applyFill="1" applyBorder="1" applyAlignment="1">
      <alignment horizontal="center" vertical="center" wrapText="1"/>
    </xf>
    <xf numFmtId="0" fontId="5" fillId="0" borderId="70" xfId="0" applyFont="1" applyFill="1" applyBorder="1" applyAlignment="1">
      <alignment horizontal="left" vertical="center" wrapText="1"/>
    </xf>
    <xf numFmtId="0" fontId="5" fillId="0" borderId="87" xfId="0" applyFont="1" applyFill="1" applyBorder="1" applyAlignment="1">
      <alignment horizontal="left" vertical="center" wrapText="1"/>
    </xf>
    <xf numFmtId="0" fontId="14" fillId="0" borderId="90" xfId="0" applyFont="1" applyFill="1" applyBorder="1" applyAlignment="1">
      <alignment horizontal="center" vertical="center" wrapText="1"/>
    </xf>
    <xf numFmtId="41" fontId="5" fillId="0" borderId="0" xfId="1" applyFont="1" applyAlignment="1">
      <alignment vertical="center" wrapText="1"/>
    </xf>
    <xf numFmtId="0" fontId="5" fillId="0" borderId="0" xfId="0" applyFont="1" applyAlignment="1">
      <alignment vertical="center" wrapText="1"/>
    </xf>
    <xf numFmtId="41" fontId="5" fillId="9" borderId="0" xfId="1" applyFont="1" applyFill="1" applyAlignment="1">
      <alignment vertical="center" wrapText="1"/>
    </xf>
    <xf numFmtId="41" fontId="6" fillId="0" borderId="4" xfId="1" applyFont="1" applyBorder="1" applyAlignment="1">
      <alignment horizontal="center" vertical="center" wrapText="1"/>
    </xf>
    <xf numFmtId="41" fontId="5" fillId="0" borderId="9" xfId="1" applyFont="1" applyBorder="1" applyAlignment="1">
      <alignment vertical="center" wrapText="1"/>
    </xf>
    <xf numFmtId="41" fontId="5" fillId="0" borderId="26" xfId="1" applyFont="1" applyBorder="1" applyAlignment="1">
      <alignment horizontal="left" vertical="center" wrapText="1"/>
    </xf>
    <xf numFmtId="0" fontId="5" fillId="0" borderId="25" xfId="0" applyFont="1" applyBorder="1" applyAlignment="1">
      <alignment horizontal="right" vertical="center" wrapText="1"/>
    </xf>
    <xf numFmtId="41" fontId="5" fillId="0" borderId="16" xfId="0" applyNumberFormat="1" applyFont="1" applyBorder="1" applyAlignment="1">
      <alignment vertical="center" wrapText="1"/>
    </xf>
    <xf numFmtId="41" fontId="5" fillId="0" borderId="17" xfId="1" applyFont="1" applyBorder="1" applyAlignment="1">
      <alignment vertical="center" wrapText="1"/>
    </xf>
    <xf numFmtId="164" fontId="5" fillId="0" borderId="0" xfId="1" applyNumberFormat="1" applyFont="1" applyBorder="1" applyAlignment="1">
      <alignment horizontal="center" vertical="center"/>
    </xf>
    <xf numFmtId="164" fontId="5" fillId="0" borderId="28" xfId="1" applyNumberFormat="1" applyFont="1" applyBorder="1" applyAlignment="1">
      <alignment horizontal="center" vertical="center"/>
    </xf>
    <xf numFmtId="41" fontId="5" fillId="0" borderId="26" xfId="1" applyFont="1" applyBorder="1" applyAlignment="1">
      <alignment vertical="center" wrapText="1"/>
    </xf>
    <xf numFmtId="41" fontId="5" fillId="0" borderId="29" xfId="1" applyFont="1" applyBorder="1" applyAlignment="1">
      <alignment vertical="center" wrapText="1"/>
    </xf>
    <xf numFmtId="165" fontId="5" fillId="0" borderId="17" xfId="0" applyNumberFormat="1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165" fontId="5" fillId="0" borderId="0" xfId="0" applyNumberFormat="1" applyFont="1" applyBorder="1" applyAlignment="1">
      <alignment horizontal="center" vertical="center"/>
    </xf>
    <xf numFmtId="0" fontId="6" fillId="9" borderId="0" xfId="0" applyFont="1" applyFill="1" applyBorder="1" applyAlignment="1">
      <alignment horizontal="center" vertical="center"/>
    </xf>
    <xf numFmtId="0" fontId="14" fillId="0" borderId="35" xfId="0" applyFont="1" applyFill="1" applyBorder="1" applyAlignment="1">
      <alignment horizontal="center" vertical="center" wrapText="1"/>
    </xf>
    <xf numFmtId="0" fontId="14" fillId="0" borderId="10" xfId="0" applyFont="1" applyFill="1" applyBorder="1" applyAlignment="1">
      <alignment horizontal="center" vertical="top" wrapText="1"/>
    </xf>
    <xf numFmtId="0" fontId="36" fillId="0" borderId="41" xfId="0" applyFont="1" applyFill="1" applyBorder="1" applyAlignment="1">
      <alignment horizontal="center" vertical="top" wrapText="1"/>
    </xf>
    <xf numFmtId="0" fontId="5" fillId="0" borderId="70" xfId="0" applyFont="1" applyFill="1" applyBorder="1" applyAlignment="1">
      <alignment horizontal="left" vertical="top" wrapText="1"/>
    </xf>
    <xf numFmtId="0" fontId="5" fillId="0" borderId="87" xfId="0" applyFont="1" applyFill="1" applyBorder="1" applyAlignment="1">
      <alignment horizontal="left" vertical="top" wrapText="1"/>
    </xf>
    <xf numFmtId="41" fontId="5" fillId="0" borderId="0" xfId="1" applyFont="1" applyAlignment="1">
      <alignment wrapText="1"/>
    </xf>
    <xf numFmtId="0" fontId="5" fillId="0" borderId="0" xfId="0" applyFont="1" applyAlignment="1">
      <alignment wrapText="1"/>
    </xf>
    <xf numFmtId="41" fontId="5" fillId="9" borderId="0" xfId="1" applyFont="1" applyFill="1" applyAlignment="1">
      <alignment wrapText="1"/>
    </xf>
    <xf numFmtId="41" fontId="6" fillId="0" borderId="2" xfId="1" applyFont="1" applyBorder="1" applyAlignment="1">
      <alignment horizontal="center" wrapText="1"/>
    </xf>
    <xf numFmtId="41" fontId="6" fillId="0" borderId="4" xfId="1" applyFont="1" applyBorder="1" applyAlignment="1">
      <alignment horizontal="center" wrapText="1"/>
    </xf>
    <xf numFmtId="41" fontId="5" fillId="0" borderId="26" xfId="1" applyFont="1" applyBorder="1" applyAlignment="1">
      <alignment horizontal="left" wrapText="1"/>
    </xf>
    <xf numFmtId="0" fontId="5" fillId="0" borderId="25" xfId="0" applyFont="1" applyBorder="1" applyAlignment="1">
      <alignment horizontal="right" wrapText="1"/>
    </xf>
    <xf numFmtId="41" fontId="5" fillId="0" borderId="16" xfId="0" applyNumberFormat="1" applyFont="1" applyBorder="1" applyAlignment="1">
      <alignment wrapText="1"/>
    </xf>
    <xf numFmtId="41" fontId="6" fillId="0" borderId="19" xfId="1" applyFont="1" applyBorder="1" applyAlignment="1">
      <alignment horizontal="center" wrapText="1"/>
    </xf>
    <xf numFmtId="41" fontId="6" fillId="0" borderId="20" xfId="1" applyFont="1" applyBorder="1" applyAlignment="1">
      <alignment horizontal="center" wrapText="1"/>
    </xf>
    <xf numFmtId="41" fontId="5" fillId="0" borderId="11" xfId="1" applyFont="1" applyBorder="1" applyAlignment="1">
      <alignment vertical="center" wrapText="1"/>
    </xf>
    <xf numFmtId="43" fontId="5" fillId="0" borderId="11" xfId="2" applyFont="1" applyBorder="1" applyAlignment="1">
      <alignment vertical="center" wrapText="1"/>
    </xf>
    <xf numFmtId="43" fontId="5" fillId="0" borderId="34" xfId="2" applyFont="1" applyBorder="1" applyAlignment="1">
      <alignment vertical="center" wrapText="1"/>
    </xf>
    <xf numFmtId="43" fontId="5" fillId="0" borderId="22" xfId="2" applyFont="1" applyBorder="1" applyAlignment="1">
      <alignment wrapText="1"/>
    </xf>
    <xf numFmtId="43" fontId="5" fillId="0" borderId="24" xfId="2" applyFont="1" applyBorder="1" applyAlignment="1">
      <alignment wrapText="1"/>
    </xf>
    <xf numFmtId="0" fontId="6" fillId="9" borderId="0" xfId="0" applyFont="1" applyFill="1"/>
    <xf numFmtId="164" fontId="6" fillId="9" borderId="0" xfId="1" applyNumberFormat="1" applyFont="1" applyFill="1" applyAlignment="1">
      <alignment vertical="center"/>
    </xf>
    <xf numFmtId="0" fontId="6" fillId="9" borderId="0" xfId="0" applyFont="1" applyFill="1" applyAlignment="1">
      <alignment horizontal="right"/>
    </xf>
    <xf numFmtId="41" fontId="6" fillId="9" borderId="0" xfId="1" applyFont="1" applyFill="1" applyAlignment="1">
      <alignment wrapText="1"/>
    </xf>
    <xf numFmtId="0" fontId="36" fillId="9" borderId="0" xfId="0" applyFont="1" applyFill="1" applyBorder="1" applyAlignment="1">
      <alignment horizontal="left" vertical="top"/>
    </xf>
    <xf numFmtId="0" fontId="6" fillId="9" borderId="0" xfId="0" applyFont="1" applyFill="1" applyBorder="1" applyAlignment="1">
      <alignment horizontal="left" vertical="top"/>
    </xf>
    <xf numFmtId="0" fontId="6" fillId="9" borderId="0" xfId="0" applyFont="1" applyFill="1" applyBorder="1" applyAlignment="1">
      <alignment horizontal="left" vertical="top" wrapText="1"/>
    </xf>
    <xf numFmtId="0" fontId="36" fillId="9" borderId="0" xfId="0" applyFont="1" applyFill="1" applyBorder="1" applyAlignment="1">
      <alignment horizontal="left" vertical="center"/>
    </xf>
    <xf numFmtId="0" fontId="6" fillId="9" borderId="0" xfId="0" applyFont="1" applyFill="1" applyBorder="1" applyAlignment="1">
      <alignment horizontal="left" vertical="center"/>
    </xf>
    <xf numFmtId="0" fontId="36" fillId="9" borderId="0" xfId="0" applyFont="1" applyFill="1" applyAlignment="1">
      <alignment horizontal="center" vertical="center"/>
    </xf>
    <xf numFmtId="0" fontId="36" fillId="9" borderId="0" xfId="0" applyFont="1" applyFill="1" applyBorder="1" applyAlignment="1">
      <alignment horizontal="left"/>
    </xf>
    <xf numFmtId="0" fontId="6" fillId="9" borderId="0" xfId="0" applyFont="1" applyFill="1" applyBorder="1" applyAlignment="1">
      <alignment horizontal="left" vertical="center" wrapText="1"/>
    </xf>
    <xf numFmtId="0" fontId="14" fillId="0" borderId="52" xfId="0" applyFont="1" applyFill="1" applyBorder="1" applyAlignment="1">
      <alignment horizontal="center" vertical="top" wrapText="1"/>
    </xf>
    <xf numFmtId="0" fontId="14" fillId="0" borderId="25" xfId="0" applyFont="1" applyFill="1" applyBorder="1" applyAlignment="1">
      <alignment horizontal="center" vertical="top" wrapText="1"/>
    </xf>
    <xf numFmtId="0" fontId="14" fillId="0" borderId="0" xfId="0" applyFont="1" applyFill="1" applyBorder="1" applyAlignment="1">
      <alignment horizontal="left" vertical="top" wrapText="1"/>
    </xf>
    <xf numFmtId="0" fontId="14" fillId="0" borderId="16" xfId="0" applyFont="1" applyFill="1" applyBorder="1" applyAlignment="1">
      <alignment horizontal="left" vertical="top" wrapText="1"/>
    </xf>
    <xf numFmtId="0" fontId="5" fillId="9" borderId="0" xfId="0" applyFont="1" applyFill="1" applyBorder="1" applyAlignment="1">
      <alignment horizontal="left" vertical="top"/>
    </xf>
    <xf numFmtId="0" fontId="5" fillId="9" borderId="0" xfId="0" applyFont="1" applyFill="1" applyBorder="1" applyAlignment="1">
      <alignment horizontal="center" vertical="top"/>
    </xf>
    <xf numFmtId="0" fontId="5" fillId="0" borderId="0" xfId="0" applyFont="1" applyFill="1" applyBorder="1" applyAlignment="1">
      <alignment horizontal="left" vertical="top"/>
    </xf>
    <xf numFmtId="0" fontId="5" fillId="0" borderId="9" xfId="0" applyFont="1" applyFill="1" applyBorder="1" applyAlignment="1">
      <alignment horizontal="center" vertical="top" wrapText="1"/>
    </xf>
    <xf numFmtId="0" fontId="5" fillId="0" borderId="32" xfId="0" applyFont="1" applyFill="1" applyBorder="1" applyAlignment="1">
      <alignment horizontal="left" vertical="top" wrapText="1"/>
    </xf>
    <xf numFmtId="0" fontId="5" fillId="0" borderId="31" xfId="0" applyFont="1" applyFill="1" applyBorder="1" applyAlignment="1">
      <alignment horizontal="center" vertical="top" wrapText="1"/>
    </xf>
    <xf numFmtId="0" fontId="5" fillId="0" borderId="34" xfId="0" applyFont="1" applyFill="1" applyBorder="1" applyAlignment="1">
      <alignment horizontal="left" vertical="top" wrapText="1"/>
    </xf>
    <xf numFmtId="0" fontId="5" fillId="0" borderId="25" xfId="0" applyFont="1" applyFill="1" applyBorder="1" applyAlignment="1">
      <alignment horizontal="center" vertical="top" wrapText="1"/>
    </xf>
    <xf numFmtId="0" fontId="5" fillId="0" borderId="17" xfId="0" applyFont="1" applyFill="1" applyBorder="1" applyAlignment="1">
      <alignment horizontal="center" vertical="top" wrapText="1"/>
    </xf>
    <xf numFmtId="0" fontId="5" fillId="0" borderId="16" xfId="0" applyFont="1" applyFill="1" applyBorder="1" applyAlignment="1">
      <alignment horizontal="left" vertical="top" wrapText="1"/>
    </xf>
    <xf numFmtId="0" fontId="5" fillId="0" borderId="67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/>
    </xf>
    <xf numFmtId="0" fontId="5" fillId="0" borderId="31" xfId="0" applyFont="1" applyFill="1" applyBorder="1" applyAlignment="1">
      <alignment horizontal="left" vertical="top" wrapText="1"/>
    </xf>
    <xf numFmtId="0" fontId="5" fillId="0" borderId="26" xfId="0" applyFont="1" applyFill="1" applyBorder="1" applyAlignment="1">
      <alignment horizontal="left" vertical="top" wrapText="1"/>
    </xf>
    <xf numFmtId="0" fontId="5" fillId="0" borderId="29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5" fillId="0" borderId="16" xfId="0" applyFont="1" applyFill="1" applyBorder="1" applyAlignment="1">
      <alignment horizontal="center" vertical="top" wrapText="1"/>
    </xf>
    <xf numFmtId="0" fontId="5" fillId="9" borderId="0" xfId="0" applyFont="1" applyFill="1" applyBorder="1" applyAlignment="1">
      <alignment horizontal="left" vertical="top" wrapText="1"/>
    </xf>
    <xf numFmtId="0" fontId="6" fillId="9" borderId="0" xfId="0" applyFont="1" applyFill="1" applyBorder="1" applyAlignment="1">
      <alignment horizontal="center" vertical="top"/>
    </xf>
    <xf numFmtId="0" fontId="6" fillId="9" borderId="0" xfId="0" applyFont="1" applyFill="1" applyBorder="1" applyAlignment="1">
      <alignment horizontal="left"/>
    </xf>
    <xf numFmtId="0" fontId="6" fillId="9" borderId="0" xfId="0" applyFont="1" applyFill="1" applyBorder="1" applyAlignment="1">
      <alignment horizontal="center"/>
    </xf>
    <xf numFmtId="0" fontId="6" fillId="9" borderId="0" xfId="0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left" vertical="top"/>
    </xf>
    <xf numFmtId="0" fontId="6" fillId="9" borderId="0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center"/>
    </xf>
    <xf numFmtId="0" fontId="14" fillId="0" borderId="35" xfId="0" applyFont="1" applyFill="1" applyBorder="1" applyAlignment="1">
      <alignment horizontal="center" vertical="top" wrapText="1"/>
    </xf>
    <xf numFmtId="0" fontId="14" fillId="0" borderId="23" xfId="0" applyFont="1" applyFill="1" applyBorder="1" applyAlignment="1">
      <alignment horizontal="center" vertical="top" wrapText="1"/>
    </xf>
    <xf numFmtId="0" fontId="5" fillId="0" borderId="24" xfId="0" applyFont="1" applyFill="1" applyBorder="1" applyAlignment="1">
      <alignment horizontal="left" vertical="top" wrapText="1"/>
    </xf>
    <xf numFmtId="0" fontId="5" fillId="0" borderId="77" xfId="0" applyFont="1" applyFill="1" applyBorder="1" applyAlignment="1">
      <alignment horizontal="left" vertical="top" wrapText="1"/>
    </xf>
    <xf numFmtId="0" fontId="36" fillId="0" borderId="42" xfId="0" applyFont="1" applyFill="1" applyBorder="1" applyAlignment="1">
      <alignment horizontal="center" vertical="top" wrapText="1"/>
    </xf>
    <xf numFmtId="0" fontId="36" fillId="0" borderId="92" xfId="0" applyFont="1" applyFill="1" applyBorder="1" applyAlignment="1">
      <alignment horizontal="center" vertical="top" wrapText="1"/>
    </xf>
    <xf numFmtId="0" fontId="5" fillId="0" borderId="38" xfId="0" applyFont="1" applyFill="1" applyBorder="1" applyAlignment="1">
      <alignment horizontal="center" vertical="top" wrapText="1"/>
    </xf>
    <xf numFmtId="0" fontId="36" fillId="0" borderId="14" xfId="0" applyFont="1" applyFill="1" applyBorder="1" applyAlignment="1">
      <alignment horizontal="center" vertical="top" wrapText="1"/>
    </xf>
    <xf numFmtId="0" fontId="5" fillId="0" borderId="25" xfId="0" applyFont="1" applyBorder="1"/>
    <xf numFmtId="0" fontId="6" fillId="9" borderId="0" xfId="0" applyFont="1" applyFill="1" applyAlignment="1"/>
    <xf numFmtId="41" fontId="6" fillId="9" borderId="0" xfId="1" applyFont="1" applyFill="1"/>
    <xf numFmtId="0" fontId="5" fillId="9" borderId="0" xfId="0" applyFont="1" applyFill="1" applyAlignment="1"/>
    <xf numFmtId="41" fontId="5" fillId="9" borderId="0" xfId="1" applyFont="1" applyFill="1"/>
    <xf numFmtId="168" fontId="18" fillId="0" borderId="9" xfId="0" applyNumberFormat="1" applyFont="1" applyFill="1" applyBorder="1" applyAlignment="1">
      <alignment horizontal="center" vertical="top" wrapText="1"/>
    </xf>
    <xf numFmtId="2" fontId="18" fillId="0" borderId="17" xfId="0" applyNumberFormat="1" applyFont="1" applyFill="1" applyBorder="1" applyAlignment="1">
      <alignment horizontal="center" vertical="top" wrapText="1"/>
    </xf>
    <xf numFmtId="0" fontId="14" fillId="0" borderId="25" xfId="0" applyFont="1" applyFill="1" applyBorder="1" applyAlignment="1">
      <alignment vertical="top" wrapText="1"/>
    </xf>
    <xf numFmtId="0" fontId="14" fillId="0" borderId="9" xfId="0" applyFont="1" applyFill="1" applyBorder="1" applyAlignment="1">
      <alignment vertical="top" wrapText="1"/>
    </xf>
    <xf numFmtId="0" fontId="14" fillId="0" borderId="17" xfId="0" applyFont="1" applyFill="1" applyBorder="1" applyAlignment="1">
      <alignment vertical="top" wrapText="1"/>
    </xf>
    <xf numFmtId="165" fontId="18" fillId="0" borderId="9" xfId="0" applyNumberFormat="1" applyFont="1" applyFill="1" applyBorder="1" applyAlignment="1">
      <alignment horizontal="center" vertical="top" wrapText="1"/>
    </xf>
    <xf numFmtId="165" fontId="18" fillId="0" borderId="17" xfId="0" applyNumberFormat="1" applyFont="1" applyFill="1" applyBorder="1" applyAlignment="1">
      <alignment horizontal="center" vertical="top" wrapText="1"/>
    </xf>
    <xf numFmtId="0" fontId="14" fillId="0" borderId="0" xfId="0" applyFont="1" applyFill="1" applyBorder="1" applyAlignment="1">
      <alignment horizontal="center" vertical="top" wrapText="1"/>
    </xf>
    <xf numFmtId="0" fontId="35" fillId="0" borderId="0" xfId="0" applyFont="1" applyFill="1" applyBorder="1" applyAlignment="1">
      <alignment horizontal="left" vertical="top"/>
    </xf>
    <xf numFmtId="3" fontId="18" fillId="0" borderId="9" xfId="0" applyNumberFormat="1" applyFont="1" applyFill="1" applyBorder="1" applyAlignment="1">
      <alignment horizontal="center" vertical="top" wrapText="1"/>
    </xf>
    <xf numFmtId="1" fontId="18" fillId="0" borderId="17" xfId="0" applyNumberFormat="1" applyFont="1" applyFill="1" applyBorder="1" applyAlignment="1">
      <alignment horizontal="center" vertical="top" wrapText="1"/>
    </xf>
    <xf numFmtId="0" fontId="36" fillId="0" borderId="0" xfId="0" applyFont="1" applyFill="1" applyBorder="1" applyAlignment="1">
      <alignment horizontal="left" vertical="top"/>
    </xf>
    <xf numFmtId="0" fontId="36" fillId="10" borderId="0" xfId="0" applyFont="1" applyFill="1" applyBorder="1" applyAlignment="1">
      <alignment horizontal="left" vertical="top"/>
    </xf>
    <xf numFmtId="0" fontId="5" fillId="0" borderId="53" xfId="0" applyFont="1" applyFill="1" applyBorder="1" applyAlignment="1">
      <alignment horizontal="center" vertical="top" wrapText="1"/>
    </xf>
    <xf numFmtId="0" fontId="5" fillId="0" borderId="53" xfId="0" applyFont="1" applyFill="1" applyBorder="1" applyAlignment="1">
      <alignment horizontal="left" vertical="top" wrapText="1"/>
    </xf>
    <xf numFmtId="0" fontId="5" fillId="0" borderId="76" xfId="0" applyFont="1" applyFill="1" applyBorder="1" applyAlignment="1">
      <alignment horizontal="left" vertical="top" wrapText="1"/>
    </xf>
    <xf numFmtId="0" fontId="5" fillId="0" borderId="52" xfId="0" applyFont="1" applyFill="1" applyBorder="1" applyAlignment="1">
      <alignment horizontal="center" vertical="top" wrapText="1"/>
    </xf>
    <xf numFmtId="0" fontId="36" fillId="0" borderId="88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48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22" xfId="0" applyFont="1" applyFill="1" applyBorder="1" applyAlignment="1">
      <alignment horizontal="center" vertical="center" wrapText="1"/>
    </xf>
    <xf numFmtId="0" fontId="5" fillId="0" borderId="34" xfId="0" applyFont="1" applyFill="1" applyBorder="1" applyAlignment="1">
      <alignment horizontal="center" vertical="center" wrapText="1"/>
    </xf>
    <xf numFmtId="0" fontId="5" fillId="0" borderId="76" xfId="0" applyFont="1" applyFill="1" applyBorder="1" applyAlignment="1">
      <alignment horizontal="center" vertical="center" wrapText="1"/>
    </xf>
    <xf numFmtId="0" fontId="5" fillId="0" borderId="55" xfId="0" applyFont="1" applyFill="1" applyBorder="1" applyAlignment="1">
      <alignment horizontal="center" vertical="center" wrapText="1"/>
    </xf>
    <xf numFmtId="0" fontId="5" fillId="0" borderId="64" xfId="0" applyFont="1" applyFill="1" applyBorder="1" applyAlignment="1">
      <alignment horizontal="center" vertical="center" wrapText="1"/>
    </xf>
    <xf numFmtId="0" fontId="14" fillId="0" borderId="82" xfId="0" applyFont="1" applyFill="1" applyBorder="1" applyAlignment="1">
      <alignment horizontal="center" vertical="top" wrapText="1"/>
    </xf>
    <xf numFmtId="0" fontId="14" fillId="0" borderId="102" xfId="0" applyFont="1" applyFill="1" applyBorder="1" applyAlignment="1">
      <alignment horizontal="center" vertical="top" wrapText="1"/>
    </xf>
    <xf numFmtId="0" fontId="40" fillId="9" borderId="0" xfId="0" applyFont="1" applyFill="1" applyBorder="1" applyAlignment="1">
      <alignment horizontal="center" vertical="top"/>
    </xf>
    <xf numFmtId="0" fontId="40" fillId="9" borderId="0" xfId="0" applyFont="1" applyFill="1" applyBorder="1" applyAlignment="1">
      <alignment horizontal="left" vertical="top"/>
    </xf>
    <xf numFmtId="0" fontId="6" fillId="10" borderId="0" xfId="0" applyFont="1" applyFill="1" applyBorder="1" applyAlignment="1">
      <alignment horizontal="center" vertical="top"/>
    </xf>
    <xf numFmtId="0" fontId="6" fillId="10" borderId="0" xfId="0" applyFont="1" applyFill="1" applyBorder="1" applyAlignment="1">
      <alignment horizontal="left" vertical="top"/>
    </xf>
    <xf numFmtId="0" fontId="40" fillId="9" borderId="0" xfId="0" applyFont="1" applyFill="1" applyBorder="1" applyAlignment="1">
      <alignment horizontal="center" vertical="center"/>
    </xf>
    <xf numFmtId="0" fontId="18" fillId="9" borderId="0" xfId="0" applyFont="1" applyFill="1" applyBorder="1" applyAlignment="1">
      <alignment horizontal="center" vertical="center"/>
    </xf>
    <xf numFmtId="0" fontId="18" fillId="9" borderId="0" xfId="0" applyFont="1" applyFill="1" applyBorder="1" applyAlignment="1">
      <alignment horizontal="left" vertical="center"/>
    </xf>
    <xf numFmtId="4" fontId="6" fillId="9" borderId="0" xfId="0" applyNumberFormat="1" applyFont="1" applyFill="1" applyAlignment="1">
      <alignment horizontal="left"/>
    </xf>
    <xf numFmtId="0" fontId="14" fillId="0" borderId="9" xfId="0" applyFont="1" applyFill="1" applyBorder="1" applyAlignment="1">
      <alignment horizontal="left" vertical="top" wrapText="1" indent="1"/>
    </xf>
    <xf numFmtId="0" fontId="14" fillId="0" borderId="17" xfId="0" applyFont="1" applyFill="1" applyBorder="1" applyAlignment="1">
      <alignment horizontal="left" vertical="top" wrapText="1" indent="1"/>
    </xf>
    <xf numFmtId="1" fontId="18" fillId="0" borderId="9" xfId="0" applyNumberFormat="1" applyFont="1" applyFill="1" applyBorder="1" applyAlignment="1">
      <alignment horizontal="center" vertical="top" wrapText="1"/>
    </xf>
    <xf numFmtId="0" fontId="14" fillId="0" borderId="25" xfId="0" applyFont="1" applyFill="1" applyBorder="1" applyAlignment="1">
      <alignment horizontal="left" vertical="top" wrapText="1" indent="1"/>
    </xf>
    <xf numFmtId="0" fontId="39" fillId="0" borderId="0" xfId="0" applyFont="1" applyFill="1" applyBorder="1" applyAlignment="1">
      <alignment horizontal="left" vertical="top"/>
    </xf>
    <xf numFmtId="0" fontId="14" fillId="0" borderId="39" xfId="0" applyFont="1" applyFill="1" applyBorder="1" applyAlignment="1">
      <alignment horizontal="center" vertical="top" wrapText="1"/>
    </xf>
    <xf numFmtId="0" fontId="14" fillId="0" borderId="27" xfId="0" applyFont="1" applyFill="1" applyBorder="1" applyAlignment="1">
      <alignment horizontal="center" vertical="top" wrapText="1"/>
    </xf>
    <xf numFmtId="0" fontId="14" fillId="0" borderId="39" xfId="0" applyFont="1" applyFill="1" applyBorder="1" applyAlignment="1">
      <alignment horizontal="left" vertical="top" wrapText="1"/>
    </xf>
    <xf numFmtId="0" fontId="14" fillId="0" borderId="27" xfId="0" applyFont="1" applyFill="1" applyBorder="1" applyAlignment="1">
      <alignment horizontal="left" vertical="top" wrapText="1"/>
    </xf>
    <xf numFmtId="0" fontId="14" fillId="0" borderId="25" xfId="0" applyFont="1" applyFill="1" applyBorder="1" applyAlignment="1">
      <alignment horizontal="left" vertical="top" wrapText="1" indent="2"/>
    </xf>
    <xf numFmtId="0" fontId="14" fillId="0" borderId="9" xfId="0" applyFont="1" applyFill="1" applyBorder="1" applyAlignment="1">
      <alignment horizontal="left" vertical="top" wrapText="1" indent="2"/>
    </xf>
    <xf numFmtId="0" fontId="14" fillId="0" borderId="17" xfId="0" applyFont="1" applyFill="1" applyBorder="1" applyAlignment="1">
      <alignment horizontal="left" vertical="top" wrapText="1" indent="2"/>
    </xf>
    <xf numFmtId="166" fontId="18" fillId="0" borderId="39" xfId="0" applyNumberFormat="1" applyFont="1" applyFill="1" applyBorder="1" applyAlignment="1">
      <alignment horizontal="center" vertical="top" wrapText="1"/>
    </xf>
    <xf numFmtId="166" fontId="18" fillId="0" borderId="27" xfId="0" applyNumberFormat="1" applyFont="1" applyFill="1" applyBorder="1" applyAlignment="1">
      <alignment horizontal="center" vertical="top" wrapText="1"/>
    </xf>
    <xf numFmtId="0" fontId="14" fillId="0" borderId="9" xfId="0" applyFont="1" applyFill="1" applyBorder="1" applyAlignment="1">
      <alignment vertical="center" wrapText="1"/>
    </xf>
    <xf numFmtId="0" fontId="14" fillId="0" borderId="17" xfId="0" applyFont="1" applyFill="1" applyBorder="1" applyAlignment="1">
      <alignment vertical="center" wrapText="1"/>
    </xf>
    <xf numFmtId="0" fontId="14" fillId="0" borderId="45" xfId="0" applyFont="1" applyFill="1" applyBorder="1" applyAlignment="1">
      <alignment vertical="center" wrapText="1"/>
    </xf>
    <xf numFmtId="0" fontId="14" fillId="0" borderId="39" xfId="0" applyFont="1" applyFill="1" applyBorder="1" applyAlignment="1">
      <alignment vertical="center" wrapText="1"/>
    </xf>
    <xf numFmtId="0" fontId="14" fillId="0" borderId="27" xfId="0" applyFont="1" applyFill="1" applyBorder="1" applyAlignment="1">
      <alignment vertical="center" wrapText="1"/>
    </xf>
    <xf numFmtId="1" fontId="18" fillId="0" borderId="17" xfId="0" applyNumberFormat="1" applyFont="1" applyFill="1" applyBorder="1" applyAlignment="1">
      <alignment horizontal="center" vertical="center" wrapText="1"/>
    </xf>
    <xf numFmtId="0" fontId="5" fillId="0" borderId="27" xfId="0" applyFont="1" applyFill="1" applyBorder="1" applyAlignment="1">
      <alignment vertical="center" wrapText="1"/>
    </xf>
    <xf numFmtId="0" fontId="36" fillId="0" borderId="90" xfId="0" applyFont="1" applyFill="1" applyBorder="1" applyAlignment="1">
      <alignment vertical="center" wrapText="1"/>
    </xf>
    <xf numFmtId="0" fontId="5" fillId="0" borderId="39" xfId="0" applyFont="1" applyFill="1" applyBorder="1" applyAlignment="1">
      <alignment horizontal="left" vertical="top" wrapText="1"/>
    </xf>
    <xf numFmtId="0" fontId="14" fillId="0" borderId="103" xfId="0" applyFont="1" applyFill="1" applyBorder="1" applyAlignment="1">
      <alignment horizontal="center" vertical="top" wrapText="1"/>
    </xf>
    <xf numFmtId="0" fontId="5" fillId="0" borderId="71" xfId="0" applyFont="1" applyFill="1" applyBorder="1" applyAlignment="1">
      <alignment horizontal="left" vertical="top" wrapText="1"/>
    </xf>
    <xf numFmtId="0" fontId="5" fillId="0" borderId="35" xfId="0" applyFont="1" applyFill="1" applyBorder="1" applyAlignment="1">
      <alignment horizontal="center" vertical="top" wrapText="1"/>
    </xf>
    <xf numFmtId="164" fontId="5" fillId="0" borderId="0" xfId="1" applyNumberFormat="1" applyFont="1" applyAlignment="1">
      <alignment horizontal="center" vertical="center"/>
    </xf>
    <xf numFmtId="0" fontId="5" fillId="0" borderId="39" xfId="0" applyFont="1" applyFill="1" applyBorder="1" applyAlignment="1">
      <alignment horizontal="center" vertical="top" wrapText="1"/>
    </xf>
    <xf numFmtId="165" fontId="18" fillId="0" borderId="9" xfId="0" applyNumberFormat="1" applyFont="1" applyFill="1" applyBorder="1" applyAlignment="1">
      <alignment horizontal="center" vertical="center" wrapText="1"/>
    </xf>
    <xf numFmtId="0" fontId="8" fillId="9" borderId="0" xfId="0" applyFont="1" applyFill="1" applyBorder="1" applyAlignment="1">
      <alignment horizontal="left" vertical="top"/>
    </xf>
    <xf numFmtId="0" fontId="43" fillId="9" borderId="0" xfId="0" applyFont="1" applyFill="1" applyBorder="1" applyAlignment="1">
      <alignment horizontal="left" vertical="top"/>
    </xf>
    <xf numFmtId="0" fontId="40" fillId="9" borderId="0" xfId="0" applyFont="1" applyFill="1" applyBorder="1" applyAlignment="1">
      <alignment horizontal="left" vertical="top" wrapText="1"/>
    </xf>
    <xf numFmtId="164" fontId="6" fillId="9" borderId="0" xfId="1" applyNumberFormat="1" applyFont="1" applyFill="1" applyAlignment="1">
      <alignment horizontal="center" vertical="center"/>
    </xf>
    <xf numFmtId="41" fontId="5" fillId="9" borderId="0" xfId="1" applyFont="1" applyFill="1" applyAlignment="1">
      <alignment horizontal="center"/>
    </xf>
    <xf numFmtId="41" fontId="6" fillId="9" borderId="0" xfId="1" applyFont="1" applyFill="1" applyAlignment="1">
      <alignment horizontal="center"/>
    </xf>
    <xf numFmtId="0" fontId="18" fillId="0" borderId="0" xfId="7" applyFont="1" applyFill="1" applyBorder="1" applyAlignment="1">
      <alignment horizontal="center" vertical="center"/>
    </xf>
    <xf numFmtId="0" fontId="14" fillId="0" borderId="10" xfId="7" applyFont="1" applyFill="1" applyBorder="1" applyAlignment="1">
      <alignment horizontal="center" vertical="top" wrapText="1"/>
    </xf>
    <xf numFmtId="0" fontId="36" fillId="0" borderId="88" xfId="7" applyFont="1" applyFill="1" applyBorder="1" applyAlignment="1">
      <alignment horizontal="center" vertical="top" wrapText="1"/>
    </xf>
    <xf numFmtId="0" fontId="36" fillId="0" borderId="89" xfId="7" applyFont="1" applyFill="1" applyBorder="1" applyAlignment="1">
      <alignment horizontal="center" vertical="top" wrapText="1"/>
    </xf>
    <xf numFmtId="0" fontId="36" fillId="0" borderId="88" xfId="7" applyFont="1" applyFill="1" applyBorder="1" applyAlignment="1">
      <alignment horizontal="center" vertical="center" wrapText="1"/>
    </xf>
    <xf numFmtId="0" fontId="36" fillId="0" borderId="89" xfId="7" applyFont="1" applyFill="1" applyBorder="1" applyAlignment="1">
      <alignment horizontal="center" vertical="center" wrapText="1"/>
    </xf>
    <xf numFmtId="0" fontId="36" fillId="0" borderId="90" xfId="7" applyFont="1" applyFill="1" applyBorder="1" applyAlignment="1">
      <alignment horizontal="center" vertical="center" wrapText="1"/>
    </xf>
    <xf numFmtId="0" fontId="36" fillId="0" borderId="92" xfId="7" applyFont="1" applyFill="1" applyBorder="1" applyAlignment="1">
      <alignment horizontal="center" vertical="center" wrapText="1"/>
    </xf>
    <xf numFmtId="0" fontId="36" fillId="0" borderId="89" xfId="7" applyFont="1" applyFill="1" applyBorder="1" applyAlignment="1">
      <alignment horizontal="left" vertical="center" wrapText="1"/>
    </xf>
    <xf numFmtId="0" fontId="36" fillId="0" borderId="91" xfId="7" applyFont="1" applyFill="1" applyBorder="1" applyAlignment="1">
      <alignment horizontal="center" vertical="center" wrapText="1"/>
    </xf>
    <xf numFmtId="0" fontId="36" fillId="0" borderId="89" xfId="7" applyFont="1" applyFill="1" applyBorder="1" applyAlignment="1">
      <alignment horizontal="left" vertical="top" wrapText="1" indent="1"/>
    </xf>
    <xf numFmtId="0" fontId="36" fillId="0" borderId="91" xfId="7" applyFont="1" applyFill="1" applyBorder="1" applyAlignment="1">
      <alignment horizontal="center" vertical="top" wrapText="1"/>
    </xf>
    <xf numFmtId="0" fontId="18" fillId="0" borderId="39" xfId="7" applyFont="1" applyFill="1" applyBorder="1" applyAlignment="1">
      <alignment horizontal="left" vertical="top" wrapText="1"/>
    </xf>
    <xf numFmtId="0" fontId="36" fillId="0" borderId="42" xfId="7" applyFont="1" applyFill="1" applyBorder="1" applyAlignment="1">
      <alignment horizontal="center" vertical="center" wrapText="1"/>
    </xf>
    <xf numFmtId="0" fontId="36" fillId="0" borderId="101" xfId="7" applyFont="1" applyFill="1" applyBorder="1" applyAlignment="1">
      <alignment horizontal="center" vertical="center" wrapText="1"/>
    </xf>
    <xf numFmtId="0" fontId="18" fillId="0" borderId="25" xfId="7" applyFont="1" applyFill="1" applyBorder="1" applyAlignment="1">
      <alignment horizontal="center" vertical="top" wrapText="1"/>
    </xf>
    <xf numFmtId="0" fontId="18" fillId="0" borderId="16" xfId="7" applyFont="1" applyFill="1" applyBorder="1" applyAlignment="1">
      <alignment horizontal="center" vertical="top" wrapText="1"/>
    </xf>
    <xf numFmtId="0" fontId="18" fillId="0" borderId="54" xfId="7" applyFont="1" applyFill="1" applyBorder="1" applyAlignment="1">
      <alignment horizontal="center" vertical="top" wrapText="1"/>
    </xf>
    <xf numFmtId="0" fontId="36" fillId="0" borderId="95" xfId="7" applyFont="1" applyFill="1" applyBorder="1" applyAlignment="1">
      <alignment horizontal="center" vertical="top" wrapText="1"/>
    </xf>
    <xf numFmtId="166" fontId="18" fillId="0" borderId="97" xfId="7" applyNumberFormat="1" applyFont="1" applyFill="1" applyBorder="1" applyAlignment="1">
      <alignment horizontal="center" vertical="top" wrapText="1"/>
    </xf>
    <xf numFmtId="166" fontId="18" fillId="0" borderId="99" xfId="7" applyNumberFormat="1" applyFont="1" applyFill="1" applyBorder="1" applyAlignment="1">
      <alignment horizontal="center" vertical="top" wrapText="1"/>
    </xf>
    <xf numFmtId="0" fontId="35" fillId="0" borderId="80" xfId="7" applyFont="1" applyFill="1" applyBorder="1" applyAlignment="1">
      <alignment horizontal="center" vertical="top" wrapText="1"/>
    </xf>
    <xf numFmtId="0" fontId="36" fillId="0" borderId="90" xfId="7" applyFont="1" applyFill="1" applyBorder="1" applyAlignment="1">
      <alignment horizontal="left" vertical="center" wrapText="1"/>
    </xf>
    <xf numFmtId="0" fontId="18" fillId="0" borderId="26" xfId="7" applyFont="1" applyFill="1" applyBorder="1" applyAlignment="1">
      <alignment vertical="top" wrapText="1"/>
    </xf>
    <xf numFmtId="0" fontId="14" fillId="0" borderId="90" xfId="7" applyFont="1" applyFill="1" applyBorder="1" applyAlignment="1">
      <alignment horizontal="center" vertical="center" wrapText="1"/>
    </xf>
    <xf numFmtId="0" fontId="14" fillId="0" borderId="91" xfId="7" applyFont="1" applyFill="1" applyBorder="1" applyAlignment="1">
      <alignment horizontal="center" vertical="center" wrapText="1"/>
    </xf>
    <xf numFmtId="0" fontId="18" fillId="0" borderId="10" xfId="7" applyFont="1" applyFill="1" applyBorder="1" applyAlignment="1">
      <alignment vertical="top" wrapText="1"/>
    </xf>
    <xf numFmtId="0" fontId="18" fillId="0" borderId="21" xfId="7" applyFont="1" applyFill="1" applyBorder="1" applyAlignment="1">
      <alignment vertical="top" wrapText="1"/>
    </xf>
    <xf numFmtId="0" fontId="14" fillId="0" borderId="34" xfId="7" applyFont="1" applyFill="1" applyBorder="1" applyAlignment="1">
      <alignment vertical="top" wrapText="1"/>
    </xf>
    <xf numFmtId="0" fontId="14" fillId="0" borderId="76" xfId="7" applyFont="1" applyFill="1" applyBorder="1" applyAlignment="1">
      <alignment vertical="top" wrapText="1"/>
    </xf>
    <xf numFmtId="0" fontId="14" fillId="0" borderId="77" xfId="7" applyFont="1" applyFill="1" applyBorder="1" applyAlignment="1">
      <alignment vertical="top" wrapText="1"/>
    </xf>
    <xf numFmtId="0" fontId="14" fillId="0" borderId="104" xfId="7" applyFont="1" applyFill="1" applyBorder="1" applyAlignment="1">
      <alignment vertical="top" wrapText="1"/>
    </xf>
    <xf numFmtId="0" fontId="14" fillId="0" borderId="100" xfId="7" applyFont="1" applyFill="1" applyBorder="1" applyAlignment="1">
      <alignment horizontal="center" vertical="top" wrapText="1"/>
    </xf>
    <xf numFmtId="0" fontId="14" fillId="0" borderId="100" xfId="7" applyFont="1" applyFill="1" applyBorder="1" applyAlignment="1">
      <alignment vertical="top" wrapText="1"/>
    </xf>
    <xf numFmtId="0" fontId="14" fillId="0" borderId="24" xfId="7" applyFont="1" applyFill="1" applyBorder="1" applyAlignment="1">
      <alignment vertical="top" wrapText="1"/>
    </xf>
    <xf numFmtId="0" fontId="36" fillId="0" borderId="90" xfId="7" applyFont="1" applyFill="1" applyBorder="1" applyAlignment="1">
      <alignment horizontal="left" vertical="top" wrapText="1" indent="2"/>
    </xf>
    <xf numFmtId="0" fontId="14" fillId="0" borderId="21" xfId="7" applyFont="1" applyFill="1" applyBorder="1" applyAlignment="1">
      <alignment horizontal="center" vertical="top" wrapText="1"/>
    </xf>
    <xf numFmtId="0" fontId="36" fillId="0" borderId="90" xfId="7" applyFont="1" applyFill="1" applyBorder="1" applyAlignment="1">
      <alignment vertical="center" wrapText="1"/>
    </xf>
    <xf numFmtId="0" fontId="18" fillId="0" borderId="11" xfId="7" applyFont="1" applyFill="1" applyBorder="1" applyAlignment="1">
      <alignment vertical="top" wrapText="1"/>
    </xf>
    <xf numFmtId="0" fontId="18" fillId="0" borderId="22" xfId="7" applyFont="1" applyFill="1" applyBorder="1" applyAlignment="1">
      <alignment vertical="top" wrapText="1"/>
    </xf>
    <xf numFmtId="0" fontId="18" fillId="0" borderId="34" xfId="7" applyFont="1" applyFill="1" applyBorder="1" applyAlignment="1">
      <alignment vertical="top" wrapText="1"/>
    </xf>
    <xf numFmtId="0" fontId="14" fillId="0" borderId="82" xfId="7" applyFont="1" applyFill="1" applyBorder="1" applyAlignment="1">
      <alignment horizontal="center" vertical="top" wrapText="1"/>
    </xf>
    <xf numFmtId="0" fontId="14" fillId="0" borderId="102" xfId="7" applyFont="1" applyFill="1" applyBorder="1" applyAlignment="1">
      <alignment horizontal="center" vertical="top" wrapText="1"/>
    </xf>
    <xf numFmtId="0" fontId="40" fillId="9" borderId="0" xfId="7" applyFont="1" applyFill="1" applyBorder="1" applyAlignment="1">
      <alignment horizontal="center" vertical="center"/>
    </xf>
    <xf numFmtId="0" fontId="40" fillId="9" borderId="0" xfId="7" applyFont="1" applyFill="1" applyBorder="1" applyAlignment="1">
      <alignment horizontal="left" vertical="top"/>
    </xf>
    <xf numFmtId="0" fontId="40" fillId="9" borderId="0" xfId="7" applyFont="1" applyFill="1" applyBorder="1" applyAlignment="1">
      <alignment horizontal="center" vertical="top"/>
    </xf>
    <xf numFmtId="0" fontId="45" fillId="9" borderId="0" xfId="7" applyFont="1" applyFill="1" applyBorder="1" applyAlignment="1">
      <alignment horizontal="left" vertical="top"/>
    </xf>
    <xf numFmtId="0" fontId="36" fillId="9" borderId="0" xfId="7" applyFont="1" applyFill="1" applyBorder="1" applyAlignment="1">
      <alignment horizontal="left" vertical="center"/>
    </xf>
    <xf numFmtId="0" fontId="40" fillId="9" borderId="0" xfId="7" applyFont="1" applyFill="1" applyBorder="1" applyAlignment="1">
      <alignment horizontal="left" vertical="center"/>
    </xf>
    <xf numFmtId="0" fontId="40" fillId="9" borderId="0" xfId="7" applyFont="1" applyFill="1" applyBorder="1" applyAlignment="1">
      <alignment horizontal="center"/>
    </xf>
    <xf numFmtId="0" fontId="14" fillId="0" borderId="46" xfId="0" applyFont="1" applyFill="1" applyBorder="1" applyAlignment="1">
      <alignment horizontal="left" vertical="center" wrapText="1"/>
    </xf>
    <xf numFmtId="0" fontId="14" fillId="0" borderId="26" xfId="0" applyFont="1" applyFill="1" applyBorder="1" applyAlignment="1">
      <alignment horizontal="left" vertical="center" wrapText="1"/>
    </xf>
    <xf numFmtId="0" fontId="14" fillId="0" borderId="33" xfId="0" applyFont="1" applyFill="1" applyBorder="1" applyAlignment="1">
      <alignment horizontal="center" vertical="top" wrapText="1"/>
    </xf>
    <xf numFmtId="0" fontId="5" fillId="0" borderId="67" xfId="0" applyFont="1" applyFill="1" applyBorder="1" applyAlignment="1">
      <alignment horizontal="center" vertical="top" wrapText="1"/>
    </xf>
    <xf numFmtId="0" fontId="5" fillId="0" borderId="48" xfId="0" applyFont="1" applyFill="1" applyBorder="1" applyAlignment="1">
      <alignment horizontal="left" vertical="top"/>
    </xf>
    <xf numFmtId="0" fontId="6" fillId="9" borderId="0" xfId="0" applyFont="1" applyFill="1" applyBorder="1" applyAlignment="1">
      <alignment vertical="top"/>
    </xf>
    <xf numFmtId="0" fontId="6" fillId="10" borderId="0" xfId="0" applyFont="1" applyFill="1" applyBorder="1" applyAlignment="1">
      <alignment horizontal="center"/>
    </xf>
    <xf numFmtId="0" fontId="36" fillId="9" borderId="0" xfId="0" applyFont="1" applyFill="1" applyBorder="1" applyAlignment="1">
      <alignment vertical="top"/>
    </xf>
    <xf numFmtId="0" fontId="14" fillId="0" borderId="0" xfId="0" applyFont="1" applyFill="1" applyBorder="1" applyAlignment="1">
      <alignment horizontal="left" vertical="top" wrapText="1"/>
    </xf>
    <xf numFmtId="0" fontId="14" fillId="0" borderId="0" xfId="0" applyFont="1" applyFill="1" applyBorder="1" applyAlignment="1">
      <alignment horizontal="center" vertical="top" wrapText="1"/>
    </xf>
    <xf numFmtId="0" fontId="5" fillId="0" borderId="32" xfId="0" applyFont="1" applyFill="1" applyBorder="1" applyAlignment="1">
      <alignment horizontal="left" vertical="center" wrapText="1"/>
    </xf>
    <xf numFmtId="2" fontId="18" fillId="0" borderId="9" xfId="0" applyNumberFormat="1" applyFont="1" applyFill="1" applyBorder="1" applyAlignment="1">
      <alignment horizontal="center" vertical="top" wrapText="1"/>
    </xf>
    <xf numFmtId="0" fontId="5" fillId="0" borderId="25" xfId="0" applyFont="1" applyFill="1" applyBorder="1" applyAlignment="1">
      <alignment horizontal="left" vertical="top"/>
    </xf>
    <xf numFmtId="0" fontId="5" fillId="0" borderId="45" xfId="0" applyFont="1" applyFill="1" applyBorder="1" applyAlignment="1">
      <alignment horizontal="left" vertical="top" wrapText="1"/>
    </xf>
    <xf numFmtId="0" fontId="5" fillId="0" borderId="27" xfId="0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left" vertical="top" wrapText="1"/>
    </xf>
    <xf numFmtId="0" fontId="5" fillId="0" borderId="21" xfId="0" applyFont="1" applyFill="1" applyBorder="1" applyAlignment="1">
      <alignment horizontal="left" vertical="top" wrapText="1"/>
    </xf>
    <xf numFmtId="0" fontId="5" fillId="0" borderId="38" xfId="0" applyFont="1" applyFill="1" applyBorder="1" applyAlignment="1">
      <alignment horizontal="left" vertical="top" wrapText="1"/>
    </xf>
    <xf numFmtId="0" fontId="5" fillId="0" borderId="52" xfId="0" applyFont="1" applyFill="1" applyBorder="1" applyAlignment="1">
      <alignment horizontal="left" vertical="top" wrapText="1"/>
    </xf>
    <xf numFmtId="0" fontId="5" fillId="0" borderId="33" xfId="0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left" vertical="center" wrapText="1"/>
    </xf>
    <xf numFmtId="0" fontId="5" fillId="0" borderId="21" xfId="0" applyFont="1" applyFill="1" applyBorder="1" applyAlignment="1">
      <alignment horizontal="left" vertical="center" wrapText="1"/>
    </xf>
    <xf numFmtId="0" fontId="5" fillId="0" borderId="38" xfId="0" applyFont="1" applyFill="1" applyBorder="1" applyAlignment="1">
      <alignment horizontal="left" vertical="center" wrapText="1"/>
    </xf>
    <xf numFmtId="0" fontId="35" fillId="0" borderId="9" xfId="0" applyFont="1" applyFill="1" applyBorder="1" applyAlignment="1">
      <alignment horizontal="left" vertical="top" wrapText="1"/>
    </xf>
    <xf numFmtId="0" fontId="5" fillId="0" borderId="33" xfId="0" applyFont="1" applyFill="1" applyBorder="1" applyAlignment="1">
      <alignment horizontal="left" vertical="center" wrapText="1"/>
    </xf>
    <xf numFmtId="0" fontId="35" fillId="0" borderId="9" xfId="0" applyFont="1" applyFill="1" applyBorder="1" applyAlignment="1">
      <alignment horizontal="left" vertical="center" wrapText="1"/>
    </xf>
    <xf numFmtId="0" fontId="35" fillId="0" borderId="17" xfId="0" applyFont="1" applyFill="1" applyBorder="1" applyAlignment="1">
      <alignment horizontal="left" vertical="center" wrapText="1"/>
    </xf>
    <xf numFmtId="0" fontId="36" fillId="10" borderId="0" xfId="0" applyFont="1" applyFill="1" applyBorder="1" applyAlignment="1">
      <alignment horizontal="left"/>
    </xf>
    <xf numFmtId="0" fontId="6" fillId="1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35" fillId="0" borderId="0" xfId="0" applyFont="1" applyFill="1" applyBorder="1" applyAlignment="1">
      <alignment horizontal="left" vertical="top" wrapText="1"/>
    </xf>
    <xf numFmtId="0" fontId="36" fillId="0" borderId="89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right" vertical="center"/>
    </xf>
    <xf numFmtId="0" fontId="6" fillId="9" borderId="0" xfId="0" applyFont="1" applyFill="1" applyBorder="1" applyAlignment="1"/>
    <xf numFmtId="0" fontId="36" fillId="9" borderId="0" xfId="0" applyFont="1" applyFill="1" applyBorder="1" applyAlignment="1"/>
    <xf numFmtId="164" fontId="5" fillId="9" borderId="0" xfId="1" applyNumberFormat="1" applyFont="1" applyFill="1" applyAlignment="1"/>
    <xf numFmtId="41" fontId="5" fillId="9" borderId="0" xfId="1" applyFont="1" applyFill="1" applyAlignment="1"/>
    <xf numFmtId="0" fontId="10" fillId="0" borderId="16" xfId="0" applyFont="1" applyBorder="1" applyAlignment="1">
      <alignment horizontal="left" vertical="center" wrapText="1"/>
    </xf>
    <xf numFmtId="0" fontId="5" fillId="0" borderId="33" xfId="0" applyFont="1" applyFill="1" applyBorder="1" applyAlignment="1">
      <alignment horizontal="center" vertical="top" wrapText="1"/>
    </xf>
    <xf numFmtId="0" fontId="5" fillId="0" borderId="32" xfId="0" applyFont="1" applyFill="1" applyBorder="1" applyAlignment="1">
      <alignment horizontal="center" vertical="top" wrapText="1"/>
    </xf>
    <xf numFmtId="3" fontId="14" fillId="0" borderId="17" xfId="7" applyNumberFormat="1" applyFont="1" applyFill="1" applyBorder="1" applyAlignment="1">
      <alignment horizontal="center" vertical="top" wrapText="1"/>
    </xf>
    <xf numFmtId="0" fontId="5" fillId="0" borderId="35" xfId="0" applyFont="1" applyFill="1" applyBorder="1" applyAlignment="1">
      <alignment horizontal="left" vertical="top" wrapText="1"/>
    </xf>
    <xf numFmtId="0" fontId="5" fillId="0" borderId="9" xfId="0" applyFont="1" applyFill="1" applyBorder="1" applyAlignment="1">
      <alignment horizontal="center" wrapText="1"/>
    </xf>
    <xf numFmtId="0" fontId="5" fillId="0" borderId="17" xfId="0" applyFont="1" applyFill="1" applyBorder="1" applyAlignment="1">
      <alignment horizontal="center" wrapText="1"/>
    </xf>
    <xf numFmtId="0" fontId="10" fillId="6" borderId="17" xfId="0" applyFont="1" applyFill="1" applyBorder="1" applyAlignment="1">
      <alignment vertical="center"/>
    </xf>
    <xf numFmtId="0" fontId="10" fillId="0" borderId="16" xfId="0" applyFont="1" applyBorder="1" applyAlignment="1">
      <alignment horizontal="center"/>
    </xf>
    <xf numFmtId="0" fontId="5" fillId="0" borderId="32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19" fillId="0" borderId="16" xfId="0" applyFont="1" applyFill="1" applyBorder="1" applyAlignment="1">
      <alignment horizontal="left" vertical="top"/>
    </xf>
    <xf numFmtId="0" fontId="19" fillId="0" borderId="0" xfId="0" applyFont="1" applyFill="1" applyAlignment="1">
      <alignment horizontal="left" vertical="top"/>
    </xf>
    <xf numFmtId="0" fontId="1" fillId="0" borderId="26" xfId="0" applyFont="1" applyFill="1" applyBorder="1" applyAlignment="1">
      <alignment vertical="center"/>
    </xf>
    <xf numFmtId="0" fontId="24" fillId="0" borderId="25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5" fillId="0" borderId="16" xfId="5" applyFont="1" applyFill="1" applyBorder="1" applyAlignment="1">
      <alignment horizontal="left" vertical="center"/>
    </xf>
    <xf numFmtId="0" fontId="10" fillId="0" borderId="16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0" fillId="0" borderId="34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vertical="center"/>
    </xf>
    <xf numFmtId="0" fontId="36" fillId="9" borderId="0" xfId="0" applyFont="1" applyFill="1" applyBorder="1" applyAlignment="1">
      <alignment vertical="center"/>
    </xf>
    <xf numFmtId="0" fontId="36" fillId="0" borderId="89" xfId="0" applyFont="1" applyFill="1" applyBorder="1" applyAlignment="1">
      <alignment vertical="center" wrapText="1"/>
    </xf>
    <xf numFmtId="0" fontId="18" fillId="0" borderId="0" xfId="0" applyFont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18" fillId="0" borderId="69" xfId="0" applyFont="1" applyBorder="1" applyAlignment="1">
      <alignment vertical="center"/>
    </xf>
    <xf numFmtId="0" fontId="18" fillId="0" borderId="25" xfId="0" applyFont="1" applyBorder="1" applyAlignment="1">
      <alignment vertical="center"/>
    </xf>
    <xf numFmtId="0" fontId="18" fillId="0" borderId="9" xfId="0" applyFont="1" applyBorder="1" applyAlignment="1">
      <alignment vertical="center"/>
    </xf>
    <xf numFmtId="0" fontId="18" fillId="0" borderId="32" xfId="0" applyFont="1" applyFill="1" applyBorder="1" applyAlignment="1">
      <alignment vertical="center" wrapText="1"/>
    </xf>
    <xf numFmtId="0" fontId="18" fillId="0" borderId="65" xfId="0" applyFont="1" applyFill="1" applyBorder="1" applyAlignment="1">
      <alignment vertical="center" wrapText="1"/>
    </xf>
    <xf numFmtId="0" fontId="36" fillId="0" borderId="0" xfId="0" applyFont="1" applyFill="1" applyBorder="1" applyAlignment="1">
      <alignment vertical="center" wrapText="1"/>
    </xf>
    <xf numFmtId="0" fontId="5" fillId="0" borderId="9" xfId="0" applyFont="1" applyFill="1" applyBorder="1" applyAlignment="1">
      <alignment vertical="center" wrapText="1"/>
    </xf>
    <xf numFmtId="0" fontId="5" fillId="0" borderId="32" xfId="0" applyFont="1" applyFill="1" applyBorder="1" applyAlignment="1">
      <alignment vertical="center" wrapText="1"/>
    </xf>
    <xf numFmtId="0" fontId="5" fillId="0" borderId="25" xfId="0" applyFont="1" applyFill="1" applyBorder="1" applyAlignment="1">
      <alignment vertical="center" wrapText="1"/>
    </xf>
    <xf numFmtId="0" fontId="5" fillId="0" borderId="65" xfId="0" applyFont="1" applyFill="1" applyBorder="1" applyAlignment="1">
      <alignment vertical="center" wrapText="1"/>
    </xf>
    <xf numFmtId="0" fontId="18" fillId="0" borderId="42" xfId="0" applyFont="1" applyBorder="1" applyAlignment="1">
      <alignment vertical="center"/>
    </xf>
    <xf numFmtId="0" fontId="5" fillId="0" borderId="42" xfId="0" applyFont="1" applyBorder="1" applyAlignment="1">
      <alignment vertical="center"/>
    </xf>
    <xf numFmtId="0" fontId="6" fillId="9" borderId="0" xfId="0" applyFont="1" applyFill="1" applyBorder="1" applyAlignment="1">
      <alignment vertical="center"/>
    </xf>
    <xf numFmtId="0" fontId="5" fillId="0" borderId="31" xfId="0" applyFont="1" applyFill="1" applyBorder="1" applyAlignment="1">
      <alignment vertical="center" wrapText="1"/>
    </xf>
    <xf numFmtId="0" fontId="5" fillId="0" borderId="16" xfId="0" applyFont="1" applyFill="1" applyBorder="1" applyAlignment="1">
      <alignment vertical="center" wrapText="1"/>
    </xf>
    <xf numFmtId="0" fontId="5" fillId="0" borderId="54" xfId="0" applyFont="1" applyFill="1" applyBorder="1" applyAlignment="1">
      <alignment vertical="center" wrapText="1"/>
    </xf>
    <xf numFmtId="0" fontId="5" fillId="0" borderId="67" xfId="0" applyFont="1" applyFill="1" applyBorder="1" applyAlignment="1">
      <alignment vertical="center" wrapText="1"/>
    </xf>
    <xf numFmtId="0" fontId="5" fillId="0" borderId="17" xfId="0" applyFont="1" applyFill="1" applyBorder="1" applyAlignment="1">
      <alignment vertical="center" wrapText="1"/>
    </xf>
    <xf numFmtId="0" fontId="14" fillId="0" borderId="0" xfId="0" applyFont="1" applyFill="1" applyBorder="1" applyAlignment="1">
      <alignment vertical="center" wrapText="1"/>
    </xf>
    <xf numFmtId="0" fontId="36" fillId="0" borderId="42" xfId="0" applyFont="1" applyFill="1" applyBorder="1" applyAlignment="1">
      <alignment vertical="center" wrapText="1"/>
    </xf>
    <xf numFmtId="0" fontId="5" fillId="0" borderId="53" xfId="0" applyFont="1" applyFill="1" applyBorder="1" applyAlignment="1">
      <alignment vertical="center" wrapText="1"/>
    </xf>
    <xf numFmtId="0" fontId="9" fillId="8" borderId="30" xfId="0" applyFont="1" applyFill="1" applyBorder="1" applyAlignment="1">
      <alignment vertical="center"/>
    </xf>
    <xf numFmtId="0" fontId="9" fillId="8" borderId="32" xfId="0" applyFont="1" applyFill="1" applyBorder="1" applyAlignment="1">
      <alignment vertical="center"/>
    </xf>
    <xf numFmtId="0" fontId="9" fillId="8" borderId="31" xfId="0" applyFont="1" applyFill="1" applyBorder="1" applyAlignment="1">
      <alignment vertical="center"/>
    </xf>
    <xf numFmtId="0" fontId="10" fillId="0" borderId="16" xfId="0" applyFont="1" applyBorder="1" applyAlignment="1">
      <alignment horizontal="left" vertical="center" wrapText="1"/>
    </xf>
    <xf numFmtId="0" fontId="26" fillId="8" borderId="30" xfId="0" applyFont="1" applyFill="1" applyBorder="1" applyAlignment="1">
      <alignment vertical="center" wrapText="1"/>
    </xf>
    <xf numFmtId="0" fontId="26" fillId="8" borderId="32" xfId="0" applyFont="1" applyFill="1" applyBorder="1" applyAlignment="1">
      <alignment vertical="center" wrapText="1"/>
    </xf>
    <xf numFmtId="0" fontId="10" fillId="0" borderId="0" xfId="0" applyFont="1" applyFill="1" applyBorder="1" applyProtection="1">
      <protection locked="0"/>
    </xf>
    <xf numFmtId="0" fontId="47" fillId="0" borderId="0" xfId="0" applyFont="1" applyBorder="1" applyAlignment="1" applyProtection="1">
      <alignment horizontal="left" vertical="center"/>
      <protection locked="0"/>
    </xf>
    <xf numFmtId="0" fontId="37" fillId="0" borderId="0" xfId="0" applyFont="1" applyBorder="1" applyAlignment="1" applyProtection="1">
      <alignment vertical="center" wrapText="1"/>
      <protection locked="0"/>
    </xf>
    <xf numFmtId="0" fontId="13" fillId="0" borderId="0" xfId="0" applyFont="1" applyBorder="1" applyAlignment="1" applyProtection="1">
      <alignment horizontal="center" vertical="center" wrapText="1"/>
      <protection locked="0"/>
    </xf>
    <xf numFmtId="0" fontId="13" fillId="0" borderId="0" xfId="0" applyFont="1" applyBorder="1" applyProtection="1">
      <protection locked="0"/>
    </xf>
    <xf numFmtId="0" fontId="10" fillId="0" borderId="0" xfId="0" applyFont="1" applyBorder="1" applyProtection="1">
      <protection locked="0"/>
    </xf>
    <xf numFmtId="0" fontId="9" fillId="0" borderId="0" xfId="0" applyFont="1" applyFill="1" applyBorder="1" applyAlignment="1" applyProtection="1">
      <alignment vertical="center"/>
      <protection locked="0"/>
    </xf>
    <xf numFmtId="0" fontId="9" fillId="5" borderId="0" xfId="0" applyFont="1" applyFill="1" applyBorder="1" applyAlignment="1" applyProtection="1">
      <alignment vertical="center"/>
      <protection locked="0"/>
    </xf>
    <xf numFmtId="0" fontId="10" fillId="0" borderId="0" xfId="0" applyFont="1" applyProtection="1">
      <protection locked="0"/>
    </xf>
    <xf numFmtId="0" fontId="9" fillId="0" borderId="0" xfId="0" applyFont="1" applyFill="1" applyBorder="1" applyAlignment="1" applyProtection="1">
      <alignment horizontal="center" vertical="center"/>
      <protection locked="0"/>
    </xf>
    <xf numFmtId="0" fontId="48" fillId="4" borderId="44" xfId="0" applyFont="1" applyFill="1" applyBorder="1" applyAlignment="1" applyProtection="1">
      <alignment horizontal="center" vertical="center"/>
      <protection locked="0"/>
    </xf>
    <xf numFmtId="0" fontId="8" fillId="4" borderId="15" xfId="0" applyFont="1" applyFill="1" applyBorder="1" applyAlignment="1" applyProtection="1">
      <alignment horizontal="center" vertical="center" wrapText="1"/>
      <protection locked="0"/>
    </xf>
    <xf numFmtId="0" fontId="12" fillId="4" borderId="15" xfId="0" applyFont="1" applyFill="1" applyBorder="1" applyAlignment="1" applyProtection="1">
      <alignment horizontal="center" vertical="center" wrapText="1"/>
      <protection locked="0"/>
    </xf>
    <xf numFmtId="0" fontId="9" fillId="8" borderId="21" xfId="0" applyFont="1" applyFill="1" applyBorder="1" applyAlignment="1" applyProtection="1">
      <alignment horizontal="left" vertical="center"/>
      <protection locked="0"/>
    </xf>
    <xf numFmtId="0" fontId="8" fillId="8" borderId="106" xfId="0" applyFont="1" applyFill="1" applyBorder="1" applyAlignment="1" applyProtection="1">
      <alignment vertical="center" wrapText="1"/>
      <protection locked="0"/>
    </xf>
    <xf numFmtId="0" fontId="8" fillId="8" borderId="105" xfId="0" applyFont="1" applyFill="1" applyBorder="1" applyAlignment="1" applyProtection="1">
      <alignment vertical="center" wrapText="1"/>
      <protection locked="0"/>
    </xf>
    <xf numFmtId="0" fontId="13" fillId="8" borderId="0" xfId="0" applyFont="1" applyFill="1" applyBorder="1" applyProtection="1">
      <protection locked="0"/>
    </xf>
    <xf numFmtId="0" fontId="10" fillId="8" borderId="0" xfId="0" applyFont="1" applyFill="1" applyBorder="1" applyProtection="1">
      <protection locked="0"/>
    </xf>
    <xf numFmtId="0" fontId="10" fillId="8" borderId="0" xfId="0" applyFont="1" applyFill="1" applyProtection="1">
      <protection locked="0"/>
    </xf>
    <xf numFmtId="0" fontId="9" fillId="0" borderId="0" xfId="0" applyFont="1" applyFill="1" applyBorder="1" applyAlignment="1" applyProtection="1">
      <alignment horizontal="left"/>
      <protection locked="0"/>
    </xf>
    <xf numFmtId="0" fontId="47" fillId="0" borderId="35" xfId="0" applyFont="1" applyBorder="1" applyAlignment="1" applyProtection="1">
      <alignment horizontal="left" vertical="center"/>
      <protection locked="0"/>
    </xf>
    <xf numFmtId="0" fontId="49" fillId="0" borderId="76" xfId="8" applyFont="1" applyBorder="1" applyAlignment="1" applyProtection="1">
      <alignment vertical="center"/>
      <protection locked="0"/>
    </xf>
    <xf numFmtId="0" fontId="13" fillId="0" borderId="31" xfId="0" applyFont="1" applyBorder="1" applyAlignment="1" applyProtection="1">
      <alignment horizontal="center" vertical="center"/>
      <protection locked="0"/>
    </xf>
    <xf numFmtId="0" fontId="13" fillId="0" borderId="0" xfId="0" applyFont="1" applyBorder="1" applyAlignment="1" applyProtection="1">
      <alignment horizontal="left"/>
      <protection locked="0"/>
    </xf>
    <xf numFmtId="0" fontId="10" fillId="0" borderId="0" xfId="0" applyFont="1" applyBorder="1" applyAlignment="1" applyProtection="1">
      <alignment horizontal="left"/>
      <protection locked="0"/>
    </xf>
    <xf numFmtId="0" fontId="10" fillId="0" borderId="0" xfId="0" applyFont="1" applyAlignment="1" applyProtection="1">
      <alignment horizontal="left"/>
      <protection locked="0"/>
    </xf>
    <xf numFmtId="0" fontId="10" fillId="0" borderId="0" xfId="0" applyFont="1" applyFill="1" applyBorder="1" applyAlignment="1" applyProtection="1">
      <alignment horizontal="left" vertical="top"/>
      <protection locked="0"/>
    </xf>
    <xf numFmtId="0" fontId="49" fillId="0" borderId="34" xfId="8" applyFont="1" applyBorder="1" applyAlignment="1" applyProtection="1">
      <alignment horizontal="left" vertical="center"/>
      <protection locked="0"/>
    </xf>
    <xf numFmtId="0" fontId="49" fillId="6" borderId="34" xfId="8" applyFont="1" applyFill="1" applyBorder="1" applyAlignment="1" applyProtection="1">
      <alignment horizontal="left" vertical="center" wrapText="1"/>
      <protection locked="0"/>
    </xf>
    <xf numFmtId="0" fontId="49" fillId="0" borderId="34" xfId="8" applyFont="1" applyBorder="1" applyAlignment="1" applyProtection="1">
      <alignment horizontal="left" vertical="center" wrapText="1"/>
      <protection locked="0"/>
    </xf>
    <xf numFmtId="0" fontId="13" fillId="0" borderId="31" xfId="0" applyFont="1" applyBorder="1" applyAlignment="1" applyProtection="1">
      <alignment horizontal="center" vertical="center" wrapText="1"/>
      <protection locked="0"/>
    </xf>
    <xf numFmtId="0" fontId="9" fillId="12" borderId="10" xfId="0" applyFont="1" applyFill="1" applyBorder="1" applyAlignment="1" applyProtection="1">
      <alignment horizontal="left" vertical="center"/>
      <protection locked="0"/>
    </xf>
    <xf numFmtId="0" fontId="23" fillId="12" borderId="34" xfId="0" applyFont="1" applyFill="1" applyBorder="1" applyAlignment="1" applyProtection="1">
      <alignment horizontal="left" vertical="center"/>
      <protection locked="0"/>
    </xf>
    <xf numFmtId="0" fontId="9" fillId="8" borderId="31" xfId="0" applyFont="1" applyFill="1" applyBorder="1" applyAlignment="1" applyProtection="1">
      <alignment vertical="center"/>
      <protection locked="0"/>
    </xf>
    <xf numFmtId="0" fontId="13" fillId="8" borderId="0" xfId="0" applyFont="1" applyFill="1" applyBorder="1" applyAlignment="1" applyProtection="1">
      <alignment horizontal="left"/>
      <protection locked="0"/>
    </xf>
    <xf numFmtId="0" fontId="10" fillId="8" borderId="0" xfId="0" applyFont="1" applyFill="1" applyBorder="1" applyAlignment="1" applyProtection="1">
      <alignment horizontal="left"/>
      <protection locked="0"/>
    </xf>
    <xf numFmtId="0" fontId="10" fillId="8" borderId="0" xfId="0" applyFont="1" applyFill="1" applyAlignment="1" applyProtection="1">
      <alignment horizontal="left"/>
      <protection locked="0"/>
    </xf>
    <xf numFmtId="0" fontId="10" fillId="0" borderId="0" xfId="0" applyFont="1" applyFill="1" applyBorder="1" applyAlignment="1" applyProtection="1">
      <alignment horizontal="center" vertical="top"/>
      <protection locked="0"/>
    </xf>
    <xf numFmtId="0" fontId="13" fillId="11" borderId="16" xfId="0" applyFont="1" applyFill="1" applyBorder="1" applyAlignment="1" applyProtection="1">
      <alignment horizontal="left" vertical="center" wrapText="1"/>
      <protection locked="0"/>
    </xf>
    <xf numFmtId="0" fontId="26" fillId="0" borderId="0" xfId="0" applyFont="1" applyFill="1" applyBorder="1" applyAlignment="1" applyProtection="1">
      <alignment vertical="center" wrapText="1"/>
      <protection locked="0"/>
    </xf>
    <xf numFmtId="0" fontId="9" fillId="12" borderId="38" xfId="0" applyFont="1" applyFill="1" applyBorder="1" applyAlignment="1" applyProtection="1">
      <alignment horizontal="left" vertical="center"/>
      <protection locked="0"/>
    </xf>
    <xf numFmtId="0" fontId="26" fillId="8" borderId="77" xfId="0" applyFont="1" applyFill="1" applyBorder="1" applyAlignment="1" applyProtection="1">
      <alignment vertical="center" wrapText="1"/>
      <protection locked="0"/>
    </xf>
    <xf numFmtId="0" fontId="26" fillId="8" borderId="31" xfId="0" applyFont="1" applyFill="1" applyBorder="1" applyAlignment="1" applyProtection="1">
      <alignment vertical="center" wrapText="1"/>
      <protection locked="0"/>
    </xf>
    <xf numFmtId="0" fontId="49" fillId="0" borderId="34" xfId="8" applyFont="1" applyBorder="1" applyAlignment="1" applyProtection="1">
      <alignment vertical="center"/>
      <protection locked="0"/>
    </xf>
    <xf numFmtId="0" fontId="49" fillId="0" borderId="34" xfId="8" applyFont="1" applyFill="1" applyBorder="1" applyAlignment="1" applyProtection="1">
      <alignment vertical="center"/>
      <protection locked="0"/>
    </xf>
    <xf numFmtId="0" fontId="49" fillId="0" borderId="34" xfId="8" applyFont="1" applyFill="1" applyBorder="1" applyAlignment="1" applyProtection="1">
      <alignment horizontal="left" vertical="center" wrapText="1"/>
      <protection locked="0"/>
    </xf>
    <xf numFmtId="0" fontId="10" fillId="0" borderId="0" xfId="0" applyFont="1" applyFill="1" applyBorder="1" applyAlignment="1" applyProtection="1">
      <alignment horizontal="left"/>
      <protection locked="0"/>
    </xf>
    <xf numFmtId="0" fontId="9" fillId="8" borderId="38" xfId="0" applyFont="1" applyFill="1" applyBorder="1" applyAlignment="1" applyProtection="1">
      <alignment horizontal="left" vertical="center"/>
      <protection locked="0"/>
    </xf>
    <xf numFmtId="0" fontId="8" fillId="8" borderId="34" xfId="0" applyFont="1" applyFill="1" applyBorder="1" applyAlignment="1" applyProtection="1">
      <alignment vertical="center"/>
      <protection locked="0"/>
    </xf>
    <xf numFmtId="0" fontId="8" fillId="8" borderId="31" xfId="0" applyFont="1" applyFill="1" applyBorder="1" applyAlignment="1" applyProtection="1">
      <alignment vertical="center"/>
      <protection locked="0"/>
    </xf>
    <xf numFmtId="0" fontId="8" fillId="8" borderId="34" xfId="0" applyFont="1" applyFill="1" applyBorder="1" applyAlignment="1" applyProtection="1">
      <alignment vertical="center" wrapText="1"/>
      <protection locked="0"/>
    </xf>
    <xf numFmtId="0" fontId="8" fillId="8" borderId="31" xfId="0" applyFont="1" applyFill="1" applyBorder="1" applyAlignment="1" applyProtection="1">
      <alignment vertical="center" wrapText="1"/>
      <protection locked="0"/>
    </xf>
    <xf numFmtId="0" fontId="49" fillId="0" borderId="34" xfId="8" applyFont="1" applyFill="1" applyBorder="1" applyAlignment="1" applyProtection="1">
      <alignment vertical="center" wrapText="1"/>
      <protection locked="0"/>
    </xf>
    <xf numFmtId="0" fontId="37" fillId="0" borderId="0" xfId="0" applyFont="1" applyFill="1" applyBorder="1" applyAlignment="1" applyProtection="1">
      <alignment horizontal="left" vertical="top" wrapText="1"/>
      <protection locked="0"/>
    </xf>
    <xf numFmtId="0" fontId="20" fillId="0" borderId="0" xfId="0" applyFont="1" applyFill="1" applyBorder="1" applyAlignment="1" applyProtection="1">
      <alignment horizontal="left" vertical="top" wrapText="1"/>
      <protection locked="0"/>
    </xf>
    <xf numFmtId="0" fontId="10" fillId="0" borderId="0" xfId="0" applyFont="1" applyBorder="1" applyAlignment="1" applyProtection="1">
      <alignment horizontal="left" vertical="top"/>
      <protection locked="0"/>
    </xf>
    <xf numFmtId="0" fontId="14" fillId="0" borderId="31" xfId="0" applyFont="1" applyBorder="1" applyAlignment="1" applyProtection="1">
      <alignment horizontal="left" vertical="center"/>
      <protection locked="0"/>
    </xf>
    <xf numFmtId="2" fontId="9" fillId="0" borderId="0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center" vertical="center" wrapText="1"/>
      <protection locked="0"/>
    </xf>
    <xf numFmtId="0" fontId="8" fillId="12" borderId="34" xfId="0" applyFont="1" applyFill="1" applyBorder="1" applyAlignment="1" applyProtection="1">
      <alignment vertical="center" wrapText="1"/>
      <protection locked="0"/>
    </xf>
    <xf numFmtId="0" fontId="8" fillId="12" borderId="31" xfId="0" applyFont="1" applyFill="1" applyBorder="1" applyAlignment="1" applyProtection="1">
      <alignment vertical="center" wrapText="1"/>
      <protection locked="0"/>
    </xf>
    <xf numFmtId="0" fontId="13" fillId="0" borderId="0" xfId="0" applyFont="1" applyFill="1" applyBorder="1" applyAlignment="1" applyProtection="1">
      <alignment horizontal="left" vertical="top" wrapText="1"/>
      <protection locked="0"/>
    </xf>
    <xf numFmtId="0" fontId="0" fillId="0" borderId="0" xfId="0" applyFill="1" applyBorder="1" applyAlignment="1" applyProtection="1">
      <alignment horizontal="left" vertical="top" wrapText="1"/>
      <protection locked="0"/>
    </xf>
    <xf numFmtId="2" fontId="9" fillId="0" borderId="0" xfId="0" applyNumberFormat="1" applyFont="1" applyFill="1" applyBorder="1" applyAlignment="1" applyProtection="1">
      <alignment horizontal="left"/>
      <protection locked="0"/>
    </xf>
    <xf numFmtId="0" fontId="49" fillId="0" borderId="34" xfId="8" applyFont="1" applyFill="1" applyBorder="1" applyAlignment="1" applyProtection="1">
      <alignment horizontal="left" vertical="center"/>
      <protection locked="0"/>
    </xf>
    <xf numFmtId="2" fontId="9" fillId="0" borderId="0" xfId="0" applyNumberFormat="1" applyFont="1" applyFill="1" applyBorder="1" applyAlignment="1" applyProtection="1">
      <alignment horizontal="left" vertical="center" wrapText="1"/>
      <protection locked="0"/>
    </xf>
    <xf numFmtId="2" fontId="9" fillId="0" borderId="0" xfId="0" applyNumberFormat="1" applyFont="1" applyFill="1" applyBorder="1" applyAlignment="1" applyProtection="1">
      <alignment horizontal="left" vertical="top" wrapText="1"/>
      <protection locked="0"/>
    </xf>
    <xf numFmtId="0" fontId="12" fillId="8" borderId="34" xfId="0" applyFont="1" applyFill="1" applyBorder="1" applyAlignment="1" applyProtection="1">
      <alignment vertical="center"/>
      <protection locked="0"/>
    </xf>
    <xf numFmtId="0" fontId="12" fillId="8" borderId="31" xfId="0" applyFont="1" applyFill="1" applyBorder="1" applyAlignment="1" applyProtection="1">
      <alignment vertical="center"/>
      <protection locked="0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0" xfId="0" applyFont="1" applyBorder="1" applyAlignment="1" applyProtection="1">
      <alignment horizontal="left" vertical="center"/>
      <protection locked="0"/>
    </xf>
    <xf numFmtId="0" fontId="47" fillId="0" borderId="23" xfId="0" applyFont="1" applyBorder="1" applyAlignment="1" applyProtection="1">
      <alignment horizontal="left" vertical="center"/>
      <protection locked="0"/>
    </xf>
    <xf numFmtId="0" fontId="49" fillId="0" borderId="24" xfId="8" applyFont="1" applyBorder="1" applyAlignment="1" applyProtection="1">
      <alignment horizontal="left" vertical="center" wrapText="1"/>
      <protection locked="0"/>
    </xf>
    <xf numFmtId="0" fontId="47" fillId="0" borderId="39" xfId="0" applyFont="1" applyBorder="1" applyAlignment="1" applyProtection="1">
      <alignment horizontal="left" vertical="center"/>
      <protection locked="0"/>
    </xf>
    <xf numFmtId="0" fontId="37" fillId="0" borderId="0" xfId="0" applyFont="1" applyAlignment="1" applyProtection="1">
      <alignment vertical="center" wrapText="1"/>
      <protection locked="0"/>
    </xf>
    <xf numFmtId="0" fontId="13" fillId="0" borderId="16" xfId="0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5" fillId="0" borderId="16" xfId="0" applyFont="1" applyBorder="1" applyAlignment="1">
      <alignment vertical="center" wrapText="1"/>
    </xf>
    <xf numFmtId="0" fontId="6" fillId="9" borderId="0" xfId="0" applyFont="1" applyFill="1" applyBorder="1" applyAlignment="1">
      <alignment horizontal="right" vertical="center"/>
    </xf>
    <xf numFmtId="0" fontId="6" fillId="9" borderId="0" xfId="0" quotePrefix="1" applyFont="1" applyFill="1" applyAlignment="1">
      <alignment horizontal="left" vertical="center"/>
    </xf>
    <xf numFmtId="0" fontId="6" fillId="0" borderId="0" xfId="0" applyFont="1" applyAlignment="1">
      <alignment vertical="center"/>
    </xf>
    <xf numFmtId="0" fontId="49" fillId="0" borderId="0" xfId="8" applyFont="1" applyAlignment="1">
      <alignment vertical="center"/>
    </xf>
    <xf numFmtId="0" fontId="47" fillId="0" borderId="35" xfId="0" applyFont="1" applyFill="1" applyBorder="1" applyAlignment="1" applyProtection="1">
      <alignment horizontal="left" vertical="center"/>
      <protection locked="0"/>
    </xf>
    <xf numFmtId="2" fontId="14" fillId="0" borderId="17" xfId="0" applyNumberFormat="1" applyFont="1" applyFill="1" applyBorder="1" applyAlignment="1">
      <alignment horizontal="center" vertical="top" wrapText="1"/>
    </xf>
    <xf numFmtId="0" fontId="36" fillId="9" borderId="0" xfId="0" applyFont="1" applyFill="1" applyAlignment="1">
      <alignment vertical="center"/>
    </xf>
    <xf numFmtId="0" fontId="14" fillId="0" borderId="0" xfId="0" applyFont="1" applyFill="1" applyBorder="1" applyAlignment="1">
      <alignment horizontal="left" vertical="top" wrapText="1"/>
    </xf>
    <xf numFmtId="0" fontId="14" fillId="0" borderId="0" xfId="0" applyFont="1" applyFill="1" applyBorder="1" applyAlignment="1">
      <alignment horizontal="center" vertical="top" wrapText="1"/>
    </xf>
    <xf numFmtId="41" fontId="50" fillId="0" borderId="11" xfId="1" applyFont="1" applyBorder="1" applyAlignment="1">
      <alignment vertical="center" wrapText="1"/>
    </xf>
    <xf numFmtId="43" fontId="50" fillId="0" borderId="11" xfId="2" applyFont="1" applyBorder="1" applyAlignment="1">
      <alignment vertical="center" wrapText="1"/>
    </xf>
    <xf numFmtId="43" fontId="50" fillId="0" borderId="34" xfId="2" applyFont="1" applyBorder="1" applyAlignment="1">
      <alignment vertical="center" wrapText="1"/>
    </xf>
    <xf numFmtId="43" fontId="50" fillId="0" borderId="22" xfId="2" applyFont="1" applyBorder="1" applyAlignment="1">
      <alignment wrapText="1"/>
    </xf>
    <xf numFmtId="43" fontId="50" fillId="0" borderId="24" xfId="2" applyFont="1" applyBorder="1" applyAlignment="1">
      <alignment wrapText="1"/>
    </xf>
    <xf numFmtId="43" fontId="51" fillId="0" borderId="24" xfId="2" applyFont="1" applyBorder="1" applyAlignment="1">
      <alignment wrapText="1"/>
    </xf>
    <xf numFmtId="0" fontId="14" fillId="0" borderId="41" xfId="0" applyFont="1" applyFill="1" applyBorder="1" applyAlignment="1">
      <alignment horizontal="center" vertical="top" wrapText="1"/>
    </xf>
    <xf numFmtId="0" fontId="14" fillId="0" borderId="101" xfId="0" applyFont="1" applyFill="1" applyBorder="1" applyAlignment="1">
      <alignment horizontal="center" vertical="top" wrapText="1"/>
    </xf>
    <xf numFmtId="0" fontId="14" fillId="0" borderId="89" xfId="0" applyFont="1" applyFill="1" applyBorder="1" applyAlignment="1">
      <alignment horizontal="center" vertical="top" wrapText="1"/>
    </xf>
    <xf numFmtId="0" fontId="14" fillId="0" borderId="91" xfId="0" applyFont="1" applyFill="1" applyBorder="1" applyAlignment="1">
      <alignment horizontal="center" vertical="top" wrapText="1"/>
    </xf>
    <xf numFmtId="41" fontId="50" fillId="0" borderId="11" xfId="1" applyFont="1" applyBorder="1" applyAlignment="1">
      <alignment vertical="center"/>
    </xf>
    <xf numFmtId="43" fontId="50" fillId="0" borderId="11" xfId="2" applyFont="1" applyBorder="1" applyAlignment="1">
      <alignment vertical="center"/>
    </xf>
    <xf numFmtId="43" fontId="50" fillId="0" borderId="34" xfId="2" applyFont="1" applyBorder="1" applyAlignment="1">
      <alignment vertical="center"/>
    </xf>
    <xf numFmtId="43" fontId="50" fillId="0" borderId="22" xfId="2" applyFont="1" applyBorder="1"/>
    <xf numFmtId="43" fontId="50" fillId="0" borderId="24" xfId="2" applyFont="1" applyBorder="1"/>
    <xf numFmtId="0" fontId="5" fillId="0" borderId="47" xfId="0" applyFont="1" applyFill="1" applyBorder="1" applyAlignment="1">
      <alignment horizontal="left" vertical="top" wrapText="1"/>
    </xf>
    <xf numFmtId="0" fontId="14" fillId="0" borderId="108" xfId="0" applyFont="1" applyFill="1" applyBorder="1" applyAlignment="1">
      <alignment horizontal="center" vertical="top" wrapText="1"/>
    </xf>
    <xf numFmtId="0" fontId="6" fillId="0" borderId="41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164" fontId="6" fillId="0" borderId="42" xfId="1" applyNumberFormat="1" applyFont="1" applyBorder="1" applyAlignment="1">
      <alignment vertical="center"/>
    </xf>
    <xf numFmtId="41" fontId="6" fillId="0" borderId="42" xfId="1" applyFont="1" applyBorder="1" applyAlignment="1">
      <alignment horizontal="center" vertical="center" wrapText="1"/>
    </xf>
    <xf numFmtId="41" fontId="6" fillId="0" borderId="92" xfId="1" applyFont="1" applyBorder="1" applyAlignment="1">
      <alignment horizontal="center" vertical="center"/>
    </xf>
    <xf numFmtId="43" fontId="50" fillId="0" borderId="22" xfId="2" applyFont="1" applyBorder="1" applyAlignment="1">
      <alignment vertical="center"/>
    </xf>
    <xf numFmtId="43" fontId="51" fillId="0" borderId="24" xfId="2" applyFont="1" applyBorder="1" applyAlignment="1">
      <alignment vertical="center"/>
    </xf>
    <xf numFmtId="41" fontId="50" fillId="0" borderId="0" xfId="1" applyFont="1" applyAlignment="1">
      <alignment vertical="center"/>
    </xf>
    <xf numFmtId="0" fontId="5" fillId="0" borderId="30" xfId="0" applyFont="1" applyFill="1" applyBorder="1" applyAlignment="1">
      <alignment horizontal="center" vertical="top" wrapText="1"/>
    </xf>
    <xf numFmtId="0" fontId="5" fillId="0" borderId="109" xfId="0" applyFont="1" applyFill="1" applyBorder="1" applyAlignment="1">
      <alignment horizontal="left" vertical="top" wrapText="1"/>
    </xf>
    <xf numFmtId="0" fontId="5" fillId="0" borderId="110" xfId="0" applyFont="1" applyFill="1" applyBorder="1" applyAlignment="1">
      <alignment horizontal="center" vertical="top" wrapText="1"/>
    </xf>
    <xf numFmtId="0" fontId="5" fillId="0" borderId="111" xfId="0" applyFont="1" applyFill="1" applyBorder="1" applyAlignment="1">
      <alignment horizontal="left" vertical="top" wrapText="1"/>
    </xf>
    <xf numFmtId="0" fontId="5" fillId="0" borderId="111" xfId="0" applyFont="1" applyFill="1" applyBorder="1" applyAlignment="1">
      <alignment horizontal="center" vertical="top" wrapText="1"/>
    </xf>
    <xf numFmtId="1" fontId="18" fillId="0" borderId="0" xfId="7" applyNumberFormat="1" applyFont="1" applyFill="1" applyBorder="1" applyAlignment="1">
      <alignment horizontal="center" vertical="top" wrapText="1"/>
    </xf>
    <xf numFmtId="166" fontId="18" fillId="0" borderId="0" xfId="7" applyNumberFormat="1" applyFont="1" applyFill="1" applyBorder="1" applyAlignment="1">
      <alignment horizontal="center" vertical="top" wrapText="1"/>
    </xf>
    <xf numFmtId="0" fontId="36" fillId="0" borderId="0" xfId="7" applyFont="1" applyFill="1" applyBorder="1" applyAlignment="1">
      <alignment horizontal="center" vertical="top" wrapText="1"/>
    </xf>
    <xf numFmtId="0" fontId="6" fillId="10" borderId="0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vertical="top" wrapText="1"/>
    </xf>
    <xf numFmtId="0" fontId="14" fillId="0" borderId="0" xfId="0" applyFont="1" applyFill="1" applyBorder="1" applyAlignment="1">
      <alignment horizontal="center" vertical="top" wrapText="1"/>
    </xf>
    <xf numFmtId="0" fontId="18" fillId="0" borderId="0" xfId="7" applyFont="1" applyFill="1" applyBorder="1" applyAlignment="1">
      <alignment horizontal="left" vertical="top" wrapText="1"/>
    </xf>
    <xf numFmtId="0" fontId="18" fillId="0" borderId="33" xfId="7" applyFont="1" applyFill="1" applyBorder="1" applyAlignment="1">
      <alignment horizontal="center" vertical="top" wrapText="1"/>
    </xf>
    <xf numFmtId="0" fontId="18" fillId="0" borderId="32" xfId="7" applyFont="1" applyFill="1" applyBorder="1" applyAlignment="1">
      <alignment horizontal="center" vertical="top" wrapText="1"/>
    </xf>
    <xf numFmtId="0" fontId="14" fillId="0" borderId="0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left"/>
    </xf>
    <xf numFmtId="43" fontId="51" fillId="0" borderId="0" xfId="2" applyFont="1" applyBorder="1" applyAlignment="1">
      <alignment wrapText="1"/>
    </xf>
    <xf numFmtId="43" fontId="5" fillId="0" borderId="0" xfId="2" applyFont="1" applyBorder="1" applyAlignment="1">
      <alignment wrapText="1"/>
    </xf>
    <xf numFmtId="43" fontId="50" fillId="0" borderId="0" xfId="2" applyFont="1" applyBorder="1" applyAlignment="1">
      <alignment wrapText="1"/>
    </xf>
    <xf numFmtId="164" fontId="5" fillId="9" borderId="0" xfId="1" applyNumberFormat="1" applyFont="1" applyFill="1" applyAlignment="1">
      <alignment horizontal="center" vertical="center"/>
    </xf>
    <xf numFmtId="0" fontId="6" fillId="9" borderId="0" xfId="0" applyFont="1" applyFill="1" applyAlignment="1">
      <alignment horizontal="center" vertical="top"/>
    </xf>
    <xf numFmtId="0" fontId="36" fillId="9" borderId="0" xfId="7" applyFont="1" applyFill="1" applyBorder="1" applyAlignment="1">
      <alignment horizontal="left"/>
    </xf>
    <xf numFmtId="0" fontId="6" fillId="0" borderId="0" xfId="0" applyFont="1" applyAlignment="1"/>
    <xf numFmtId="0" fontId="5" fillId="0" borderId="0" xfId="0" applyFont="1" applyFill="1" applyBorder="1" applyAlignment="1">
      <alignment vertical="top"/>
    </xf>
    <xf numFmtId="0" fontId="36" fillId="0" borderId="0" xfId="7" applyFont="1" applyFill="1" applyBorder="1" applyAlignment="1">
      <alignment horizontal="left" vertical="center"/>
    </xf>
    <xf numFmtId="0" fontId="36" fillId="9" borderId="100" xfId="0" applyFont="1" applyFill="1" applyBorder="1" applyAlignment="1">
      <alignment vertical="top" wrapText="1"/>
    </xf>
    <xf numFmtId="0" fontId="36" fillId="9" borderId="100" xfId="0" applyFont="1" applyFill="1" applyBorder="1" applyAlignment="1">
      <alignment vertical="top"/>
    </xf>
    <xf numFmtId="0" fontId="36" fillId="9" borderId="100" xfId="0" applyFont="1" applyFill="1" applyBorder="1" applyAlignment="1">
      <alignment vertical="center"/>
    </xf>
    <xf numFmtId="0" fontId="36" fillId="9" borderId="100" xfId="0" applyFont="1" applyFill="1" applyBorder="1" applyAlignment="1"/>
    <xf numFmtId="0" fontId="14" fillId="0" borderId="112" xfId="0" applyFont="1" applyFill="1" applyBorder="1" applyAlignment="1">
      <alignment horizontal="center" vertical="top" wrapText="1"/>
    </xf>
    <xf numFmtId="0" fontId="14" fillId="0" borderId="112" xfId="0" applyFont="1" applyFill="1" applyBorder="1" applyAlignment="1">
      <alignment horizontal="left" vertical="top" wrapText="1"/>
    </xf>
    <xf numFmtId="0" fontId="5" fillId="0" borderId="112" xfId="0" applyFont="1" applyFill="1" applyBorder="1" applyAlignment="1">
      <alignment horizontal="left" vertical="top" wrapText="1"/>
    </xf>
    <xf numFmtId="0" fontId="5" fillId="5" borderId="0" xfId="0" applyFont="1" applyFill="1"/>
    <xf numFmtId="0" fontId="36" fillId="10" borderId="100" xfId="0" applyFont="1" applyFill="1" applyBorder="1" applyAlignment="1">
      <alignment vertical="top"/>
    </xf>
    <xf numFmtId="4" fontId="6" fillId="9" borderId="100" xfId="0" applyNumberFormat="1" applyFont="1" applyFill="1" applyBorder="1" applyAlignment="1"/>
    <xf numFmtId="0" fontId="5" fillId="0" borderId="0" xfId="0" applyFont="1" applyAlignment="1">
      <alignment horizontal="left" vertical="center"/>
    </xf>
    <xf numFmtId="0" fontId="9" fillId="5" borderId="0" xfId="0" applyFont="1" applyFill="1" applyBorder="1" applyAlignment="1" applyProtection="1">
      <alignment horizontal="center" vertical="center"/>
      <protection locked="0"/>
    </xf>
    <xf numFmtId="0" fontId="26" fillId="8" borderId="33" xfId="0" applyFont="1" applyFill="1" applyBorder="1" applyAlignment="1">
      <alignment horizontal="left" vertical="center"/>
    </xf>
    <xf numFmtId="0" fontId="26" fillId="8" borderId="32" xfId="0" applyFont="1" applyFill="1" applyBorder="1" applyAlignment="1">
      <alignment horizontal="left" vertical="center"/>
    </xf>
    <xf numFmtId="0" fontId="26" fillId="8" borderId="31" xfId="0" applyFont="1" applyFill="1" applyBorder="1" applyAlignment="1">
      <alignment horizontal="left" vertical="center"/>
    </xf>
    <xf numFmtId="0" fontId="10" fillId="0" borderId="45" xfId="0" applyFont="1" applyBorder="1" applyAlignment="1">
      <alignment horizontal="left" vertical="top"/>
    </xf>
    <xf numFmtId="0" fontId="10" fillId="0" borderId="39" xfId="0" applyFont="1" applyBorder="1" applyAlignment="1">
      <alignment horizontal="left" vertical="top"/>
    </xf>
    <xf numFmtId="0" fontId="10" fillId="0" borderId="27" xfId="0" applyFont="1" applyBorder="1" applyAlignment="1">
      <alignment horizontal="left" vertical="top"/>
    </xf>
    <xf numFmtId="0" fontId="26" fillId="7" borderId="33" xfId="0" applyFont="1" applyFill="1" applyBorder="1" applyAlignment="1">
      <alignment horizontal="left" vertical="center" wrapText="1"/>
    </xf>
    <xf numFmtId="0" fontId="26" fillId="7" borderId="32" xfId="0" applyFont="1" applyFill="1" applyBorder="1" applyAlignment="1">
      <alignment horizontal="left" vertical="center" wrapText="1"/>
    </xf>
    <xf numFmtId="0" fontId="26" fillId="7" borderId="31" xfId="0" applyFont="1" applyFill="1" applyBorder="1" applyAlignment="1">
      <alignment horizontal="left" vertical="center" wrapText="1"/>
    </xf>
    <xf numFmtId="0" fontId="26" fillId="8" borderId="32" xfId="0" applyFont="1" applyFill="1" applyBorder="1" applyAlignment="1">
      <alignment horizontal="left" vertical="center" wrapText="1"/>
    </xf>
    <xf numFmtId="0" fontId="26" fillId="8" borderId="33" xfId="0" applyFont="1" applyFill="1" applyBorder="1" applyAlignment="1">
      <alignment horizontal="left" vertical="center" wrapText="1"/>
    </xf>
    <xf numFmtId="0" fontId="26" fillId="8" borderId="31" xfId="0" applyFont="1" applyFill="1" applyBorder="1" applyAlignment="1">
      <alignment horizontal="left" vertical="center" wrapText="1"/>
    </xf>
    <xf numFmtId="0" fontId="9" fillId="5" borderId="0" xfId="0" applyFont="1" applyFill="1" applyBorder="1" applyAlignment="1">
      <alignment horizontal="center" vertical="center"/>
    </xf>
    <xf numFmtId="0" fontId="9" fillId="4" borderId="16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9" fillId="4" borderId="25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top"/>
    </xf>
    <xf numFmtId="0" fontId="10" fillId="0" borderId="16" xfId="0" applyFont="1" applyBorder="1" applyAlignment="1">
      <alignment horizontal="center"/>
    </xf>
    <xf numFmtId="0" fontId="9" fillId="0" borderId="25" xfId="0" applyFont="1" applyBorder="1" applyAlignment="1">
      <alignment horizontal="left" vertical="top"/>
    </xf>
    <xf numFmtId="0" fontId="9" fillId="0" borderId="9" xfId="0" applyFont="1" applyBorder="1" applyAlignment="1">
      <alignment horizontal="left" vertical="top"/>
    </xf>
    <xf numFmtId="0" fontId="9" fillId="0" borderId="17" xfId="0" applyFont="1" applyBorder="1" applyAlignment="1">
      <alignment horizontal="left" vertical="top"/>
    </xf>
    <xf numFmtId="0" fontId="10" fillId="0" borderId="45" xfId="0" applyFont="1" applyBorder="1" applyAlignment="1">
      <alignment horizontal="left"/>
    </xf>
    <xf numFmtId="0" fontId="10" fillId="0" borderId="39" xfId="0" applyFont="1" applyBorder="1" applyAlignment="1">
      <alignment horizontal="left"/>
    </xf>
    <xf numFmtId="0" fontId="10" fillId="0" borderId="35" xfId="0" applyFont="1" applyBorder="1" applyAlignment="1">
      <alignment horizontal="center" vertical="center"/>
    </xf>
    <xf numFmtId="0" fontId="10" fillId="0" borderId="16" xfId="0" applyFont="1" applyBorder="1" applyAlignment="1">
      <alignment horizontal="left" vertical="center" wrapText="1"/>
    </xf>
    <xf numFmtId="2" fontId="9" fillId="0" borderId="45" xfId="0" applyNumberFormat="1" applyFont="1" applyBorder="1" applyAlignment="1">
      <alignment horizontal="left" vertical="top" wrapText="1"/>
    </xf>
    <xf numFmtId="2" fontId="9" fillId="0" borderId="39" xfId="0" applyNumberFormat="1" applyFont="1" applyBorder="1" applyAlignment="1">
      <alignment horizontal="left" vertical="top" wrapText="1"/>
    </xf>
    <xf numFmtId="2" fontId="9" fillId="0" borderId="27" xfId="0" applyNumberFormat="1" applyFont="1" applyBorder="1" applyAlignment="1">
      <alignment horizontal="left" vertical="top" wrapText="1"/>
    </xf>
    <xf numFmtId="0" fontId="9" fillId="8" borderId="30" xfId="0" applyFont="1" applyFill="1" applyBorder="1" applyAlignment="1">
      <alignment horizontal="left" vertical="center"/>
    </xf>
    <xf numFmtId="0" fontId="9" fillId="8" borderId="32" xfId="0" applyFont="1" applyFill="1" applyBorder="1" applyAlignment="1">
      <alignment horizontal="left" vertical="center"/>
    </xf>
    <xf numFmtId="0" fontId="9" fillId="8" borderId="31" xfId="0" applyFont="1" applyFill="1" applyBorder="1" applyAlignment="1">
      <alignment horizontal="left" vertical="center"/>
    </xf>
    <xf numFmtId="0" fontId="16" fillId="5" borderId="13" xfId="0" applyFont="1" applyFill="1" applyBorder="1" applyAlignment="1">
      <alignment horizontal="center" vertical="center"/>
    </xf>
    <xf numFmtId="0" fontId="16" fillId="5" borderId="14" xfId="0" applyFont="1" applyFill="1" applyBorder="1" applyAlignment="1">
      <alignment horizontal="center" vertical="center"/>
    </xf>
    <xf numFmtId="0" fontId="16" fillId="5" borderId="15" xfId="0" applyFont="1" applyFill="1" applyBorder="1" applyAlignment="1">
      <alignment horizontal="center" vertical="center"/>
    </xf>
    <xf numFmtId="0" fontId="36" fillId="9" borderId="100" xfId="0" applyFont="1" applyFill="1" applyBorder="1" applyAlignment="1">
      <alignment horizontal="left" vertical="center" wrapText="1"/>
    </xf>
    <xf numFmtId="0" fontId="5" fillId="0" borderId="79" xfId="0" applyFont="1" applyFill="1" applyBorder="1" applyAlignment="1">
      <alignment horizontal="center" vertical="center" wrapText="1"/>
    </xf>
    <xf numFmtId="0" fontId="5" fillId="0" borderId="80" xfId="0" applyFont="1" applyFill="1" applyBorder="1" applyAlignment="1">
      <alignment horizontal="center" vertical="center" wrapText="1"/>
    </xf>
    <xf numFmtId="0" fontId="5" fillId="0" borderId="81" xfId="0" applyFont="1" applyFill="1" applyBorder="1" applyAlignment="1">
      <alignment horizontal="center" vertical="center" wrapText="1"/>
    </xf>
    <xf numFmtId="0" fontId="14" fillId="0" borderId="67" xfId="0" applyFont="1" applyFill="1" applyBorder="1" applyAlignment="1">
      <alignment horizontal="left" vertical="center" wrapText="1"/>
    </xf>
    <xf numFmtId="0" fontId="14" fillId="0" borderId="50" xfId="0" applyFont="1" applyFill="1" applyBorder="1" applyAlignment="1">
      <alignment horizontal="left" vertical="center" wrapText="1"/>
    </xf>
    <xf numFmtId="0" fontId="5" fillId="0" borderId="33" xfId="0" applyFont="1" applyFill="1" applyBorder="1" applyAlignment="1">
      <alignment horizontal="center" vertical="center" wrapText="1"/>
    </xf>
    <xf numFmtId="0" fontId="5" fillId="0" borderId="32" xfId="0" applyFont="1" applyFill="1" applyBorder="1" applyAlignment="1">
      <alignment horizontal="center" vertical="center" wrapText="1"/>
    </xf>
    <xf numFmtId="0" fontId="5" fillId="0" borderId="31" xfId="0" applyFont="1" applyFill="1" applyBorder="1" applyAlignment="1">
      <alignment horizontal="center" vertical="center" wrapText="1"/>
    </xf>
    <xf numFmtId="0" fontId="14" fillId="0" borderId="30" xfId="0" applyFont="1" applyFill="1" applyBorder="1" applyAlignment="1">
      <alignment horizontal="left" vertical="center" wrapText="1"/>
    </xf>
    <xf numFmtId="0" fontId="14" fillId="0" borderId="31" xfId="0" applyFont="1" applyFill="1" applyBorder="1" applyAlignment="1">
      <alignment horizontal="left" vertical="center" wrapText="1"/>
    </xf>
    <xf numFmtId="0" fontId="14" fillId="0" borderId="61" xfId="0" applyFont="1" applyFill="1" applyBorder="1" applyAlignment="1">
      <alignment horizontal="left" vertical="center" wrapText="1"/>
    </xf>
    <xf numFmtId="0" fontId="14" fillId="0" borderId="62" xfId="0" applyFont="1" applyFill="1" applyBorder="1" applyAlignment="1">
      <alignment horizontal="left" vertical="center" wrapText="1"/>
    </xf>
    <xf numFmtId="0" fontId="14" fillId="0" borderId="63" xfId="0" applyFont="1" applyFill="1" applyBorder="1" applyAlignment="1">
      <alignment horizontal="left" vertical="center" wrapText="1"/>
    </xf>
    <xf numFmtId="0" fontId="5" fillId="0" borderId="68" xfId="0" applyFont="1" applyFill="1" applyBorder="1" applyAlignment="1">
      <alignment horizontal="center" vertical="center" wrapText="1"/>
    </xf>
    <xf numFmtId="0" fontId="5" fillId="0" borderId="69" xfId="0" applyFont="1" applyFill="1" applyBorder="1" applyAlignment="1">
      <alignment horizontal="center" vertical="center" wrapText="1"/>
    </xf>
    <xf numFmtId="0" fontId="14" fillId="0" borderId="49" xfId="0" applyFont="1" applyFill="1" applyBorder="1" applyAlignment="1">
      <alignment horizontal="left" vertical="center" wrapText="1"/>
    </xf>
    <xf numFmtId="0" fontId="14" fillId="0" borderId="58" xfId="0" applyFont="1" applyFill="1" applyBorder="1" applyAlignment="1">
      <alignment horizontal="left" vertical="center" wrapText="1"/>
    </xf>
    <xf numFmtId="0" fontId="35" fillId="0" borderId="57" xfId="0" applyFont="1" applyFill="1" applyBorder="1" applyAlignment="1">
      <alignment horizontal="left" vertical="center" wrapText="1"/>
    </xf>
    <xf numFmtId="0" fontId="35" fillId="0" borderId="58" xfId="0" applyFont="1" applyFill="1" applyBorder="1" applyAlignment="1">
      <alignment horizontal="left" vertical="center" wrapText="1"/>
    </xf>
    <xf numFmtId="0" fontId="35" fillId="0" borderId="59" xfId="0" applyFont="1" applyFill="1" applyBorder="1" applyAlignment="1">
      <alignment horizontal="left" vertical="center" wrapText="1"/>
    </xf>
    <xf numFmtId="0" fontId="14" fillId="0" borderId="57" xfId="0" applyFont="1" applyFill="1" applyBorder="1" applyAlignment="1">
      <alignment horizontal="left" vertical="center" wrapText="1"/>
    </xf>
    <xf numFmtId="0" fontId="36" fillId="0" borderId="61" xfId="0" applyFont="1" applyFill="1" applyBorder="1" applyAlignment="1">
      <alignment horizontal="left" vertical="center" wrapText="1"/>
    </xf>
    <xf numFmtId="0" fontId="36" fillId="0" borderId="62" xfId="0" applyFont="1" applyFill="1" applyBorder="1" applyAlignment="1">
      <alignment horizontal="left" vertical="center" wrapText="1"/>
    </xf>
    <xf numFmtId="0" fontId="14" fillId="0" borderId="72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vertical="center" wrapText="1"/>
    </xf>
    <xf numFmtId="0" fontId="5" fillId="0" borderId="84" xfId="0" applyFont="1" applyFill="1" applyBorder="1" applyAlignment="1">
      <alignment horizontal="center" vertical="center" wrapText="1"/>
    </xf>
    <xf numFmtId="0" fontId="14" fillId="0" borderId="85" xfId="0" applyFont="1" applyFill="1" applyBorder="1" applyAlignment="1">
      <alignment horizontal="left" vertical="center" wrapText="1"/>
    </xf>
    <xf numFmtId="0" fontId="5" fillId="0" borderId="82" xfId="0" applyFont="1" applyFill="1" applyBorder="1" applyAlignment="1">
      <alignment horizontal="center" vertical="center" wrapText="1"/>
    </xf>
    <xf numFmtId="0" fontId="5" fillId="0" borderId="58" xfId="0" applyFont="1" applyFill="1" applyBorder="1" applyAlignment="1">
      <alignment horizontal="center" vertical="center" wrapText="1"/>
    </xf>
    <xf numFmtId="0" fontId="5" fillId="0" borderId="59" xfId="0" applyFont="1" applyFill="1" applyBorder="1" applyAlignment="1">
      <alignment horizontal="center" vertical="center" wrapText="1"/>
    </xf>
    <xf numFmtId="0" fontId="14" fillId="0" borderId="69" xfId="0" applyFont="1" applyFill="1" applyBorder="1" applyAlignment="1">
      <alignment horizontal="left" vertical="center" wrapText="1"/>
    </xf>
    <xf numFmtId="0" fontId="14" fillId="0" borderId="32" xfId="0" applyFont="1" applyFill="1" applyBorder="1" applyAlignment="1">
      <alignment horizontal="left" vertical="center" wrapText="1"/>
    </xf>
    <xf numFmtId="0" fontId="14" fillId="0" borderId="59" xfId="0" applyFont="1" applyFill="1" applyBorder="1" applyAlignment="1">
      <alignment horizontal="left" vertical="center" wrapText="1"/>
    </xf>
    <xf numFmtId="0" fontId="36" fillId="0" borderId="63" xfId="0" applyFont="1" applyFill="1" applyBorder="1" applyAlignment="1">
      <alignment horizontal="left" vertical="center" wrapText="1"/>
    </xf>
    <xf numFmtId="0" fontId="14" fillId="0" borderId="32" xfId="0" applyFont="1" applyFill="1" applyBorder="1" applyAlignment="1">
      <alignment horizontal="right" vertical="center" wrapText="1"/>
    </xf>
    <xf numFmtId="0" fontId="14" fillId="0" borderId="74" xfId="0" applyFont="1" applyFill="1" applyBorder="1" applyAlignment="1">
      <alignment horizontal="right" vertical="center" wrapText="1"/>
    </xf>
    <xf numFmtId="0" fontId="5" fillId="0" borderId="32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33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4" fontId="6" fillId="0" borderId="1" xfId="1" applyNumberFormat="1" applyFont="1" applyBorder="1" applyAlignment="1">
      <alignment vertical="center"/>
    </xf>
    <xf numFmtId="164" fontId="6" fillId="0" borderId="3" xfId="1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3" xfId="0" applyFont="1" applyBorder="1" applyAlignment="1">
      <alignment horizontal="right" vertical="center"/>
    </xf>
    <xf numFmtId="0" fontId="6" fillId="0" borderId="32" xfId="0" applyFont="1" applyBorder="1" applyAlignment="1">
      <alignment horizontal="right" vertical="center"/>
    </xf>
    <xf numFmtId="0" fontId="6" fillId="0" borderId="31" xfId="0" applyFont="1" applyBorder="1" applyAlignment="1">
      <alignment horizontal="right" vertical="center"/>
    </xf>
    <xf numFmtId="0" fontId="6" fillId="0" borderId="30" xfId="0" applyFont="1" applyBorder="1" applyAlignment="1">
      <alignment horizontal="left" vertical="center"/>
    </xf>
    <xf numFmtId="0" fontId="6" fillId="0" borderId="32" xfId="0" applyFont="1" applyBorder="1" applyAlignment="1">
      <alignment horizontal="left" vertical="center"/>
    </xf>
    <xf numFmtId="0" fontId="6" fillId="0" borderId="31" xfId="0" applyFont="1" applyBorder="1" applyAlignment="1">
      <alignment horizontal="left" vertical="center"/>
    </xf>
    <xf numFmtId="0" fontId="7" fillId="0" borderId="30" xfId="0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7" fillId="0" borderId="31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7" fillId="0" borderId="27" xfId="0" applyFont="1" applyBorder="1" applyAlignment="1">
      <alignment horizontal="left" vertical="center"/>
    </xf>
    <xf numFmtId="0" fontId="7" fillId="0" borderId="28" xfId="0" applyFont="1" applyBorder="1" applyAlignment="1">
      <alignment horizontal="left" vertical="center"/>
    </xf>
    <xf numFmtId="0" fontId="7" fillId="0" borderId="29" xfId="0" applyFont="1" applyBorder="1" applyAlignment="1">
      <alignment horizontal="left" vertical="center"/>
    </xf>
    <xf numFmtId="41" fontId="5" fillId="0" borderId="30" xfId="0" applyNumberFormat="1" applyFont="1" applyBorder="1" applyAlignment="1">
      <alignment horizontal="center" vertical="center"/>
    </xf>
    <xf numFmtId="41" fontId="5" fillId="0" borderId="31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33" xfId="0" applyFont="1" applyBorder="1" applyAlignment="1">
      <alignment horizontal="right"/>
    </xf>
    <xf numFmtId="0" fontId="5" fillId="0" borderId="32" xfId="0" applyFont="1" applyBorder="1" applyAlignment="1">
      <alignment horizontal="right"/>
    </xf>
    <xf numFmtId="0" fontId="5" fillId="0" borderId="31" xfId="0" applyFont="1" applyBorder="1" applyAlignment="1">
      <alignment horizontal="right"/>
    </xf>
    <xf numFmtId="0" fontId="5" fillId="0" borderId="30" xfId="0" applyFont="1" applyBorder="1" applyAlignment="1">
      <alignment horizontal="left"/>
    </xf>
    <xf numFmtId="0" fontId="5" fillId="0" borderId="32" xfId="0" applyFont="1" applyBorder="1" applyAlignment="1">
      <alignment horizontal="left"/>
    </xf>
    <xf numFmtId="0" fontId="5" fillId="0" borderId="31" xfId="0" applyFont="1" applyBorder="1" applyAlignment="1">
      <alignment horizontal="left"/>
    </xf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6" fillId="9" borderId="100" xfId="0" applyFont="1" applyFill="1" applyBorder="1" applyAlignment="1">
      <alignment horizontal="left" wrapText="1"/>
    </xf>
    <xf numFmtId="0" fontId="6" fillId="0" borderId="36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164" fontId="6" fillId="0" borderId="2" xfId="1" applyNumberFormat="1" applyFont="1" applyBorder="1" applyAlignment="1">
      <alignment vertical="center"/>
    </xf>
    <xf numFmtId="164" fontId="6" fillId="0" borderId="4" xfId="1" applyNumberFormat="1" applyFont="1" applyBorder="1" applyAlignment="1">
      <alignment vertical="center"/>
    </xf>
    <xf numFmtId="0" fontId="14" fillId="0" borderId="57" xfId="0" applyFont="1" applyFill="1" applyBorder="1" applyAlignment="1">
      <alignment horizontal="left" vertical="top" wrapText="1"/>
    </xf>
    <xf numFmtId="0" fontId="14" fillId="0" borderId="58" xfId="0" applyFont="1" applyFill="1" applyBorder="1" applyAlignment="1">
      <alignment horizontal="left" vertical="top" wrapText="1"/>
    </xf>
    <xf numFmtId="0" fontId="14" fillId="0" borderId="59" xfId="0" applyFont="1" applyFill="1" applyBorder="1" applyAlignment="1">
      <alignment horizontal="left" vertical="top" wrapText="1"/>
    </xf>
    <xf numFmtId="0" fontId="35" fillId="0" borderId="57" xfId="0" applyFont="1" applyFill="1" applyBorder="1" applyAlignment="1">
      <alignment horizontal="left" vertical="top" wrapText="1"/>
    </xf>
    <xf numFmtId="0" fontId="35" fillId="0" borderId="58" xfId="0" applyFont="1" applyFill="1" applyBorder="1" applyAlignment="1">
      <alignment horizontal="left" vertical="top" wrapText="1"/>
    </xf>
    <xf numFmtId="0" fontId="35" fillId="0" borderId="59" xfId="0" applyFont="1" applyFill="1" applyBorder="1" applyAlignment="1">
      <alignment horizontal="left" vertical="top" wrapText="1"/>
    </xf>
    <xf numFmtId="0" fontId="14" fillId="0" borderId="61" xfId="0" applyFont="1" applyFill="1" applyBorder="1" applyAlignment="1">
      <alignment horizontal="left" vertical="top" wrapText="1"/>
    </xf>
    <xf numFmtId="0" fontId="14" fillId="0" borderId="62" xfId="0" applyFont="1" applyFill="1" applyBorder="1" applyAlignment="1">
      <alignment horizontal="left" vertical="top" wrapText="1"/>
    </xf>
    <xf numFmtId="0" fontId="14" fillId="0" borderId="63" xfId="0" applyFont="1" applyFill="1" applyBorder="1" applyAlignment="1">
      <alignment horizontal="left" vertical="top" wrapText="1"/>
    </xf>
    <xf numFmtId="0" fontId="5" fillId="0" borderId="79" xfId="0" applyFont="1" applyFill="1" applyBorder="1" applyAlignment="1">
      <alignment horizontal="center" vertical="top" wrapText="1"/>
    </xf>
    <xf numFmtId="0" fontId="5" fillId="0" borderId="80" xfId="0" applyFont="1" applyFill="1" applyBorder="1" applyAlignment="1">
      <alignment horizontal="center" vertical="top" wrapText="1"/>
    </xf>
    <xf numFmtId="0" fontId="5" fillId="0" borderId="81" xfId="0" applyFont="1" applyFill="1" applyBorder="1" applyAlignment="1">
      <alignment horizontal="center" vertical="top" wrapText="1"/>
    </xf>
    <xf numFmtId="0" fontId="14" fillId="0" borderId="67" xfId="0" applyFont="1" applyFill="1" applyBorder="1" applyAlignment="1">
      <alignment horizontal="left" vertical="top" wrapText="1"/>
    </xf>
    <xf numFmtId="0" fontId="14" fillId="0" borderId="50" xfId="0" applyFont="1" applyFill="1" applyBorder="1" applyAlignment="1">
      <alignment horizontal="left" vertical="top" wrapText="1"/>
    </xf>
    <xf numFmtId="0" fontId="5" fillId="0" borderId="82" xfId="0" applyFont="1" applyFill="1" applyBorder="1" applyAlignment="1">
      <alignment horizontal="center" vertical="top" wrapText="1"/>
    </xf>
    <xf numFmtId="0" fontId="5" fillId="0" borderId="58" xfId="0" applyFont="1" applyFill="1" applyBorder="1" applyAlignment="1">
      <alignment horizontal="center" vertical="top" wrapText="1"/>
    </xf>
    <xf numFmtId="0" fontId="5" fillId="0" borderId="59" xfId="0" applyFont="1" applyFill="1" applyBorder="1" applyAlignment="1">
      <alignment horizontal="center" vertical="top" wrapText="1"/>
    </xf>
    <xf numFmtId="0" fontId="14" fillId="0" borderId="72" xfId="0" applyFont="1" applyFill="1" applyBorder="1" applyAlignment="1">
      <alignment horizontal="left" vertical="top" wrapText="1" indent="1"/>
    </xf>
    <xf numFmtId="0" fontId="14" fillId="0" borderId="85" xfId="0" applyFont="1" applyFill="1" applyBorder="1" applyAlignment="1">
      <alignment horizontal="left" vertical="top" wrapText="1" indent="1"/>
    </xf>
    <xf numFmtId="0" fontId="5" fillId="0" borderId="33" xfId="0" applyFont="1" applyFill="1" applyBorder="1" applyAlignment="1">
      <alignment horizontal="center" vertical="top" wrapText="1"/>
    </xf>
    <xf numFmtId="0" fontId="5" fillId="0" borderId="32" xfId="0" applyFont="1" applyFill="1" applyBorder="1" applyAlignment="1">
      <alignment horizontal="center" vertical="top" wrapText="1"/>
    </xf>
    <xf numFmtId="0" fontId="5" fillId="0" borderId="74" xfId="0" applyFont="1" applyFill="1" applyBorder="1" applyAlignment="1">
      <alignment horizontal="center" vertical="top" wrapText="1"/>
    </xf>
    <xf numFmtId="0" fontId="14" fillId="0" borderId="86" xfId="0" applyFont="1" applyFill="1" applyBorder="1" applyAlignment="1">
      <alignment horizontal="left" vertical="top" wrapText="1" indent="1"/>
    </xf>
    <xf numFmtId="0" fontId="14" fillId="0" borderId="74" xfId="0" applyFont="1" applyFill="1" applyBorder="1" applyAlignment="1">
      <alignment horizontal="left" vertical="top" wrapText="1" indent="1"/>
    </xf>
    <xf numFmtId="0" fontId="5" fillId="0" borderId="68" xfId="0" applyFont="1" applyFill="1" applyBorder="1" applyAlignment="1">
      <alignment horizontal="center" vertical="top" wrapText="1"/>
    </xf>
    <xf numFmtId="0" fontId="5" fillId="0" borderId="69" xfId="0" applyFont="1" applyFill="1" applyBorder="1" applyAlignment="1">
      <alignment horizontal="center" vertical="top" wrapText="1"/>
    </xf>
    <xf numFmtId="0" fontId="5" fillId="0" borderId="84" xfId="0" applyFont="1" applyFill="1" applyBorder="1" applyAlignment="1">
      <alignment horizontal="center" vertical="top" wrapText="1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33" xfId="0" applyFont="1" applyBorder="1" applyAlignment="1">
      <alignment horizontal="right" vertical="center"/>
    </xf>
    <xf numFmtId="0" fontId="5" fillId="0" borderId="32" xfId="0" applyFont="1" applyBorder="1" applyAlignment="1">
      <alignment horizontal="right" vertical="center"/>
    </xf>
    <xf numFmtId="0" fontId="5" fillId="0" borderId="31" xfId="0" applyFont="1" applyBorder="1" applyAlignment="1">
      <alignment horizontal="right" vertical="center"/>
    </xf>
    <xf numFmtId="0" fontId="5" fillId="0" borderId="30" xfId="0" applyFont="1" applyBorder="1" applyAlignment="1">
      <alignment horizontal="left" vertical="center"/>
    </xf>
    <xf numFmtId="0" fontId="5" fillId="0" borderId="32" xfId="0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5" fillId="0" borderId="27" xfId="0" applyFont="1" applyBorder="1" applyAlignment="1">
      <alignment horizontal="left" vertical="center"/>
    </xf>
    <xf numFmtId="0" fontId="5" fillId="0" borderId="28" xfId="0" applyFont="1" applyBorder="1" applyAlignment="1">
      <alignment horizontal="left" vertical="center"/>
    </xf>
    <xf numFmtId="0" fontId="5" fillId="0" borderId="29" xfId="0" applyFont="1" applyBorder="1" applyAlignment="1">
      <alignment horizontal="left" vertical="center"/>
    </xf>
    <xf numFmtId="0" fontId="14" fillId="0" borderId="27" xfId="0" applyFont="1" applyFill="1" applyBorder="1" applyAlignment="1">
      <alignment horizontal="left" vertical="center" wrapText="1"/>
    </xf>
    <xf numFmtId="0" fontId="14" fillId="0" borderId="29" xfId="0" applyFont="1" applyFill="1" applyBorder="1" applyAlignment="1">
      <alignment horizontal="left" vertical="center" wrapText="1"/>
    </xf>
    <xf numFmtId="0" fontId="14" fillId="0" borderId="16" xfId="0" applyFont="1" applyFill="1" applyBorder="1" applyAlignment="1">
      <alignment horizontal="left" vertical="top" wrapText="1"/>
    </xf>
    <xf numFmtId="0" fontId="14" fillId="0" borderId="30" xfId="0" applyFont="1" applyFill="1" applyBorder="1" applyAlignment="1">
      <alignment horizontal="left" vertical="top" wrapText="1" indent="1"/>
    </xf>
    <xf numFmtId="0" fontId="14" fillId="0" borderId="31" xfId="0" applyFont="1" applyFill="1" applyBorder="1" applyAlignment="1">
      <alignment horizontal="left" vertical="top" wrapText="1" indent="1"/>
    </xf>
    <xf numFmtId="0" fontId="14" fillId="0" borderId="30" xfId="0" applyFont="1" applyFill="1" applyBorder="1" applyAlignment="1">
      <alignment horizontal="left" vertical="top" wrapText="1"/>
    </xf>
    <xf numFmtId="0" fontId="14" fillId="0" borderId="31" xfId="0" applyFont="1" applyFill="1" applyBorder="1" applyAlignment="1">
      <alignment horizontal="left" vertical="top" wrapText="1"/>
    </xf>
    <xf numFmtId="0" fontId="14" fillId="0" borderId="0" xfId="0" applyFont="1" applyFill="1" applyBorder="1" applyAlignment="1">
      <alignment horizontal="left" vertical="top" wrapText="1"/>
    </xf>
    <xf numFmtId="0" fontId="14" fillId="0" borderId="49" xfId="0" applyFont="1" applyFill="1" applyBorder="1" applyAlignment="1">
      <alignment horizontal="left" vertical="top" wrapText="1"/>
    </xf>
    <xf numFmtId="0" fontId="35" fillId="0" borderId="16" xfId="0" applyFont="1" applyFill="1" applyBorder="1" applyAlignment="1">
      <alignment horizontal="left" vertical="top" wrapText="1"/>
    </xf>
    <xf numFmtId="0" fontId="14" fillId="0" borderId="5" xfId="0" applyFont="1" applyFill="1" applyBorder="1" applyAlignment="1">
      <alignment horizontal="left" vertical="top" wrapText="1"/>
    </xf>
    <xf numFmtId="0" fontId="14" fillId="0" borderId="30" xfId="0" applyFont="1" applyFill="1" applyBorder="1" applyAlignment="1">
      <alignment horizontal="left" vertical="top" wrapText="1" indent="2"/>
    </xf>
    <xf numFmtId="0" fontId="14" fillId="0" borderId="31" xfId="0" applyFont="1" applyFill="1" applyBorder="1" applyAlignment="1">
      <alignment horizontal="left" vertical="top" wrapText="1" indent="2"/>
    </xf>
    <xf numFmtId="0" fontId="5" fillId="0" borderId="31" xfId="0" applyFont="1" applyFill="1" applyBorder="1" applyAlignment="1">
      <alignment horizontal="center" vertical="top" wrapText="1"/>
    </xf>
    <xf numFmtId="0" fontId="14" fillId="0" borderId="30" xfId="0" applyFont="1" applyFill="1" applyBorder="1" applyAlignment="1">
      <alignment horizontal="center" vertical="top" wrapText="1"/>
    </xf>
    <xf numFmtId="0" fontId="14" fillId="0" borderId="31" xfId="0" applyFont="1" applyFill="1" applyBorder="1" applyAlignment="1">
      <alignment horizontal="center" vertical="top" wrapText="1"/>
    </xf>
    <xf numFmtId="0" fontId="14" fillId="0" borderId="57" xfId="0" applyFont="1" applyFill="1" applyBorder="1" applyAlignment="1">
      <alignment horizontal="center" vertical="top" wrapText="1"/>
    </xf>
    <xf numFmtId="0" fontId="14" fillId="0" borderId="58" xfId="0" applyFont="1" applyFill="1" applyBorder="1" applyAlignment="1">
      <alignment horizontal="center" vertical="top" wrapText="1"/>
    </xf>
    <xf numFmtId="0" fontId="14" fillId="0" borderId="0" xfId="0" applyFont="1" applyFill="1" applyBorder="1" applyAlignment="1">
      <alignment horizontal="center" vertical="top" wrapText="1"/>
    </xf>
    <xf numFmtId="0" fontId="14" fillId="0" borderId="59" xfId="0" applyFont="1" applyFill="1" applyBorder="1" applyAlignment="1">
      <alignment horizontal="center" vertical="top" wrapText="1"/>
    </xf>
    <xf numFmtId="0" fontId="35" fillId="0" borderId="57" xfId="0" applyFont="1" applyFill="1" applyBorder="1" applyAlignment="1">
      <alignment horizontal="center" vertical="center" wrapText="1"/>
    </xf>
    <xf numFmtId="0" fontId="35" fillId="0" borderId="58" xfId="0" applyFont="1" applyFill="1" applyBorder="1" applyAlignment="1">
      <alignment horizontal="center" vertical="center" wrapText="1"/>
    </xf>
    <xf numFmtId="0" fontId="35" fillId="0" borderId="59" xfId="0" applyFont="1" applyFill="1" applyBorder="1" applyAlignment="1">
      <alignment horizontal="center" vertical="center" wrapText="1"/>
    </xf>
    <xf numFmtId="0" fontId="14" fillId="0" borderId="57" xfId="0" applyFont="1" applyFill="1" applyBorder="1" applyAlignment="1">
      <alignment horizontal="center" vertical="center" wrapText="1"/>
    </xf>
    <xf numFmtId="0" fontId="14" fillId="0" borderId="59" xfId="0" applyFont="1" applyFill="1" applyBorder="1" applyAlignment="1">
      <alignment horizontal="center" vertical="center" wrapText="1"/>
    </xf>
    <xf numFmtId="0" fontId="14" fillId="0" borderId="61" xfId="0" applyFont="1" applyFill="1" applyBorder="1" applyAlignment="1">
      <alignment horizontal="center" vertical="center" wrapText="1"/>
    </xf>
    <xf numFmtId="0" fontId="14" fillId="0" borderId="62" xfId="0" applyFont="1" applyFill="1" applyBorder="1" applyAlignment="1">
      <alignment horizontal="center" vertical="center" wrapText="1"/>
    </xf>
    <xf numFmtId="0" fontId="14" fillId="0" borderId="63" xfId="0" applyFont="1" applyFill="1" applyBorder="1" applyAlignment="1">
      <alignment horizontal="center" vertical="center" wrapText="1"/>
    </xf>
    <xf numFmtId="0" fontId="14" fillId="0" borderId="30" xfId="0" applyFont="1" applyFill="1" applyBorder="1" applyAlignment="1">
      <alignment horizontal="center" vertical="center" wrapText="1"/>
    </xf>
    <xf numFmtId="0" fontId="14" fillId="0" borderId="31" xfId="0" applyFont="1" applyFill="1" applyBorder="1" applyAlignment="1">
      <alignment horizontal="center" vertical="center" wrapText="1"/>
    </xf>
    <xf numFmtId="0" fontId="14" fillId="0" borderId="58" xfId="0" applyFont="1" applyFill="1" applyBorder="1" applyAlignment="1">
      <alignment horizontal="center" vertical="center" wrapText="1"/>
    </xf>
    <xf numFmtId="0" fontId="14" fillId="0" borderId="49" xfId="0" applyFont="1" applyFill="1" applyBorder="1" applyAlignment="1">
      <alignment horizontal="center" vertical="center" wrapText="1"/>
    </xf>
    <xf numFmtId="0" fontId="14" fillId="0" borderId="50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14" fillId="0" borderId="32" xfId="0" applyFont="1" applyFill="1" applyBorder="1" applyAlignment="1">
      <alignment horizontal="center" vertical="top" wrapText="1"/>
    </xf>
    <xf numFmtId="0" fontId="14" fillId="0" borderId="93" xfId="0" applyFont="1" applyFill="1" applyBorder="1" applyAlignment="1">
      <alignment horizontal="center" vertical="top" wrapText="1"/>
    </xf>
    <xf numFmtId="0" fontId="14" fillId="0" borderId="81" xfId="0" applyFont="1" applyFill="1" applyBorder="1" applyAlignment="1">
      <alignment horizontal="center" vertical="top" wrapText="1"/>
    </xf>
    <xf numFmtId="164" fontId="6" fillId="0" borderId="1" xfId="1" applyNumberFormat="1" applyFont="1" applyBorder="1" applyAlignment="1">
      <alignment horizontal="center" vertical="center"/>
    </xf>
    <xf numFmtId="164" fontId="6" fillId="0" borderId="3" xfId="1" applyNumberFormat="1" applyFont="1" applyBorder="1" applyAlignment="1">
      <alignment horizontal="center" vertical="center"/>
    </xf>
    <xf numFmtId="0" fontId="14" fillId="0" borderId="72" xfId="0" applyFont="1" applyFill="1" applyBorder="1" applyAlignment="1">
      <alignment horizontal="left" vertical="top" wrapText="1"/>
    </xf>
    <xf numFmtId="0" fontId="14" fillId="0" borderId="0" xfId="0" applyFont="1" applyFill="1" applyBorder="1" applyAlignment="1">
      <alignment horizontal="left" vertical="top" wrapText="1" indent="1"/>
    </xf>
    <xf numFmtId="0" fontId="14" fillId="0" borderId="45" xfId="0" applyFont="1" applyFill="1" applyBorder="1" applyAlignment="1">
      <alignment horizontal="left" vertical="top" wrapText="1"/>
    </xf>
    <xf numFmtId="0" fontId="14" fillId="0" borderId="46" xfId="0" applyFont="1" applyFill="1" applyBorder="1" applyAlignment="1">
      <alignment horizontal="left" vertical="top" wrapText="1"/>
    </xf>
    <xf numFmtId="0" fontId="14" fillId="0" borderId="86" xfId="0" applyFont="1" applyFill="1" applyBorder="1" applyAlignment="1">
      <alignment horizontal="left" vertical="top" wrapText="1"/>
    </xf>
    <xf numFmtId="0" fontId="14" fillId="0" borderId="32" xfId="0" applyFont="1" applyFill="1" applyBorder="1" applyAlignment="1">
      <alignment horizontal="left" vertical="top" wrapText="1"/>
    </xf>
    <xf numFmtId="0" fontId="35" fillId="0" borderId="67" xfId="0" applyFont="1" applyFill="1" applyBorder="1" applyAlignment="1">
      <alignment horizontal="left" vertical="top" wrapText="1"/>
    </xf>
    <xf numFmtId="0" fontId="35" fillId="0" borderId="49" xfId="0" applyFont="1" applyFill="1" applyBorder="1" applyAlignment="1">
      <alignment horizontal="left" vertical="top" wrapText="1"/>
    </xf>
    <xf numFmtId="0" fontId="35" fillId="0" borderId="50" xfId="0" applyFont="1" applyFill="1" applyBorder="1" applyAlignment="1">
      <alignment horizontal="left" vertical="top" wrapText="1"/>
    </xf>
    <xf numFmtId="0" fontId="14" fillId="0" borderId="45" xfId="0" applyFont="1" applyFill="1" applyBorder="1" applyAlignment="1">
      <alignment horizontal="left" vertical="top" wrapText="1" indent="2"/>
    </xf>
    <xf numFmtId="0" fontId="14" fillId="0" borderId="46" xfId="0" applyFont="1" applyFill="1" applyBorder="1" applyAlignment="1">
      <alignment horizontal="left" vertical="top" wrapText="1" indent="2"/>
    </xf>
    <xf numFmtId="0" fontId="5" fillId="0" borderId="32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vertical="top" wrapText="1" indent="2"/>
    </xf>
    <xf numFmtId="0" fontId="14" fillId="0" borderId="67" xfId="7" applyFont="1" applyFill="1" applyBorder="1" applyAlignment="1">
      <alignment horizontal="left" vertical="top" wrapText="1"/>
    </xf>
    <xf numFmtId="0" fontId="14" fillId="0" borderId="49" xfId="7" applyFont="1" applyFill="1" applyBorder="1" applyAlignment="1">
      <alignment horizontal="left" vertical="top" wrapText="1"/>
    </xf>
    <xf numFmtId="0" fontId="35" fillId="0" borderId="57" xfId="7" applyFont="1" applyFill="1" applyBorder="1" applyAlignment="1">
      <alignment horizontal="left" vertical="top" wrapText="1"/>
    </xf>
    <xf numFmtId="0" fontId="35" fillId="0" borderId="58" xfId="7" applyFont="1" applyFill="1" applyBorder="1" applyAlignment="1">
      <alignment horizontal="left" vertical="top" wrapText="1"/>
    </xf>
    <xf numFmtId="0" fontId="35" fillId="0" borderId="59" xfId="7" applyFont="1" applyFill="1" applyBorder="1" applyAlignment="1">
      <alignment horizontal="left" vertical="top" wrapText="1"/>
    </xf>
    <xf numFmtId="0" fontId="14" fillId="0" borderId="57" xfId="7" applyFont="1" applyFill="1" applyBorder="1" applyAlignment="1">
      <alignment horizontal="left" vertical="top" wrapText="1"/>
    </xf>
    <xf numFmtId="0" fontId="14" fillId="0" borderId="58" xfId="7" applyFont="1" applyFill="1" applyBorder="1" applyAlignment="1">
      <alignment horizontal="left" vertical="top" wrapText="1"/>
    </xf>
    <xf numFmtId="0" fontId="14" fillId="0" borderId="61" xfId="7" applyFont="1" applyFill="1" applyBorder="1" applyAlignment="1">
      <alignment horizontal="left" vertical="top" wrapText="1"/>
    </xf>
    <xf numFmtId="0" fontId="14" fillId="0" borderId="62" xfId="7" applyFont="1" applyFill="1" applyBorder="1" applyAlignment="1">
      <alignment horizontal="left" vertical="top" wrapText="1"/>
    </xf>
    <xf numFmtId="0" fontId="18" fillId="0" borderId="0" xfId="7" applyFont="1" applyFill="1" applyBorder="1" applyAlignment="1">
      <alignment horizontal="left" vertical="top" wrapText="1"/>
    </xf>
    <xf numFmtId="0" fontId="14" fillId="0" borderId="59" xfId="7" applyFont="1" applyFill="1" applyBorder="1" applyAlignment="1">
      <alignment horizontal="left" vertical="top" wrapText="1"/>
    </xf>
    <xf numFmtId="0" fontId="14" fillId="0" borderId="30" xfId="7" applyFont="1" applyFill="1" applyBorder="1" applyAlignment="1">
      <alignment horizontal="left" vertical="top" wrapText="1" indent="1"/>
    </xf>
    <xf numFmtId="0" fontId="14" fillId="0" borderId="31" xfId="7" applyFont="1" applyFill="1" applyBorder="1" applyAlignment="1">
      <alignment horizontal="left" vertical="top" wrapText="1" indent="1"/>
    </xf>
    <xf numFmtId="0" fontId="14" fillId="0" borderId="5" xfId="7" applyFont="1" applyFill="1" applyBorder="1" applyAlignment="1">
      <alignment horizontal="left" vertical="top" wrapText="1"/>
    </xf>
    <xf numFmtId="0" fontId="14" fillId="0" borderId="24" xfId="7" applyFont="1" applyFill="1" applyBorder="1" applyAlignment="1">
      <alignment horizontal="left" vertical="top" wrapText="1"/>
    </xf>
    <xf numFmtId="0" fontId="14" fillId="0" borderId="30" xfId="7" applyFont="1" applyFill="1" applyBorder="1" applyAlignment="1">
      <alignment horizontal="left" vertical="top" wrapText="1"/>
    </xf>
    <xf numFmtId="0" fontId="14" fillId="0" borderId="31" xfId="7" applyFont="1" applyFill="1" applyBorder="1" applyAlignment="1">
      <alignment horizontal="left" vertical="top" wrapText="1"/>
    </xf>
    <xf numFmtId="0" fontId="18" fillId="0" borderId="79" xfId="7" applyFont="1" applyFill="1" applyBorder="1" applyAlignment="1">
      <alignment horizontal="center" vertical="top" wrapText="1"/>
    </xf>
    <xf numFmtId="0" fontId="18" fillId="0" borderId="80" xfId="7" applyFont="1" applyFill="1" applyBorder="1" applyAlignment="1">
      <alignment horizontal="center" vertical="top" wrapText="1"/>
    </xf>
    <xf numFmtId="0" fontId="18" fillId="0" borderId="81" xfId="7" applyFont="1" applyFill="1" applyBorder="1" applyAlignment="1">
      <alignment horizontal="center" vertical="top" wrapText="1"/>
    </xf>
    <xf numFmtId="0" fontId="14" fillId="0" borderId="63" xfId="7" applyFont="1" applyFill="1" applyBorder="1" applyAlignment="1">
      <alignment horizontal="left" vertical="top" wrapText="1"/>
    </xf>
    <xf numFmtId="0" fontId="14" fillId="0" borderId="30" xfId="7" applyFont="1" applyFill="1" applyBorder="1" applyAlignment="1">
      <alignment horizontal="center" vertical="top" wrapText="1"/>
    </xf>
    <xf numFmtId="0" fontId="14" fillId="0" borderId="31" xfId="7" applyFont="1" applyFill="1" applyBorder="1" applyAlignment="1">
      <alignment horizontal="center" vertical="top" wrapText="1"/>
    </xf>
    <xf numFmtId="0" fontId="14" fillId="0" borderId="16" xfId="7" applyFont="1" applyFill="1" applyBorder="1" applyAlignment="1">
      <alignment horizontal="left" vertical="top" wrapText="1"/>
    </xf>
    <xf numFmtId="0" fontId="14" fillId="0" borderId="34" xfId="7" applyFont="1" applyFill="1" applyBorder="1" applyAlignment="1">
      <alignment horizontal="left" vertical="top" wrapText="1"/>
    </xf>
    <xf numFmtId="0" fontId="35" fillId="0" borderId="16" xfId="7" applyFont="1" applyFill="1" applyBorder="1" applyAlignment="1">
      <alignment horizontal="left" vertical="top" wrapText="1"/>
    </xf>
    <xf numFmtId="0" fontId="14" fillId="0" borderId="32" xfId="7" applyFont="1" applyFill="1" applyBorder="1" applyAlignment="1">
      <alignment horizontal="center" vertical="top" wrapText="1"/>
    </xf>
    <xf numFmtId="0" fontId="14" fillId="0" borderId="30" xfId="7" applyFont="1" applyFill="1" applyBorder="1" applyAlignment="1">
      <alignment horizontal="left" vertical="top" wrapText="1" indent="2"/>
    </xf>
    <xf numFmtId="0" fontId="14" fillId="0" borderId="31" xfId="7" applyFont="1" applyFill="1" applyBorder="1" applyAlignment="1">
      <alignment horizontal="left" vertical="top" wrapText="1" indent="2"/>
    </xf>
    <xf numFmtId="0" fontId="14" fillId="0" borderId="0" xfId="7" applyFont="1" applyFill="1" applyBorder="1" applyAlignment="1">
      <alignment horizontal="left" vertical="top" wrapText="1"/>
    </xf>
    <xf numFmtId="0" fontId="14" fillId="0" borderId="50" xfId="7" applyFont="1" applyFill="1" applyBorder="1" applyAlignment="1">
      <alignment horizontal="left" vertical="top" wrapText="1"/>
    </xf>
    <xf numFmtId="0" fontId="14" fillId="0" borderId="93" xfId="7" applyFont="1" applyFill="1" applyBorder="1" applyAlignment="1">
      <alignment horizontal="left" vertical="top" wrapText="1"/>
    </xf>
    <xf numFmtId="0" fontId="14" fillId="0" borderId="80" xfId="7" applyFont="1" applyFill="1" applyBorder="1" applyAlignment="1">
      <alignment horizontal="left" vertical="top" wrapText="1"/>
    </xf>
    <xf numFmtId="0" fontId="14" fillId="0" borderId="32" xfId="7" applyFont="1" applyFill="1" applyBorder="1" applyAlignment="1">
      <alignment horizontal="left" vertical="top" wrapText="1" indent="1"/>
    </xf>
    <xf numFmtId="0" fontId="14" fillId="0" borderId="45" xfId="7" applyFont="1" applyFill="1" applyBorder="1" applyAlignment="1">
      <alignment horizontal="left" vertical="top" wrapText="1"/>
    </xf>
    <xf numFmtId="0" fontId="14" fillId="0" borderId="46" xfId="7" applyFont="1" applyFill="1" applyBorder="1" applyAlignment="1">
      <alignment horizontal="left" vertical="top" wrapText="1"/>
    </xf>
    <xf numFmtId="0" fontId="14" fillId="0" borderId="0" xfId="7" applyFont="1" applyFill="1" applyBorder="1" applyAlignment="1">
      <alignment horizontal="left" vertical="top" wrapText="1" indent="1"/>
    </xf>
    <xf numFmtId="0" fontId="14" fillId="0" borderId="0" xfId="7" applyFont="1" applyFill="1" applyBorder="1" applyAlignment="1">
      <alignment horizontal="left" vertical="top" wrapText="1" indent="2"/>
    </xf>
    <xf numFmtId="0" fontId="14" fillId="0" borderId="0" xfId="7" applyFont="1" applyFill="1" applyBorder="1" applyAlignment="1">
      <alignment horizontal="left" vertical="top" wrapText="1" indent="3"/>
    </xf>
    <xf numFmtId="0" fontId="18" fillId="0" borderId="33" xfId="7" applyFont="1" applyFill="1" applyBorder="1" applyAlignment="1">
      <alignment horizontal="center" vertical="top" wrapText="1"/>
    </xf>
    <xf numFmtId="0" fontId="18" fillId="0" borderId="32" xfId="7" applyFont="1" applyFill="1" applyBorder="1" applyAlignment="1">
      <alignment horizontal="center" vertical="top" wrapText="1"/>
    </xf>
    <xf numFmtId="0" fontId="18" fillId="0" borderId="31" xfId="7" applyFont="1" applyFill="1" applyBorder="1" applyAlignment="1">
      <alignment horizontal="center" vertical="top" wrapText="1"/>
    </xf>
    <xf numFmtId="0" fontId="18" fillId="0" borderId="82" xfId="7" applyFont="1" applyFill="1" applyBorder="1" applyAlignment="1">
      <alignment horizontal="center" vertical="top" wrapText="1"/>
    </xf>
    <xf numFmtId="0" fontId="18" fillId="0" borderId="58" xfId="7" applyFont="1" applyFill="1" applyBorder="1" applyAlignment="1">
      <alignment horizontal="center" vertical="top" wrapText="1"/>
    </xf>
    <xf numFmtId="0" fontId="18" fillId="0" borderId="59" xfId="7" applyFont="1" applyFill="1" applyBorder="1" applyAlignment="1">
      <alignment horizontal="center" vertical="top" wrapText="1"/>
    </xf>
    <xf numFmtId="0" fontId="14" fillId="0" borderId="16" xfId="0" applyFont="1" applyFill="1" applyBorder="1" applyAlignment="1">
      <alignment horizontal="center" vertical="top" wrapText="1"/>
    </xf>
    <xf numFmtId="0" fontId="14" fillId="0" borderId="67" xfId="0" applyFont="1" applyFill="1" applyBorder="1" applyAlignment="1">
      <alignment horizontal="center" vertical="top" wrapText="1"/>
    </xf>
    <xf numFmtId="0" fontId="14" fillId="0" borderId="49" xfId="0" applyFont="1" applyFill="1" applyBorder="1" applyAlignment="1">
      <alignment horizontal="center" vertical="top" wrapText="1"/>
    </xf>
    <xf numFmtId="0" fontId="14" fillId="0" borderId="0" xfId="0" applyFont="1" applyFill="1" applyBorder="1" applyAlignment="1">
      <alignment horizontal="center" vertical="center" wrapText="1"/>
    </xf>
    <xf numFmtId="0" fontId="14" fillId="0" borderId="16" xfId="0" applyFont="1" applyFill="1" applyBorder="1" applyAlignment="1">
      <alignment horizontal="left" vertical="top" wrapText="1" indent="2"/>
    </xf>
    <xf numFmtId="0" fontId="14" fillId="0" borderId="45" xfId="0" applyFont="1" applyFill="1" applyBorder="1" applyAlignment="1">
      <alignment horizontal="left" vertical="center" wrapText="1"/>
    </xf>
    <xf numFmtId="0" fontId="14" fillId="0" borderId="46" xfId="0" applyFont="1" applyFill="1" applyBorder="1" applyAlignment="1">
      <alignment horizontal="left" vertical="center" wrapText="1"/>
    </xf>
    <xf numFmtId="0" fontId="14" fillId="0" borderId="16" xfId="0" applyFont="1" applyFill="1" applyBorder="1" applyAlignment="1">
      <alignment horizontal="left" vertical="center" wrapText="1"/>
    </xf>
    <xf numFmtId="0" fontId="35" fillId="0" borderId="16" xfId="0" applyFont="1" applyFill="1" applyBorder="1" applyAlignment="1">
      <alignment horizontal="left" vertical="center" wrapText="1"/>
    </xf>
    <xf numFmtId="0" fontId="14" fillId="0" borderId="45" xfId="0" applyFont="1" applyFill="1" applyBorder="1" applyAlignment="1">
      <alignment horizontal="left" vertical="top" wrapText="1" indent="1"/>
    </xf>
    <xf numFmtId="0" fontId="14" fillId="0" borderId="46" xfId="0" applyFont="1" applyFill="1" applyBorder="1" applyAlignment="1">
      <alignment horizontal="left" vertical="top" wrapText="1" indent="1"/>
    </xf>
    <xf numFmtId="0" fontId="14" fillId="0" borderId="27" xfId="0" applyFont="1" applyFill="1" applyBorder="1" applyAlignment="1">
      <alignment horizontal="left" vertical="top" wrapText="1" indent="1"/>
    </xf>
    <xf numFmtId="0" fontId="14" fillId="0" borderId="29" xfId="0" applyFont="1" applyFill="1" applyBorder="1" applyAlignment="1">
      <alignment horizontal="left" vertical="top" wrapText="1" indent="1"/>
    </xf>
    <xf numFmtId="0" fontId="35" fillId="0" borderId="61" xfId="0" applyFont="1" applyFill="1" applyBorder="1" applyAlignment="1">
      <alignment horizontal="left" vertical="top" wrapText="1"/>
    </xf>
    <xf numFmtId="0" fontId="35" fillId="0" borderId="62" xfId="0" applyFont="1" applyFill="1" applyBorder="1" applyAlignment="1">
      <alignment horizontal="left" vertical="top" wrapText="1"/>
    </xf>
    <xf numFmtId="0" fontId="35" fillId="0" borderId="63" xfId="0" applyFont="1" applyFill="1" applyBorder="1" applyAlignment="1">
      <alignment horizontal="left" vertical="top" wrapText="1"/>
    </xf>
    <xf numFmtId="0" fontId="14" fillId="0" borderId="26" xfId="0" applyFont="1" applyFill="1" applyBorder="1" applyAlignment="1">
      <alignment horizontal="left" vertical="top" wrapText="1" indent="2"/>
    </xf>
    <xf numFmtId="0" fontId="14" fillId="0" borderId="107" xfId="0" applyFont="1" applyFill="1" applyBorder="1" applyAlignment="1">
      <alignment horizontal="left" vertical="top" wrapText="1"/>
    </xf>
    <xf numFmtId="0" fontId="14" fillId="0" borderId="32" xfId="0" applyFont="1" applyFill="1" applyBorder="1" applyAlignment="1">
      <alignment horizontal="left" vertical="top" wrapText="1" indent="2"/>
    </xf>
    <xf numFmtId="0" fontId="14" fillId="0" borderId="30" xfId="0" applyFont="1" applyFill="1" applyBorder="1" applyAlignment="1">
      <alignment horizontal="left" vertical="top" wrapText="1" indent="3"/>
    </xf>
    <xf numFmtId="0" fontId="14" fillId="0" borderId="31" xfId="0" applyFont="1" applyFill="1" applyBorder="1" applyAlignment="1">
      <alignment horizontal="left" vertical="top" wrapText="1" indent="3"/>
    </xf>
    <xf numFmtId="0" fontId="8" fillId="2" borderId="1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9" fillId="3" borderId="36" xfId="0" applyFont="1" applyFill="1" applyBorder="1" applyAlignment="1">
      <alignment horizontal="center" vertical="center"/>
    </xf>
    <xf numFmtId="0" fontId="9" fillId="3" borderId="37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9">
    <cellStyle name="Comma" xfId="2" builtinId="3"/>
    <cellStyle name="Comma [0]" xfId="1" builtinId="6"/>
    <cellStyle name="Hyperlink" xfId="8" builtinId="8"/>
    <cellStyle name="Normal" xfId="0" builtinId="0"/>
    <cellStyle name="Normal 2" xfId="5"/>
    <cellStyle name="Normal 3" xfId="6"/>
    <cellStyle name="Normal 4" xfId="7"/>
    <cellStyle name="Normal_New AHS 2010" xfId="4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%20DIVISION\6.%20PROJECT%202014\3.%20AHS\laporan%20campuran%2023092014\ahs%202013_Lampiran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amp_1 (Konstruksi 1-199)"/>
      <sheetName val="Lamp_1 (Alat 200-225)"/>
      <sheetName val="Lamp_1 (E 226-254)"/>
      <sheetName val="Lamp_1 (E2 255-Akhir)"/>
      <sheetName val="Lampiran_2"/>
    </sheetNames>
    <sheetDataSet>
      <sheetData sheetId="0">
        <row r="329">
          <cell r="F329" t="str">
            <v>Meratakan tanah ditumbuk halus</v>
          </cell>
        </row>
        <row r="387">
          <cell r="F387" t="str">
            <v>Gebalan rumput</v>
          </cell>
        </row>
        <row r="393">
          <cell r="D393" t="str">
            <v>PEKERJAAN PONDASI</v>
          </cell>
        </row>
        <row r="531">
          <cell r="D531" t="str">
            <v>PEKERJAAN DINDING</v>
          </cell>
        </row>
        <row r="815">
          <cell r="D815" t="str">
            <v>PEKERJAAN BETON</v>
          </cell>
        </row>
        <row r="1432">
          <cell r="D1432" t="str">
            <v>PEKERJAAN PLESTERAN</v>
          </cell>
        </row>
        <row r="1703">
          <cell r="D1703" t="str">
            <v>PEKERJAAN PENUTUP LANTAI DAN DINDING</v>
          </cell>
        </row>
        <row r="1879">
          <cell r="F1879" t="str">
            <v>Pasang plint ubin PC abu-abu ukuran 10 x 20 cm</v>
          </cell>
        </row>
        <row r="2076">
          <cell r="F2076" t="str">
            <v>Pasang Batu Candi (30 x 30) Trotoar</v>
          </cell>
        </row>
        <row r="2085">
          <cell r="F2085" t="str">
            <v>Pasang Batu Candi (20 x 20) Trotoar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489"/>
  <sheetViews>
    <sheetView showGridLines="0" view="pageBreakPreview" topLeftCell="A187" zoomScale="115" zoomScaleSheetLayoutView="115" workbookViewId="0">
      <selection activeCell="C35" sqref="C35"/>
    </sheetView>
  </sheetViews>
  <sheetFormatPr defaultRowHeight="15.75"/>
  <cols>
    <col min="1" max="1" width="10.28515625" style="829" customWidth="1"/>
    <col min="2" max="2" width="9.7109375" style="902" customWidth="1"/>
    <col min="3" max="3" width="84" style="903" customWidth="1"/>
    <col min="4" max="4" width="15.85546875" style="904" customWidth="1"/>
    <col min="5" max="5" width="18.5703125" style="833" customWidth="1"/>
    <col min="6" max="10" width="9.140625" style="834"/>
    <col min="11" max="16384" width="9.140625" style="837"/>
  </cols>
  <sheetData>
    <row r="1" spans="1:10" s="834" customFormat="1">
      <c r="A1" s="829"/>
      <c r="B1" s="830"/>
      <c r="C1" s="831"/>
      <c r="D1" s="832"/>
      <c r="E1" s="833"/>
    </row>
    <row r="2" spans="1:10" s="834" customFormat="1">
      <c r="A2" s="829"/>
      <c r="B2" s="830"/>
      <c r="C2" s="831"/>
      <c r="D2" s="832"/>
      <c r="E2" s="833"/>
    </row>
    <row r="3" spans="1:10" s="834" customFormat="1">
      <c r="A3" s="829"/>
      <c r="B3" s="830"/>
      <c r="C3" s="831"/>
      <c r="D3" s="832"/>
      <c r="E3" s="833"/>
    </row>
    <row r="4" spans="1:10" s="834" customFormat="1">
      <c r="A4" s="829"/>
      <c r="B4" s="830"/>
      <c r="C4" s="831"/>
      <c r="D4" s="832"/>
      <c r="E4" s="833"/>
    </row>
    <row r="5" spans="1:10" s="834" customFormat="1">
      <c r="A5" s="829"/>
      <c r="B5" s="830"/>
      <c r="C5" s="831"/>
      <c r="D5" s="832"/>
      <c r="E5" s="833"/>
    </row>
    <row r="6" spans="1:10" s="834" customFormat="1">
      <c r="A6" s="829"/>
      <c r="B6" s="830"/>
      <c r="C6" s="831"/>
      <c r="D6" s="832"/>
      <c r="E6" s="833"/>
    </row>
    <row r="7" spans="1:10" ht="22.5" customHeight="1">
      <c r="A7" s="835"/>
      <c r="B7" s="979" t="s">
        <v>452</v>
      </c>
      <c r="C7" s="979"/>
      <c r="D7" s="836"/>
    </row>
    <row r="8" spans="1:10" s="834" customFormat="1" ht="16.5" thickBot="1">
      <c r="A8" s="829"/>
      <c r="B8" s="830"/>
      <c r="C8" s="831"/>
      <c r="D8" s="832"/>
      <c r="E8" s="833"/>
    </row>
    <row r="9" spans="1:10" ht="36" customHeight="1" thickBot="1">
      <c r="A9" s="838"/>
      <c r="B9" s="839" t="s">
        <v>1391</v>
      </c>
      <c r="C9" s="840" t="s">
        <v>83</v>
      </c>
      <c r="D9" s="841" t="s">
        <v>878</v>
      </c>
    </row>
    <row r="10" spans="1:10" s="847" customFormat="1" ht="36" customHeight="1">
      <c r="A10" s="838"/>
      <c r="B10" s="842" t="s">
        <v>454</v>
      </c>
      <c r="C10" s="843" t="s">
        <v>85</v>
      </c>
      <c r="D10" s="844"/>
      <c r="E10" s="845"/>
      <c r="F10" s="846"/>
      <c r="G10" s="846"/>
      <c r="H10" s="846"/>
      <c r="I10" s="846"/>
      <c r="J10" s="846"/>
    </row>
    <row r="11" spans="1:10" s="854" customFormat="1" ht="35.1" customHeight="1">
      <c r="A11" s="848"/>
      <c r="B11" s="849" t="s">
        <v>1375</v>
      </c>
      <c r="C11" s="850" t="s">
        <v>863</v>
      </c>
      <c r="D11" s="851" t="s">
        <v>879</v>
      </c>
      <c r="E11" s="852"/>
      <c r="F11" s="853"/>
      <c r="G11" s="853"/>
      <c r="H11" s="853"/>
      <c r="I11" s="853"/>
      <c r="J11" s="853"/>
    </row>
    <row r="12" spans="1:10" s="854" customFormat="1" ht="35.1" customHeight="1">
      <c r="A12" s="855"/>
      <c r="B12" s="849" t="s">
        <v>1376</v>
      </c>
      <c r="C12" s="856" t="s">
        <v>864</v>
      </c>
      <c r="D12" s="851" t="s">
        <v>879</v>
      </c>
      <c r="E12" s="852"/>
      <c r="F12" s="853"/>
      <c r="G12" s="853"/>
      <c r="H12" s="853"/>
      <c r="I12" s="853"/>
      <c r="J12" s="853"/>
    </row>
    <row r="13" spans="1:10" s="854" customFormat="1" ht="35.1" customHeight="1">
      <c r="A13" s="855"/>
      <c r="B13" s="849" t="s">
        <v>1377</v>
      </c>
      <c r="C13" s="857" t="s">
        <v>865</v>
      </c>
      <c r="D13" s="851" t="s">
        <v>879</v>
      </c>
      <c r="E13" s="852"/>
      <c r="F13" s="853"/>
      <c r="G13" s="853"/>
      <c r="H13" s="853"/>
      <c r="I13" s="853"/>
      <c r="J13" s="853"/>
    </row>
    <row r="14" spans="1:10" s="854" customFormat="1" ht="35.1" customHeight="1">
      <c r="A14" s="855"/>
      <c r="B14" s="849" t="s">
        <v>1378</v>
      </c>
      <c r="C14" s="856" t="s">
        <v>866</v>
      </c>
      <c r="D14" s="851" t="s">
        <v>879</v>
      </c>
      <c r="E14" s="852"/>
      <c r="F14" s="853"/>
      <c r="G14" s="853"/>
      <c r="H14" s="853"/>
      <c r="I14" s="853"/>
      <c r="J14" s="853"/>
    </row>
    <row r="15" spans="1:10" s="854" customFormat="1" ht="35.1" customHeight="1">
      <c r="A15" s="855"/>
      <c r="B15" s="849" t="s">
        <v>1379</v>
      </c>
      <c r="C15" s="857" t="s">
        <v>867</v>
      </c>
      <c r="D15" s="851" t="s">
        <v>879</v>
      </c>
      <c r="E15" s="852"/>
      <c r="F15" s="853"/>
      <c r="G15" s="853"/>
      <c r="H15" s="853"/>
      <c r="I15" s="853"/>
      <c r="J15" s="853"/>
    </row>
    <row r="16" spans="1:10" s="854" customFormat="1" ht="35.1" customHeight="1">
      <c r="A16" s="855"/>
      <c r="B16" s="849" t="s">
        <v>1380</v>
      </c>
      <c r="C16" s="858" t="s">
        <v>869</v>
      </c>
      <c r="D16" s="851" t="s">
        <v>879</v>
      </c>
      <c r="E16" s="852"/>
      <c r="F16" s="853"/>
      <c r="G16" s="853"/>
      <c r="H16" s="853"/>
      <c r="I16" s="853"/>
      <c r="J16" s="853"/>
    </row>
    <row r="17" spans="1:10" s="854" customFormat="1" ht="35.1" customHeight="1">
      <c r="A17" s="855"/>
      <c r="B17" s="849" t="s">
        <v>1381</v>
      </c>
      <c r="C17" s="858" t="s">
        <v>868</v>
      </c>
      <c r="D17" s="851" t="s">
        <v>879</v>
      </c>
      <c r="E17" s="852"/>
      <c r="F17" s="853"/>
      <c r="G17" s="853"/>
      <c r="H17" s="853"/>
      <c r="I17" s="853"/>
      <c r="J17" s="853"/>
    </row>
    <row r="18" spans="1:10" s="854" customFormat="1" ht="35.1" customHeight="1">
      <c r="A18" s="855"/>
      <c r="B18" s="849" t="s">
        <v>1382</v>
      </c>
      <c r="C18" s="858" t="s">
        <v>871</v>
      </c>
      <c r="D18" s="851" t="s">
        <v>879</v>
      </c>
      <c r="E18" s="852"/>
      <c r="F18" s="853"/>
      <c r="G18" s="853"/>
      <c r="H18" s="853"/>
      <c r="I18" s="853"/>
      <c r="J18" s="853"/>
    </row>
    <row r="19" spans="1:10" s="854" customFormat="1" ht="35.1" customHeight="1">
      <c r="A19" s="855"/>
      <c r="B19" s="849" t="s">
        <v>1383</v>
      </c>
      <c r="C19" s="858" t="s">
        <v>870</v>
      </c>
      <c r="D19" s="851" t="s">
        <v>879</v>
      </c>
      <c r="E19" s="852"/>
      <c r="F19" s="853"/>
      <c r="G19" s="853"/>
      <c r="H19" s="853"/>
      <c r="I19" s="853"/>
      <c r="J19" s="853"/>
    </row>
    <row r="20" spans="1:10" s="854" customFormat="1" ht="35.1" customHeight="1">
      <c r="A20" s="855"/>
      <c r="B20" s="849" t="s">
        <v>1384</v>
      </c>
      <c r="C20" s="858" t="s">
        <v>872</v>
      </c>
      <c r="D20" s="851" t="s">
        <v>879</v>
      </c>
      <c r="E20" s="852"/>
      <c r="F20" s="853"/>
      <c r="G20" s="853"/>
      <c r="H20" s="853"/>
      <c r="I20" s="853"/>
      <c r="J20" s="853"/>
    </row>
    <row r="21" spans="1:10" s="854" customFormat="1" ht="35.1" customHeight="1">
      <c r="A21" s="855"/>
      <c r="B21" s="849" t="s">
        <v>1385</v>
      </c>
      <c r="C21" s="858" t="s">
        <v>910</v>
      </c>
      <c r="D21" s="851" t="s">
        <v>879</v>
      </c>
      <c r="E21" s="852"/>
      <c r="F21" s="853"/>
      <c r="G21" s="853"/>
      <c r="H21" s="853"/>
      <c r="I21" s="853"/>
      <c r="J21" s="853"/>
    </row>
    <row r="22" spans="1:10" s="854" customFormat="1" ht="35.1" customHeight="1">
      <c r="A22" s="855"/>
      <c r="B22" s="849" t="s">
        <v>1386</v>
      </c>
      <c r="C22" s="858" t="s">
        <v>873</v>
      </c>
      <c r="D22" s="851" t="s">
        <v>879</v>
      </c>
      <c r="E22" s="852"/>
      <c r="F22" s="853"/>
      <c r="G22" s="853"/>
      <c r="H22" s="853"/>
      <c r="I22" s="853"/>
      <c r="J22" s="853"/>
    </row>
    <row r="23" spans="1:10" s="854" customFormat="1" ht="35.1" customHeight="1">
      <c r="A23" s="855"/>
      <c r="B23" s="849" t="s">
        <v>1387</v>
      </c>
      <c r="C23" s="858" t="s">
        <v>876</v>
      </c>
      <c r="D23" s="851" t="s">
        <v>879</v>
      </c>
      <c r="E23" s="852"/>
      <c r="F23" s="853"/>
      <c r="G23" s="853"/>
      <c r="H23" s="853"/>
      <c r="I23" s="853"/>
      <c r="J23" s="853"/>
    </row>
    <row r="24" spans="1:10" s="854" customFormat="1" ht="35.1" customHeight="1">
      <c r="A24" s="855"/>
      <c r="B24" s="849" t="s">
        <v>1388</v>
      </c>
      <c r="C24" s="858" t="s">
        <v>877</v>
      </c>
      <c r="D24" s="851" t="s">
        <v>879</v>
      </c>
      <c r="E24" s="852"/>
      <c r="F24" s="853"/>
      <c r="G24" s="853"/>
      <c r="H24" s="853"/>
      <c r="I24" s="853"/>
      <c r="J24" s="853"/>
    </row>
    <row r="25" spans="1:10" s="854" customFormat="1" ht="35.1" customHeight="1">
      <c r="A25" s="855"/>
      <c r="B25" s="849" t="s">
        <v>1389</v>
      </c>
      <c r="C25" s="911" t="s">
        <v>880</v>
      </c>
      <c r="D25" s="859" t="s">
        <v>907</v>
      </c>
      <c r="E25" s="852"/>
      <c r="F25" s="853"/>
      <c r="G25" s="853"/>
      <c r="H25" s="853"/>
      <c r="I25" s="853"/>
      <c r="J25" s="853"/>
    </row>
    <row r="26" spans="1:10" s="854" customFormat="1" ht="35.1" customHeight="1">
      <c r="A26" s="855"/>
      <c r="B26" s="849" t="s">
        <v>1390</v>
      </c>
      <c r="C26" s="858" t="s">
        <v>881</v>
      </c>
      <c r="D26" s="859" t="s">
        <v>907</v>
      </c>
      <c r="E26" s="852"/>
      <c r="F26" s="853"/>
      <c r="G26" s="853"/>
      <c r="H26" s="853"/>
      <c r="I26" s="853"/>
      <c r="J26" s="853"/>
    </row>
    <row r="27" spans="1:10" s="865" customFormat="1" ht="35.1" customHeight="1">
      <c r="A27" s="835"/>
      <c r="B27" s="860" t="s">
        <v>455</v>
      </c>
      <c r="C27" s="861" t="s">
        <v>91</v>
      </c>
      <c r="D27" s="862"/>
      <c r="E27" s="863"/>
      <c r="F27" s="864"/>
      <c r="G27" s="864"/>
      <c r="H27" s="864"/>
      <c r="I27" s="864"/>
      <c r="J27" s="864"/>
    </row>
    <row r="28" spans="1:10" s="854" customFormat="1" ht="35.1" customHeight="1">
      <c r="A28" s="866"/>
      <c r="B28" s="849" t="s">
        <v>1392</v>
      </c>
      <c r="C28" s="911" t="s">
        <v>874</v>
      </c>
      <c r="D28" s="851" t="s">
        <v>879</v>
      </c>
      <c r="E28" s="867"/>
      <c r="F28" s="853"/>
      <c r="G28" s="853"/>
      <c r="H28" s="853"/>
      <c r="I28" s="853"/>
      <c r="J28" s="853"/>
    </row>
    <row r="29" spans="1:10" s="854" customFormat="1" ht="35.1" customHeight="1">
      <c r="A29" s="866"/>
      <c r="B29" s="849" t="s">
        <v>1393</v>
      </c>
      <c r="C29" s="858" t="s">
        <v>875</v>
      </c>
      <c r="D29" s="851" t="s">
        <v>879</v>
      </c>
      <c r="E29" s="852"/>
      <c r="F29" s="853"/>
      <c r="G29" s="853"/>
      <c r="H29" s="853"/>
      <c r="I29" s="853"/>
      <c r="J29" s="853"/>
    </row>
    <row r="30" spans="1:10" s="854" customFormat="1" ht="35.1" customHeight="1">
      <c r="A30" s="866"/>
      <c r="B30" s="849" t="s">
        <v>1394</v>
      </c>
      <c r="C30" s="858" t="s">
        <v>882</v>
      </c>
      <c r="D30" s="859" t="s">
        <v>907</v>
      </c>
      <c r="E30" s="852"/>
      <c r="F30" s="853"/>
      <c r="G30" s="853"/>
      <c r="H30" s="853"/>
      <c r="I30" s="853"/>
      <c r="J30" s="853"/>
    </row>
    <row r="31" spans="1:10" s="854" customFormat="1" ht="35.1" customHeight="1">
      <c r="A31" s="866"/>
      <c r="B31" s="849" t="s">
        <v>1395</v>
      </c>
      <c r="C31" s="858" t="s">
        <v>883</v>
      </c>
      <c r="D31" s="859" t="s">
        <v>907</v>
      </c>
      <c r="E31" s="852"/>
      <c r="F31" s="853"/>
      <c r="G31" s="853"/>
      <c r="H31" s="853"/>
      <c r="I31" s="853"/>
      <c r="J31" s="853"/>
    </row>
    <row r="32" spans="1:10" s="854" customFormat="1" ht="35.1" customHeight="1">
      <c r="A32" s="866"/>
      <c r="B32" s="849" t="s">
        <v>1396</v>
      </c>
      <c r="C32" s="858" t="s">
        <v>167</v>
      </c>
      <c r="D32" s="859" t="s">
        <v>907</v>
      </c>
      <c r="E32" s="852"/>
      <c r="F32" s="853"/>
      <c r="G32" s="853"/>
      <c r="H32" s="853"/>
      <c r="I32" s="853"/>
      <c r="J32" s="853"/>
    </row>
    <row r="33" spans="1:10" s="854" customFormat="1" ht="35.1" customHeight="1">
      <c r="A33" s="866"/>
      <c r="B33" s="849" t="s">
        <v>1397</v>
      </c>
      <c r="C33" s="858" t="s">
        <v>884</v>
      </c>
      <c r="D33" s="859" t="s">
        <v>907</v>
      </c>
      <c r="E33" s="852"/>
      <c r="F33" s="853"/>
      <c r="G33" s="853"/>
      <c r="H33" s="853"/>
      <c r="I33" s="853"/>
      <c r="J33" s="853"/>
    </row>
    <row r="34" spans="1:10" s="854" customFormat="1" ht="35.1" customHeight="1">
      <c r="A34" s="866"/>
      <c r="B34" s="849" t="s">
        <v>1398</v>
      </c>
      <c r="C34" s="858" t="s">
        <v>885</v>
      </c>
      <c r="D34" s="859" t="s">
        <v>907</v>
      </c>
      <c r="E34" s="852"/>
      <c r="F34" s="853"/>
      <c r="G34" s="853"/>
      <c r="H34" s="853"/>
      <c r="I34" s="853"/>
      <c r="J34" s="853"/>
    </row>
    <row r="35" spans="1:10" s="854" customFormat="1" ht="35.1" customHeight="1">
      <c r="A35" s="866"/>
      <c r="B35" s="849" t="s">
        <v>1399</v>
      </c>
      <c r="C35" s="858" t="s">
        <v>886</v>
      </c>
      <c r="D35" s="859" t="s">
        <v>907</v>
      </c>
      <c r="E35" s="852"/>
      <c r="F35" s="853"/>
      <c r="G35" s="853"/>
      <c r="H35" s="853"/>
      <c r="I35" s="853"/>
      <c r="J35" s="853"/>
    </row>
    <row r="36" spans="1:10" s="854" customFormat="1" ht="35.1" customHeight="1">
      <c r="A36" s="866"/>
      <c r="B36" s="849" t="s">
        <v>1400</v>
      </c>
      <c r="C36" s="858" t="s">
        <v>887</v>
      </c>
      <c r="D36" s="859" t="s">
        <v>907</v>
      </c>
      <c r="E36" s="852"/>
      <c r="F36" s="853"/>
      <c r="G36" s="853"/>
      <c r="H36" s="853"/>
      <c r="I36" s="853"/>
      <c r="J36" s="853"/>
    </row>
    <row r="37" spans="1:10" s="854" customFormat="1" ht="35.1" customHeight="1">
      <c r="A37" s="866"/>
      <c r="B37" s="849" t="s">
        <v>1401</v>
      </c>
      <c r="C37" s="858" t="s">
        <v>888</v>
      </c>
      <c r="D37" s="859" t="s">
        <v>907</v>
      </c>
      <c r="E37" s="852"/>
      <c r="F37" s="853"/>
      <c r="G37" s="853"/>
      <c r="H37" s="853"/>
      <c r="I37" s="853"/>
      <c r="J37" s="853"/>
    </row>
    <row r="38" spans="1:10" s="854" customFormat="1" ht="35.1" customHeight="1">
      <c r="A38" s="866"/>
      <c r="B38" s="849" t="s">
        <v>1402</v>
      </c>
      <c r="C38" s="858" t="s">
        <v>889</v>
      </c>
      <c r="D38" s="859" t="s">
        <v>907</v>
      </c>
      <c r="E38" s="852"/>
      <c r="F38" s="853"/>
      <c r="G38" s="853"/>
      <c r="H38" s="853"/>
      <c r="I38" s="853"/>
      <c r="J38" s="853"/>
    </row>
    <row r="39" spans="1:10" s="854" customFormat="1" ht="35.1" customHeight="1">
      <c r="A39" s="866"/>
      <c r="B39" s="849" t="s">
        <v>1403</v>
      </c>
      <c r="C39" s="858" t="s">
        <v>890</v>
      </c>
      <c r="D39" s="859" t="s">
        <v>907</v>
      </c>
      <c r="E39" s="852"/>
      <c r="F39" s="853"/>
      <c r="G39" s="853"/>
      <c r="H39" s="853"/>
      <c r="I39" s="853"/>
      <c r="J39" s="853"/>
    </row>
    <row r="40" spans="1:10" s="854" customFormat="1" ht="35.1" customHeight="1">
      <c r="A40" s="866"/>
      <c r="B40" s="849" t="s">
        <v>1404</v>
      </c>
      <c r="C40" s="858" t="s">
        <v>175</v>
      </c>
      <c r="D40" s="859" t="s">
        <v>907</v>
      </c>
      <c r="E40" s="852"/>
      <c r="F40" s="853"/>
      <c r="G40" s="853"/>
      <c r="H40" s="853"/>
      <c r="I40" s="853"/>
      <c r="J40" s="853"/>
    </row>
    <row r="41" spans="1:10" s="854" customFormat="1" ht="35.1" customHeight="1">
      <c r="A41" s="868"/>
      <c r="B41" s="869" t="s">
        <v>456</v>
      </c>
      <c r="C41" s="870" t="s">
        <v>92</v>
      </c>
      <c r="D41" s="871"/>
      <c r="E41" s="852"/>
      <c r="F41" s="853"/>
      <c r="G41" s="853"/>
      <c r="H41" s="853"/>
      <c r="I41" s="853"/>
      <c r="J41" s="853"/>
    </row>
    <row r="42" spans="1:10" s="854" customFormat="1" ht="35.1" customHeight="1">
      <c r="A42" s="848"/>
      <c r="B42" s="849" t="s">
        <v>1405</v>
      </c>
      <c r="C42" s="872" t="s">
        <v>479</v>
      </c>
      <c r="D42" s="851" t="s">
        <v>879</v>
      </c>
      <c r="E42" s="852"/>
      <c r="F42" s="853"/>
      <c r="G42" s="853"/>
      <c r="H42" s="853"/>
      <c r="I42" s="853"/>
      <c r="J42" s="853"/>
    </row>
    <row r="43" spans="1:10" s="854" customFormat="1" ht="35.1" customHeight="1">
      <c r="A43" s="855"/>
      <c r="B43" s="849" t="s">
        <v>1406</v>
      </c>
      <c r="C43" s="850" t="s">
        <v>480</v>
      </c>
      <c r="D43" s="851" t="s">
        <v>879</v>
      </c>
      <c r="E43" s="852"/>
      <c r="F43" s="853"/>
      <c r="G43" s="853"/>
      <c r="H43" s="853"/>
      <c r="I43" s="853"/>
      <c r="J43" s="853"/>
    </row>
    <row r="44" spans="1:10" s="854" customFormat="1" ht="35.1" customHeight="1">
      <c r="A44" s="855"/>
      <c r="B44" s="849" t="s">
        <v>1407</v>
      </c>
      <c r="C44" s="872" t="s">
        <v>481</v>
      </c>
      <c r="D44" s="851" t="s">
        <v>879</v>
      </c>
      <c r="E44" s="852"/>
      <c r="F44" s="853"/>
      <c r="G44" s="853"/>
      <c r="H44" s="853"/>
      <c r="I44" s="853"/>
      <c r="J44" s="853"/>
    </row>
    <row r="45" spans="1:10" s="854" customFormat="1" ht="35.1" customHeight="1">
      <c r="A45" s="855"/>
      <c r="B45" s="849" t="s">
        <v>1408</v>
      </c>
      <c r="C45" s="872" t="s">
        <v>482</v>
      </c>
      <c r="D45" s="851" t="s">
        <v>879</v>
      </c>
      <c r="E45" s="852"/>
      <c r="F45" s="853"/>
      <c r="G45" s="853"/>
      <c r="H45" s="853"/>
      <c r="I45" s="853"/>
      <c r="J45" s="853"/>
    </row>
    <row r="46" spans="1:10" s="854" customFormat="1" ht="35.1" customHeight="1">
      <c r="A46" s="855"/>
      <c r="B46" s="849" t="s">
        <v>1409</v>
      </c>
      <c r="C46" s="872" t="s">
        <v>483</v>
      </c>
      <c r="D46" s="851" t="s">
        <v>879</v>
      </c>
      <c r="E46" s="852"/>
      <c r="F46" s="853"/>
      <c r="G46" s="853"/>
      <c r="H46" s="853"/>
      <c r="I46" s="853"/>
      <c r="J46" s="853"/>
    </row>
    <row r="47" spans="1:10" s="854" customFormat="1" ht="35.1" customHeight="1">
      <c r="A47" s="855"/>
      <c r="B47" s="849" t="s">
        <v>1410</v>
      </c>
      <c r="C47" s="872" t="s">
        <v>484</v>
      </c>
      <c r="D47" s="851" t="s">
        <v>879</v>
      </c>
      <c r="E47" s="852"/>
      <c r="F47" s="853"/>
      <c r="G47" s="853"/>
      <c r="H47" s="853"/>
      <c r="I47" s="853"/>
      <c r="J47" s="853"/>
    </row>
    <row r="48" spans="1:10" s="854" customFormat="1" ht="35.1" customHeight="1">
      <c r="A48" s="855"/>
      <c r="B48" s="849" t="s">
        <v>1411</v>
      </c>
      <c r="C48" s="872" t="s">
        <v>485</v>
      </c>
      <c r="D48" s="851" t="s">
        <v>879</v>
      </c>
      <c r="E48" s="852"/>
      <c r="F48" s="853"/>
      <c r="G48" s="853"/>
      <c r="H48" s="853"/>
      <c r="I48" s="853"/>
      <c r="J48" s="853"/>
    </row>
    <row r="49" spans="1:10" s="854" customFormat="1" ht="35.1" customHeight="1">
      <c r="A49" s="855"/>
      <c r="B49" s="849" t="s">
        <v>1412</v>
      </c>
      <c r="C49" s="873" t="s">
        <v>1276</v>
      </c>
      <c r="D49" s="851" t="s">
        <v>879</v>
      </c>
      <c r="E49" s="852"/>
      <c r="F49" s="853"/>
      <c r="G49" s="853"/>
      <c r="H49" s="853"/>
      <c r="I49" s="853"/>
      <c r="J49" s="853"/>
    </row>
    <row r="50" spans="1:10" s="854" customFormat="1" ht="35.1" customHeight="1">
      <c r="A50" s="855"/>
      <c r="B50" s="849" t="s">
        <v>1413</v>
      </c>
      <c r="C50" s="873" t="s">
        <v>906</v>
      </c>
      <c r="D50" s="851" t="s">
        <v>879</v>
      </c>
      <c r="E50" s="852"/>
      <c r="F50" s="853"/>
      <c r="G50" s="853"/>
      <c r="H50" s="853"/>
      <c r="I50" s="853"/>
      <c r="J50" s="853"/>
    </row>
    <row r="51" spans="1:10" s="854" customFormat="1" ht="35.1" customHeight="1">
      <c r="A51" s="855"/>
      <c r="B51" s="849" t="s">
        <v>1414</v>
      </c>
      <c r="C51" s="873" t="s">
        <v>487</v>
      </c>
      <c r="D51" s="851" t="s">
        <v>879</v>
      </c>
      <c r="E51" s="852"/>
      <c r="F51" s="853"/>
      <c r="G51" s="853"/>
      <c r="H51" s="853"/>
      <c r="I51" s="853"/>
      <c r="J51" s="853"/>
    </row>
    <row r="52" spans="1:10" s="854" customFormat="1" ht="35.1" customHeight="1">
      <c r="A52" s="855"/>
      <c r="B52" s="849" t="s">
        <v>1415</v>
      </c>
      <c r="C52" s="873" t="s">
        <v>488</v>
      </c>
      <c r="D52" s="851" t="s">
        <v>879</v>
      </c>
      <c r="E52" s="852"/>
      <c r="F52" s="853"/>
      <c r="G52" s="853"/>
      <c r="H52" s="853"/>
      <c r="I52" s="853"/>
      <c r="J52" s="853"/>
    </row>
    <row r="53" spans="1:10" s="854" customFormat="1" ht="35.1" customHeight="1">
      <c r="A53" s="855"/>
      <c r="B53" s="849" t="s">
        <v>1416</v>
      </c>
      <c r="C53" s="873" t="s">
        <v>489</v>
      </c>
      <c r="D53" s="851" t="s">
        <v>879</v>
      </c>
      <c r="E53" s="852"/>
      <c r="F53" s="853"/>
      <c r="G53" s="853"/>
      <c r="H53" s="853"/>
      <c r="I53" s="853"/>
      <c r="J53" s="853"/>
    </row>
    <row r="54" spans="1:10" s="854" customFormat="1" ht="35.1" customHeight="1">
      <c r="A54" s="855"/>
      <c r="B54" s="849" t="s">
        <v>1417</v>
      </c>
      <c r="C54" s="873" t="s">
        <v>491</v>
      </c>
      <c r="D54" s="851" t="s">
        <v>879</v>
      </c>
      <c r="E54" s="852"/>
      <c r="F54" s="853"/>
      <c r="G54" s="853"/>
      <c r="H54" s="853"/>
      <c r="I54" s="853"/>
      <c r="J54" s="853"/>
    </row>
    <row r="55" spans="1:10" s="854" customFormat="1" ht="35.1" customHeight="1">
      <c r="A55" s="855"/>
      <c r="B55" s="849" t="s">
        <v>1418</v>
      </c>
      <c r="C55" s="873" t="s">
        <v>492</v>
      </c>
      <c r="D55" s="851" t="s">
        <v>879</v>
      </c>
      <c r="E55" s="852"/>
      <c r="F55" s="853"/>
      <c r="G55" s="853"/>
      <c r="H55" s="853"/>
      <c r="I55" s="853"/>
      <c r="J55" s="853"/>
    </row>
    <row r="56" spans="1:10" s="854" customFormat="1" ht="35.1" customHeight="1">
      <c r="A56" s="855"/>
      <c r="B56" s="849" t="s">
        <v>1419</v>
      </c>
      <c r="C56" s="874" t="s">
        <v>191</v>
      </c>
      <c r="D56" s="859" t="s">
        <v>907</v>
      </c>
      <c r="E56" s="852"/>
      <c r="F56" s="853"/>
      <c r="G56" s="853"/>
      <c r="H56" s="853"/>
      <c r="I56" s="853"/>
      <c r="J56" s="853"/>
    </row>
    <row r="57" spans="1:10" s="854" customFormat="1" ht="35.1" customHeight="1">
      <c r="A57" s="855"/>
      <c r="B57" s="849" t="s">
        <v>1420</v>
      </c>
      <c r="C57" s="874" t="s">
        <v>891</v>
      </c>
      <c r="D57" s="859" t="s">
        <v>907</v>
      </c>
      <c r="E57" s="852"/>
      <c r="F57" s="853"/>
      <c r="G57" s="853"/>
      <c r="H57" s="853"/>
      <c r="I57" s="853"/>
      <c r="J57" s="853"/>
    </row>
    <row r="58" spans="1:10" s="854" customFormat="1" ht="35.1" customHeight="1">
      <c r="A58" s="855"/>
      <c r="B58" s="849" t="s">
        <v>1421</v>
      </c>
      <c r="C58" s="874" t="s">
        <v>1277</v>
      </c>
      <c r="D58" s="859" t="s">
        <v>907</v>
      </c>
      <c r="E58" s="852"/>
      <c r="F58" s="853"/>
      <c r="G58" s="853"/>
      <c r="H58" s="853"/>
      <c r="I58" s="853"/>
      <c r="J58" s="853"/>
    </row>
    <row r="59" spans="1:10" s="854" customFormat="1" ht="35.1" customHeight="1">
      <c r="A59" s="855"/>
      <c r="B59" s="849" t="s">
        <v>1422</v>
      </c>
      <c r="C59" s="874" t="s">
        <v>201</v>
      </c>
      <c r="D59" s="859" t="s">
        <v>907</v>
      </c>
      <c r="E59" s="852"/>
      <c r="F59" s="853"/>
      <c r="G59" s="853"/>
      <c r="H59" s="853"/>
      <c r="I59" s="853"/>
      <c r="J59" s="853"/>
    </row>
    <row r="60" spans="1:10" s="865" customFormat="1" ht="35.1" customHeight="1">
      <c r="A60" s="875"/>
      <c r="B60" s="876" t="s">
        <v>457</v>
      </c>
      <c r="C60" s="877" t="s">
        <v>93</v>
      </c>
      <c r="D60" s="878"/>
      <c r="E60" s="863"/>
      <c r="F60" s="864"/>
      <c r="G60" s="864"/>
      <c r="H60" s="864"/>
      <c r="I60" s="864"/>
      <c r="J60" s="864"/>
    </row>
    <row r="61" spans="1:10" s="854" customFormat="1" ht="35.1" customHeight="1">
      <c r="A61" s="848"/>
      <c r="B61" s="849" t="s">
        <v>1423</v>
      </c>
      <c r="C61" s="874" t="s">
        <v>493</v>
      </c>
      <c r="D61" s="851" t="s">
        <v>879</v>
      </c>
      <c r="E61" s="852"/>
      <c r="F61" s="853"/>
      <c r="G61" s="853"/>
      <c r="H61" s="853"/>
      <c r="I61" s="853"/>
      <c r="J61" s="853"/>
    </row>
    <row r="62" spans="1:10" s="854" customFormat="1" ht="35.1" customHeight="1">
      <c r="A62" s="855"/>
      <c r="B62" s="849" t="s">
        <v>1424</v>
      </c>
      <c r="C62" s="874" t="s">
        <v>494</v>
      </c>
      <c r="D62" s="851" t="s">
        <v>879</v>
      </c>
      <c r="E62" s="852"/>
      <c r="F62" s="853"/>
      <c r="G62" s="853"/>
      <c r="H62" s="853"/>
      <c r="I62" s="853"/>
      <c r="J62" s="853"/>
    </row>
    <row r="63" spans="1:10" s="854" customFormat="1" ht="35.1" customHeight="1">
      <c r="A63" s="855"/>
      <c r="B63" s="849" t="s">
        <v>1425</v>
      </c>
      <c r="C63" s="874" t="s">
        <v>495</v>
      </c>
      <c r="D63" s="851" t="s">
        <v>879</v>
      </c>
      <c r="E63" s="852"/>
      <c r="F63" s="853"/>
      <c r="G63" s="853"/>
      <c r="H63" s="853"/>
      <c r="I63" s="853"/>
      <c r="J63" s="853"/>
    </row>
    <row r="64" spans="1:10" s="854" customFormat="1" ht="35.1" customHeight="1">
      <c r="A64" s="855"/>
      <c r="B64" s="849" t="s">
        <v>1426</v>
      </c>
      <c r="C64" s="874" t="s">
        <v>496</v>
      </c>
      <c r="D64" s="851" t="s">
        <v>879</v>
      </c>
      <c r="E64" s="852"/>
      <c r="F64" s="853"/>
      <c r="G64" s="853"/>
      <c r="H64" s="853"/>
      <c r="I64" s="853"/>
      <c r="J64" s="853"/>
    </row>
    <row r="65" spans="1:10" s="854" customFormat="1" ht="35.1" customHeight="1">
      <c r="A65" s="855"/>
      <c r="B65" s="849" t="s">
        <v>1427</v>
      </c>
      <c r="C65" s="874" t="s">
        <v>497</v>
      </c>
      <c r="D65" s="851" t="s">
        <v>879</v>
      </c>
      <c r="E65" s="852"/>
      <c r="F65" s="853"/>
      <c r="G65" s="853"/>
      <c r="H65" s="853"/>
      <c r="I65" s="853"/>
      <c r="J65" s="853"/>
    </row>
    <row r="66" spans="1:10" s="854" customFormat="1" ht="35.1" customHeight="1">
      <c r="A66" s="855"/>
      <c r="B66" s="849" t="s">
        <v>1428</v>
      </c>
      <c r="C66" s="874" t="s">
        <v>498</v>
      </c>
      <c r="D66" s="851" t="s">
        <v>879</v>
      </c>
      <c r="E66" s="852"/>
      <c r="F66" s="853"/>
      <c r="G66" s="853"/>
      <c r="H66" s="853"/>
      <c r="I66" s="853"/>
      <c r="J66" s="853"/>
    </row>
    <row r="67" spans="1:10" s="854" customFormat="1" ht="35.1" customHeight="1">
      <c r="A67" s="855"/>
      <c r="B67" s="849" t="s">
        <v>1429</v>
      </c>
      <c r="C67" s="874" t="s">
        <v>499</v>
      </c>
      <c r="D67" s="851" t="s">
        <v>879</v>
      </c>
      <c r="E67" s="852"/>
      <c r="F67" s="853"/>
      <c r="G67" s="853"/>
      <c r="H67" s="853"/>
      <c r="I67" s="853"/>
      <c r="J67" s="853"/>
    </row>
    <row r="68" spans="1:10" s="854" customFormat="1" ht="35.1" customHeight="1">
      <c r="A68" s="855"/>
      <c r="B68" s="849" t="s">
        <v>1430</v>
      </c>
      <c r="C68" s="874" t="s">
        <v>500</v>
      </c>
      <c r="D68" s="851" t="s">
        <v>879</v>
      </c>
      <c r="E68" s="852"/>
      <c r="F68" s="853"/>
      <c r="G68" s="853"/>
      <c r="H68" s="853"/>
      <c r="I68" s="853"/>
      <c r="J68" s="853"/>
    </row>
    <row r="69" spans="1:10" s="854" customFormat="1" ht="35.1" customHeight="1">
      <c r="A69" s="855"/>
      <c r="B69" s="849" t="s">
        <v>1431</v>
      </c>
      <c r="C69" s="874" t="s">
        <v>1286</v>
      </c>
      <c r="D69" s="851" t="s">
        <v>879</v>
      </c>
      <c r="E69" s="852"/>
      <c r="F69" s="853"/>
      <c r="G69" s="853"/>
      <c r="H69" s="853"/>
      <c r="I69" s="853"/>
      <c r="J69" s="853"/>
    </row>
    <row r="70" spans="1:10" s="854" customFormat="1" ht="35.1" customHeight="1">
      <c r="A70" s="855"/>
      <c r="B70" s="849" t="s">
        <v>1432</v>
      </c>
      <c r="C70" s="874" t="s">
        <v>501</v>
      </c>
      <c r="D70" s="851" t="s">
        <v>879</v>
      </c>
      <c r="E70" s="852"/>
      <c r="F70" s="853"/>
      <c r="G70" s="853"/>
      <c r="H70" s="853"/>
      <c r="I70" s="853"/>
      <c r="J70" s="853"/>
    </row>
    <row r="71" spans="1:10" s="854" customFormat="1" ht="35.1" customHeight="1">
      <c r="A71" s="855"/>
      <c r="B71" s="849" t="s">
        <v>1433</v>
      </c>
      <c r="C71" s="874" t="s">
        <v>502</v>
      </c>
      <c r="D71" s="851" t="s">
        <v>879</v>
      </c>
      <c r="E71" s="852"/>
      <c r="F71" s="853"/>
      <c r="G71" s="853"/>
      <c r="H71" s="853"/>
      <c r="I71" s="853"/>
      <c r="J71" s="853"/>
    </row>
    <row r="72" spans="1:10" s="865" customFormat="1" ht="35.1" customHeight="1">
      <c r="A72" s="875"/>
      <c r="B72" s="876" t="s">
        <v>459</v>
      </c>
      <c r="C72" s="879" t="s">
        <v>474</v>
      </c>
      <c r="D72" s="880"/>
      <c r="E72" s="863"/>
      <c r="F72" s="864"/>
      <c r="G72" s="864"/>
      <c r="H72" s="864"/>
      <c r="I72" s="864"/>
      <c r="J72" s="864"/>
    </row>
    <row r="73" spans="1:10" s="854" customFormat="1" ht="35.1" customHeight="1">
      <c r="A73" s="848"/>
      <c r="B73" s="849" t="s">
        <v>1434</v>
      </c>
      <c r="C73" s="881" t="s">
        <v>503</v>
      </c>
      <c r="D73" s="851" t="s">
        <v>879</v>
      </c>
      <c r="E73" s="882"/>
      <c r="F73" s="883"/>
      <c r="G73" s="883"/>
      <c r="H73" s="883"/>
      <c r="I73" s="883"/>
      <c r="J73" s="853"/>
    </row>
    <row r="74" spans="1:10" s="854" customFormat="1" ht="35.1" customHeight="1">
      <c r="A74" s="855"/>
      <c r="B74" s="849" t="s">
        <v>1435</v>
      </c>
      <c r="C74" s="881" t="s">
        <v>504</v>
      </c>
      <c r="D74" s="851" t="s">
        <v>879</v>
      </c>
      <c r="E74" s="882"/>
      <c r="F74" s="883"/>
      <c r="G74" s="883"/>
      <c r="H74" s="883"/>
      <c r="I74" s="883"/>
      <c r="J74" s="853"/>
    </row>
    <row r="75" spans="1:10" s="854" customFormat="1" ht="35.1" customHeight="1">
      <c r="A75" s="855"/>
      <c r="B75" s="849" t="s">
        <v>1436</v>
      </c>
      <c r="C75" s="881" t="s">
        <v>505</v>
      </c>
      <c r="D75" s="851" t="s">
        <v>879</v>
      </c>
      <c r="E75" s="882"/>
      <c r="F75" s="883"/>
      <c r="G75" s="883"/>
      <c r="H75" s="883"/>
      <c r="I75" s="883"/>
      <c r="J75" s="853"/>
    </row>
    <row r="76" spans="1:10" s="854" customFormat="1" ht="35.1" customHeight="1">
      <c r="A76" s="855"/>
      <c r="B76" s="849" t="s">
        <v>1437</v>
      </c>
      <c r="C76" s="881" t="s">
        <v>506</v>
      </c>
      <c r="D76" s="851" t="s">
        <v>879</v>
      </c>
      <c r="E76" s="882"/>
      <c r="F76" s="883"/>
      <c r="G76" s="883"/>
      <c r="H76" s="883"/>
      <c r="I76" s="883"/>
      <c r="J76" s="853"/>
    </row>
    <row r="77" spans="1:10" s="854" customFormat="1" ht="35.1" customHeight="1">
      <c r="A77" s="855"/>
      <c r="B77" s="849" t="s">
        <v>1438</v>
      </c>
      <c r="C77" s="881" t="s">
        <v>507</v>
      </c>
      <c r="D77" s="851" t="s">
        <v>879</v>
      </c>
      <c r="E77" s="882"/>
      <c r="F77" s="883"/>
      <c r="G77" s="883"/>
      <c r="H77" s="883"/>
      <c r="I77" s="883"/>
      <c r="J77" s="853"/>
    </row>
    <row r="78" spans="1:10" s="854" customFormat="1" ht="35.1" customHeight="1">
      <c r="A78" s="855"/>
      <c r="B78" s="912" t="s">
        <v>1439</v>
      </c>
      <c r="C78" s="874" t="s">
        <v>1648</v>
      </c>
      <c r="D78" s="851" t="s">
        <v>879</v>
      </c>
      <c r="E78" s="852"/>
      <c r="F78" s="853"/>
      <c r="G78" s="853"/>
      <c r="H78" s="853"/>
      <c r="I78" s="853"/>
      <c r="J78" s="853"/>
    </row>
    <row r="79" spans="1:10" s="854" customFormat="1" ht="35.1" customHeight="1">
      <c r="A79" s="855"/>
      <c r="B79" s="849" t="s">
        <v>1440</v>
      </c>
      <c r="C79" s="874" t="s">
        <v>509</v>
      </c>
      <c r="D79" s="851" t="s">
        <v>879</v>
      </c>
      <c r="E79" s="852"/>
      <c r="F79" s="853"/>
      <c r="G79" s="853"/>
      <c r="H79" s="853"/>
      <c r="I79" s="853"/>
      <c r="J79" s="853"/>
    </row>
    <row r="80" spans="1:10" s="854" customFormat="1" ht="35.1" customHeight="1">
      <c r="A80" s="855"/>
      <c r="B80" s="849" t="s">
        <v>1441</v>
      </c>
      <c r="C80" s="874" t="s">
        <v>510</v>
      </c>
      <c r="D80" s="851" t="s">
        <v>879</v>
      </c>
      <c r="E80" s="852"/>
      <c r="F80" s="853"/>
      <c r="G80" s="853"/>
      <c r="H80" s="853"/>
      <c r="I80" s="853"/>
      <c r="J80" s="853"/>
    </row>
    <row r="81" spans="1:10" s="854" customFormat="1" ht="35.1" customHeight="1">
      <c r="A81" s="855"/>
      <c r="B81" s="849" t="s">
        <v>1442</v>
      </c>
      <c r="C81" s="874" t="s">
        <v>511</v>
      </c>
      <c r="D81" s="851" t="s">
        <v>879</v>
      </c>
      <c r="E81" s="852"/>
      <c r="F81" s="853"/>
      <c r="G81" s="853"/>
      <c r="H81" s="853"/>
      <c r="I81" s="853"/>
      <c r="J81" s="853"/>
    </row>
    <row r="82" spans="1:10" s="854" customFormat="1" ht="35.1" customHeight="1">
      <c r="A82" s="855"/>
      <c r="B82" s="849" t="s">
        <v>1443</v>
      </c>
      <c r="C82" s="874" t="s">
        <v>512</v>
      </c>
      <c r="D82" s="851" t="s">
        <v>879</v>
      </c>
      <c r="E82" s="852"/>
      <c r="F82" s="853"/>
      <c r="G82" s="853"/>
      <c r="H82" s="853"/>
      <c r="I82" s="853"/>
      <c r="J82" s="853"/>
    </row>
    <row r="83" spans="1:10" s="854" customFormat="1" ht="35.1" customHeight="1">
      <c r="A83" s="855"/>
      <c r="B83" s="849" t="s">
        <v>1444</v>
      </c>
      <c r="C83" s="874" t="s">
        <v>513</v>
      </c>
      <c r="D83" s="851" t="s">
        <v>879</v>
      </c>
      <c r="E83" s="852"/>
      <c r="F83" s="853"/>
      <c r="G83" s="853"/>
      <c r="H83" s="853"/>
      <c r="I83" s="853"/>
      <c r="J83" s="853"/>
    </row>
    <row r="84" spans="1:10" s="854" customFormat="1" ht="35.1" customHeight="1">
      <c r="A84" s="855"/>
      <c r="B84" s="849" t="s">
        <v>1445</v>
      </c>
      <c r="C84" s="874" t="s">
        <v>514</v>
      </c>
      <c r="D84" s="851" t="s">
        <v>879</v>
      </c>
      <c r="E84" s="852"/>
      <c r="F84" s="853"/>
      <c r="G84" s="853"/>
      <c r="H84" s="853"/>
      <c r="I84" s="884"/>
      <c r="J84" s="853"/>
    </row>
    <row r="85" spans="1:10" s="854" customFormat="1" ht="35.1" customHeight="1">
      <c r="A85" s="855"/>
      <c r="B85" s="849" t="s">
        <v>1446</v>
      </c>
      <c r="C85" s="874" t="s">
        <v>515</v>
      </c>
      <c r="D85" s="851" t="s">
        <v>879</v>
      </c>
      <c r="E85" s="852"/>
      <c r="F85" s="853"/>
      <c r="G85" s="853"/>
      <c r="H85" s="853"/>
      <c r="I85" s="853"/>
      <c r="J85" s="853"/>
    </row>
    <row r="86" spans="1:10" s="854" customFormat="1" ht="35.1" customHeight="1">
      <c r="A86" s="855"/>
      <c r="B86" s="849" t="s">
        <v>1447</v>
      </c>
      <c r="C86" s="874" t="s">
        <v>517</v>
      </c>
      <c r="D86" s="851" t="s">
        <v>879</v>
      </c>
      <c r="E86" s="852"/>
      <c r="F86" s="853"/>
      <c r="G86" s="853"/>
      <c r="H86" s="853"/>
      <c r="I86" s="853"/>
      <c r="J86" s="853"/>
    </row>
    <row r="87" spans="1:10" s="854" customFormat="1" ht="35.1" customHeight="1">
      <c r="A87" s="855"/>
      <c r="B87" s="849" t="s">
        <v>1448</v>
      </c>
      <c r="C87" s="874" t="s">
        <v>518</v>
      </c>
      <c r="D87" s="851" t="s">
        <v>879</v>
      </c>
      <c r="E87" s="852"/>
      <c r="F87" s="853"/>
      <c r="G87" s="853"/>
      <c r="H87" s="853"/>
      <c r="I87" s="853"/>
      <c r="J87" s="853"/>
    </row>
    <row r="88" spans="1:10" s="854" customFormat="1" ht="35.1" customHeight="1">
      <c r="A88" s="855"/>
      <c r="B88" s="849" t="s">
        <v>1449</v>
      </c>
      <c r="C88" s="874" t="s">
        <v>519</v>
      </c>
      <c r="D88" s="851" t="s">
        <v>879</v>
      </c>
      <c r="E88" s="852"/>
      <c r="F88" s="853"/>
      <c r="G88" s="853"/>
      <c r="H88" s="853"/>
      <c r="I88" s="853"/>
      <c r="J88" s="853"/>
    </row>
    <row r="89" spans="1:10" s="854" customFormat="1" ht="35.1" customHeight="1">
      <c r="A89" s="855"/>
      <c r="B89" s="849" t="s">
        <v>1450</v>
      </c>
      <c r="C89" s="874" t="s">
        <v>520</v>
      </c>
      <c r="D89" s="851" t="s">
        <v>879</v>
      </c>
      <c r="E89" s="852"/>
      <c r="F89" s="853"/>
      <c r="G89" s="853"/>
      <c r="H89" s="853"/>
      <c r="I89" s="853"/>
      <c r="J89" s="853"/>
    </row>
    <row r="90" spans="1:10" s="854" customFormat="1" ht="35.1" customHeight="1">
      <c r="A90" s="855"/>
      <c r="B90" s="849" t="s">
        <v>1451</v>
      </c>
      <c r="C90" s="874" t="s">
        <v>521</v>
      </c>
      <c r="D90" s="851" t="s">
        <v>879</v>
      </c>
      <c r="E90" s="852"/>
      <c r="F90" s="853"/>
      <c r="G90" s="853"/>
      <c r="H90" s="853"/>
      <c r="I90" s="853"/>
      <c r="J90" s="853"/>
    </row>
    <row r="91" spans="1:10" s="854" customFormat="1" ht="35.1" customHeight="1">
      <c r="A91" s="855"/>
      <c r="B91" s="849" t="s">
        <v>1452</v>
      </c>
      <c r="C91" s="874" t="s">
        <v>522</v>
      </c>
      <c r="D91" s="851" t="s">
        <v>879</v>
      </c>
      <c r="E91" s="852"/>
      <c r="F91" s="853"/>
      <c r="G91" s="853"/>
      <c r="H91" s="853"/>
      <c r="I91" s="853"/>
      <c r="J91" s="853"/>
    </row>
    <row r="92" spans="1:10" s="854" customFormat="1" ht="35.1" customHeight="1">
      <c r="A92" s="855"/>
      <c r="B92" s="849" t="s">
        <v>1453</v>
      </c>
      <c r="C92" s="874" t="s">
        <v>523</v>
      </c>
      <c r="D92" s="851" t="s">
        <v>879</v>
      </c>
      <c r="E92" s="852"/>
      <c r="F92" s="853"/>
      <c r="G92" s="853"/>
      <c r="H92" s="853"/>
      <c r="I92" s="853"/>
      <c r="J92" s="853"/>
    </row>
    <row r="93" spans="1:10" s="854" customFormat="1" ht="35.1" customHeight="1">
      <c r="A93" s="855"/>
      <c r="B93" s="849" t="s">
        <v>1454</v>
      </c>
      <c r="C93" s="874" t="s">
        <v>524</v>
      </c>
      <c r="D93" s="851" t="s">
        <v>879</v>
      </c>
      <c r="E93" s="852"/>
      <c r="F93" s="853"/>
      <c r="G93" s="853"/>
      <c r="H93" s="853"/>
      <c r="I93" s="853"/>
      <c r="J93" s="853"/>
    </row>
    <row r="94" spans="1:10" s="854" customFormat="1" ht="35.1" customHeight="1">
      <c r="A94" s="855"/>
      <c r="B94" s="849" t="s">
        <v>1455</v>
      </c>
      <c r="C94" s="874" t="s">
        <v>1287</v>
      </c>
      <c r="D94" s="851" t="s">
        <v>879</v>
      </c>
      <c r="E94" s="852"/>
      <c r="F94" s="853"/>
      <c r="G94" s="853"/>
      <c r="H94" s="853"/>
      <c r="I94" s="853"/>
      <c r="J94" s="853"/>
    </row>
    <row r="95" spans="1:10" s="854" customFormat="1" ht="35.1" customHeight="1">
      <c r="A95" s="855"/>
      <c r="B95" s="849" t="s">
        <v>1456</v>
      </c>
      <c r="C95" s="874" t="s">
        <v>1288</v>
      </c>
      <c r="D95" s="851" t="s">
        <v>879</v>
      </c>
      <c r="E95" s="852"/>
      <c r="F95" s="853"/>
      <c r="G95" s="853"/>
      <c r="H95" s="853"/>
      <c r="I95" s="853"/>
      <c r="J95" s="853"/>
    </row>
    <row r="96" spans="1:10" s="854" customFormat="1" ht="35.1" customHeight="1">
      <c r="A96" s="855"/>
      <c r="B96" s="849" t="s">
        <v>1457</v>
      </c>
      <c r="C96" s="874" t="s">
        <v>527</v>
      </c>
      <c r="D96" s="851" t="s">
        <v>879</v>
      </c>
      <c r="E96" s="852"/>
      <c r="F96" s="853"/>
      <c r="G96" s="853"/>
      <c r="H96" s="853"/>
      <c r="I96" s="853"/>
      <c r="J96" s="853"/>
    </row>
    <row r="97" spans="1:10" s="854" customFormat="1" ht="35.1" customHeight="1">
      <c r="A97" s="855"/>
      <c r="B97" s="849" t="s">
        <v>1458</v>
      </c>
      <c r="C97" s="874" t="s">
        <v>528</v>
      </c>
      <c r="D97" s="851" t="s">
        <v>879</v>
      </c>
      <c r="E97" s="852"/>
      <c r="F97" s="853"/>
      <c r="G97" s="853"/>
      <c r="H97" s="853"/>
      <c r="I97" s="853"/>
      <c r="J97" s="853"/>
    </row>
    <row r="98" spans="1:10" s="854" customFormat="1" ht="35.1" customHeight="1">
      <c r="A98" s="855"/>
      <c r="B98" s="849" t="s">
        <v>1459</v>
      </c>
      <c r="C98" s="874" t="s">
        <v>529</v>
      </c>
      <c r="D98" s="851" t="s">
        <v>879</v>
      </c>
      <c r="E98" s="852"/>
      <c r="F98" s="853"/>
      <c r="G98" s="853"/>
      <c r="H98" s="853"/>
      <c r="I98" s="853"/>
      <c r="J98" s="853"/>
    </row>
    <row r="99" spans="1:10" s="854" customFormat="1" ht="35.1" customHeight="1">
      <c r="A99" s="855"/>
      <c r="B99" s="849" t="s">
        <v>1460</v>
      </c>
      <c r="C99" s="858" t="s">
        <v>127</v>
      </c>
      <c r="D99" s="859" t="s">
        <v>907</v>
      </c>
      <c r="E99" s="852"/>
      <c r="F99" s="853"/>
      <c r="G99" s="853"/>
      <c r="H99" s="853"/>
      <c r="I99" s="853"/>
      <c r="J99" s="853"/>
    </row>
    <row r="100" spans="1:10" s="854" customFormat="1" ht="35.1" customHeight="1">
      <c r="A100" s="855"/>
      <c r="B100" s="849" t="s">
        <v>1461</v>
      </c>
      <c r="C100" s="874" t="s">
        <v>892</v>
      </c>
      <c r="D100" s="885" t="s">
        <v>909</v>
      </c>
      <c r="E100" s="852"/>
      <c r="F100" s="853"/>
      <c r="G100" s="853"/>
      <c r="H100" s="853"/>
      <c r="I100" s="853"/>
      <c r="J100" s="853"/>
    </row>
    <row r="101" spans="1:10" s="854" customFormat="1" ht="35.1" customHeight="1">
      <c r="A101" s="855"/>
      <c r="B101" s="849" t="s">
        <v>1462</v>
      </c>
      <c r="C101" s="858" t="s">
        <v>893</v>
      </c>
      <c r="D101" s="851" t="s">
        <v>907</v>
      </c>
      <c r="E101" s="852"/>
      <c r="F101" s="853"/>
      <c r="G101" s="853"/>
      <c r="H101" s="853"/>
      <c r="I101" s="853"/>
      <c r="J101" s="853"/>
    </row>
    <row r="102" spans="1:10" s="865" customFormat="1" ht="35.1" customHeight="1">
      <c r="A102" s="875"/>
      <c r="B102" s="876" t="s">
        <v>463</v>
      </c>
      <c r="C102" s="879" t="s">
        <v>475</v>
      </c>
      <c r="D102" s="880"/>
      <c r="E102" s="863"/>
      <c r="F102" s="864"/>
      <c r="G102" s="864"/>
      <c r="H102" s="864"/>
      <c r="I102" s="864"/>
      <c r="J102" s="864"/>
    </row>
    <row r="103" spans="1:10" s="854" customFormat="1" ht="35.1" customHeight="1">
      <c r="A103" s="886"/>
      <c r="B103" s="849" t="s">
        <v>1463</v>
      </c>
      <c r="C103" s="872" t="s">
        <v>530</v>
      </c>
      <c r="D103" s="851" t="s">
        <v>879</v>
      </c>
      <c r="E103" s="852"/>
      <c r="F103" s="853"/>
      <c r="G103" s="853"/>
      <c r="H103" s="853"/>
      <c r="I103" s="853"/>
      <c r="J103" s="853"/>
    </row>
    <row r="104" spans="1:10" s="854" customFormat="1" ht="35.1" customHeight="1">
      <c r="A104" s="855"/>
      <c r="B104" s="849" t="s">
        <v>1464</v>
      </c>
      <c r="C104" s="872" t="s">
        <v>531</v>
      </c>
      <c r="D104" s="851" t="s">
        <v>879</v>
      </c>
      <c r="E104" s="852"/>
      <c r="F104" s="853"/>
      <c r="G104" s="853"/>
      <c r="H104" s="853"/>
      <c r="I104" s="853"/>
      <c r="J104" s="853"/>
    </row>
    <row r="105" spans="1:10" s="854" customFormat="1" ht="35.1" customHeight="1">
      <c r="A105" s="855"/>
      <c r="B105" s="849" t="s">
        <v>1465</v>
      </c>
      <c r="C105" s="872" t="s">
        <v>532</v>
      </c>
      <c r="D105" s="851" t="s">
        <v>879</v>
      </c>
      <c r="E105" s="852"/>
      <c r="F105" s="853"/>
      <c r="G105" s="853"/>
      <c r="H105" s="853"/>
      <c r="I105" s="853"/>
      <c r="J105" s="853"/>
    </row>
    <row r="106" spans="1:10" s="854" customFormat="1" ht="35.1" customHeight="1">
      <c r="A106" s="855"/>
      <c r="B106" s="849" t="s">
        <v>1466</v>
      </c>
      <c r="C106" s="872" t="s">
        <v>533</v>
      </c>
      <c r="D106" s="851" t="s">
        <v>879</v>
      </c>
      <c r="E106" s="852"/>
      <c r="F106" s="853"/>
      <c r="G106" s="853"/>
      <c r="H106" s="853"/>
      <c r="I106" s="853"/>
      <c r="J106" s="853"/>
    </row>
    <row r="107" spans="1:10" s="854" customFormat="1" ht="35.1" customHeight="1">
      <c r="A107" s="855"/>
      <c r="B107" s="849" t="s">
        <v>1467</v>
      </c>
      <c r="C107" s="872" t="s">
        <v>534</v>
      </c>
      <c r="D107" s="851" t="s">
        <v>879</v>
      </c>
      <c r="E107" s="852"/>
      <c r="F107" s="853"/>
      <c r="G107" s="853"/>
      <c r="H107" s="853"/>
      <c r="I107" s="853"/>
      <c r="J107" s="853"/>
    </row>
    <row r="108" spans="1:10" s="854" customFormat="1" ht="35.1" customHeight="1">
      <c r="A108" s="855"/>
      <c r="B108" s="849" t="s">
        <v>1468</v>
      </c>
      <c r="C108" s="872" t="s">
        <v>535</v>
      </c>
      <c r="D108" s="851" t="s">
        <v>879</v>
      </c>
      <c r="E108" s="852"/>
      <c r="F108" s="853"/>
      <c r="G108" s="853"/>
      <c r="H108" s="853"/>
      <c r="I108" s="853"/>
      <c r="J108" s="853"/>
    </row>
    <row r="109" spans="1:10" s="854" customFormat="1" ht="35.1" customHeight="1">
      <c r="A109" s="855"/>
      <c r="B109" s="849" t="s">
        <v>1469</v>
      </c>
      <c r="C109" s="872" t="s">
        <v>536</v>
      </c>
      <c r="D109" s="851" t="s">
        <v>879</v>
      </c>
      <c r="E109" s="852"/>
      <c r="F109" s="853"/>
      <c r="G109" s="853"/>
      <c r="H109" s="853"/>
      <c r="I109" s="853"/>
      <c r="J109" s="853"/>
    </row>
    <row r="110" spans="1:10" s="854" customFormat="1" ht="35.1" customHeight="1">
      <c r="A110" s="855"/>
      <c r="B110" s="849" t="s">
        <v>1470</v>
      </c>
      <c r="C110" s="872" t="s">
        <v>537</v>
      </c>
      <c r="D110" s="851" t="s">
        <v>879</v>
      </c>
      <c r="E110" s="852"/>
      <c r="F110" s="853"/>
      <c r="G110" s="853"/>
      <c r="H110" s="853"/>
      <c r="I110" s="853"/>
      <c r="J110" s="853"/>
    </row>
    <row r="111" spans="1:10" s="854" customFormat="1" ht="35.1" customHeight="1">
      <c r="A111" s="855"/>
      <c r="B111" s="849" t="s">
        <v>1471</v>
      </c>
      <c r="C111" s="872" t="s">
        <v>538</v>
      </c>
      <c r="D111" s="851" t="s">
        <v>879</v>
      </c>
      <c r="E111" s="852"/>
      <c r="F111" s="853"/>
      <c r="G111" s="853"/>
      <c r="H111" s="853"/>
      <c r="I111" s="853"/>
      <c r="J111" s="853"/>
    </row>
    <row r="112" spans="1:10" s="854" customFormat="1" ht="35.1" customHeight="1">
      <c r="A112" s="855"/>
      <c r="B112" s="849" t="s">
        <v>1472</v>
      </c>
      <c r="C112" s="872" t="s">
        <v>539</v>
      </c>
      <c r="D112" s="851" t="s">
        <v>879</v>
      </c>
      <c r="E112" s="852"/>
      <c r="F112" s="853"/>
      <c r="G112" s="853"/>
      <c r="H112" s="853"/>
      <c r="I112" s="853"/>
      <c r="J112" s="853"/>
    </row>
    <row r="113" spans="1:10" s="854" customFormat="1" ht="35.1" customHeight="1">
      <c r="A113" s="855"/>
      <c r="B113" s="849" t="s">
        <v>1473</v>
      </c>
      <c r="C113" s="872" t="s">
        <v>540</v>
      </c>
      <c r="D113" s="851" t="s">
        <v>879</v>
      </c>
      <c r="E113" s="852"/>
      <c r="F113" s="853"/>
      <c r="G113" s="853"/>
      <c r="H113" s="853"/>
      <c r="I113" s="853"/>
      <c r="J113" s="853"/>
    </row>
    <row r="114" spans="1:10" s="854" customFormat="1" ht="35.1" customHeight="1">
      <c r="A114" s="855"/>
      <c r="B114" s="849" t="s">
        <v>1474</v>
      </c>
      <c r="C114" s="872" t="s">
        <v>541</v>
      </c>
      <c r="D114" s="851" t="s">
        <v>879</v>
      </c>
      <c r="E114" s="852"/>
      <c r="F114" s="853"/>
      <c r="G114" s="853"/>
      <c r="H114" s="853"/>
      <c r="I114" s="853"/>
      <c r="J114" s="853"/>
    </row>
    <row r="115" spans="1:10" s="854" customFormat="1" ht="35.1" customHeight="1">
      <c r="A115" s="855"/>
      <c r="B115" s="849" t="s">
        <v>1475</v>
      </c>
      <c r="C115" s="872" t="s">
        <v>542</v>
      </c>
      <c r="D115" s="851" t="s">
        <v>879</v>
      </c>
      <c r="E115" s="852"/>
      <c r="F115" s="853"/>
      <c r="G115" s="853"/>
      <c r="H115" s="853"/>
      <c r="I115" s="853"/>
      <c r="J115" s="853"/>
    </row>
    <row r="116" spans="1:10" s="854" customFormat="1" ht="35.1" customHeight="1">
      <c r="A116" s="855"/>
      <c r="B116" s="849" t="s">
        <v>1476</v>
      </c>
      <c r="C116" s="872" t="s">
        <v>543</v>
      </c>
      <c r="D116" s="851" t="s">
        <v>879</v>
      </c>
      <c r="E116" s="852"/>
      <c r="F116" s="853"/>
      <c r="G116" s="853"/>
      <c r="H116" s="853"/>
      <c r="I116" s="853"/>
      <c r="J116" s="853"/>
    </row>
    <row r="117" spans="1:10" s="854" customFormat="1" ht="35.1" customHeight="1">
      <c r="A117" s="855"/>
      <c r="B117" s="849" t="s">
        <v>1477</v>
      </c>
      <c r="C117" s="872" t="s">
        <v>544</v>
      </c>
      <c r="D117" s="851" t="s">
        <v>879</v>
      </c>
      <c r="E117" s="852"/>
      <c r="F117" s="853"/>
      <c r="G117" s="853"/>
      <c r="H117" s="853"/>
      <c r="I117" s="853"/>
      <c r="J117" s="853"/>
    </row>
    <row r="118" spans="1:10" s="854" customFormat="1" ht="35.1" customHeight="1">
      <c r="A118" s="855"/>
      <c r="B118" s="849" t="s">
        <v>1478</v>
      </c>
      <c r="C118" s="872" t="s">
        <v>545</v>
      </c>
      <c r="D118" s="851" t="s">
        <v>879</v>
      </c>
      <c r="E118" s="852"/>
      <c r="F118" s="853"/>
      <c r="G118" s="853"/>
      <c r="H118" s="853"/>
      <c r="I118" s="853"/>
      <c r="J118" s="853"/>
    </row>
    <row r="119" spans="1:10" s="854" customFormat="1" ht="35.1" customHeight="1">
      <c r="A119" s="855"/>
      <c r="B119" s="849" t="s">
        <v>1479</v>
      </c>
      <c r="C119" s="872" t="s">
        <v>546</v>
      </c>
      <c r="D119" s="851" t="s">
        <v>879</v>
      </c>
      <c r="E119" s="852"/>
      <c r="F119" s="853"/>
      <c r="G119" s="853"/>
      <c r="H119" s="853"/>
      <c r="I119" s="853"/>
      <c r="J119" s="853"/>
    </row>
    <row r="120" spans="1:10" s="854" customFormat="1" ht="35.1" customHeight="1">
      <c r="A120" s="855"/>
      <c r="B120" s="849" t="s">
        <v>1480</v>
      </c>
      <c r="C120" s="872" t="s">
        <v>547</v>
      </c>
      <c r="D120" s="851" t="s">
        <v>879</v>
      </c>
      <c r="E120" s="852"/>
      <c r="F120" s="853"/>
      <c r="G120" s="853"/>
      <c r="H120" s="853"/>
      <c r="I120" s="853"/>
      <c r="J120" s="853"/>
    </row>
    <row r="121" spans="1:10" s="854" customFormat="1" ht="35.1" customHeight="1">
      <c r="A121" s="855"/>
      <c r="B121" s="849" t="s">
        <v>1481</v>
      </c>
      <c r="C121" s="873" t="s">
        <v>548</v>
      </c>
      <c r="D121" s="851" t="s">
        <v>879</v>
      </c>
      <c r="E121" s="852"/>
      <c r="F121" s="853"/>
      <c r="G121" s="853"/>
      <c r="H121" s="853"/>
      <c r="I121" s="853"/>
      <c r="J121" s="853"/>
    </row>
    <row r="122" spans="1:10" s="854" customFormat="1" ht="35.1" customHeight="1">
      <c r="A122" s="855"/>
      <c r="B122" s="849" t="s">
        <v>1482</v>
      </c>
      <c r="C122" s="872" t="s">
        <v>549</v>
      </c>
      <c r="D122" s="851" t="s">
        <v>879</v>
      </c>
      <c r="E122" s="852"/>
      <c r="F122" s="853"/>
      <c r="G122" s="853"/>
      <c r="H122" s="853"/>
      <c r="I122" s="853"/>
      <c r="J122" s="853"/>
    </row>
    <row r="123" spans="1:10" s="854" customFormat="1" ht="35.1" customHeight="1">
      <c r="A123" s="855"/>
      <c r="B123" s="849" t="s">
        <v>1483</v>
      </c>
      <c r="C123" s="872" t="s">
        <v>550</v>
      </c>
      <c r="D123" s="851" t="s">
        <v>879</v>
      </c>
      <c r="E123" s="852"/>
      <c r="F123" s="853"/>
      <c r="G123" s="853"/>
      <c r="H123" s="853"/>
      <c r="I123" s="853"/>
      <c r="J123" s="853"/>
    </row>
    <row r="124" spans="1:10" s="854" customFormat="1" ht="35.1" customHeight="1">
      <c r="A124" s="855"/>
      <c r="B124" s="849" t="s">
        <v>1484</v>
      </c>
      <c r="C124" s="872" t="s">
        <v>551</v>
      </c>
      <c r="D124" s="851" t="s">
        <v>879</v>
      </c>
      <c r="E124" s="852"/>
      <c r="F124" s="853"/>
      <c r="G124" s="853"/>
      <c r="H124" s="853"/>
      <c r="I124" s="853"/>
      <c r="J124" s="853"/>
    </row>
    <row r="125" spans="1:10" s="854" customFormat="1" ht="35.1" customHeight="1">
      <c r="A125" s="855"/>
      <c r="B125" s="849" t="s">
        <v>1485</v>
      </c>
      <c r="C125" s="872" t="s">
        <v>552</v>
      </c>
      <c r="D125" s="851" t="s">
        <v>879</v>
      </c>
      <c r="E125" s="852"/>
      <c r="F125" s="853"/>
      <c r="G125" s="853"/>
      <c r="H125" s="853"/>
      <c r="I125" s="853"/>
      <c r="J125" s="853"/>
    </row>
    <row r="126" spans="1:10" s="854" customFormat="1" ht="35.1" customHeight="1">
      <c r="A126" s="855"/>
      <c r="B126" s="849" t="s">
        <v>1486</v>
      </c>
      <c r="C126" s="872" t="s">
        <v>553</v>
      </c>
      <c r="D126" s="851" t="s">
        <v>879</v>
      </c>
      <c r="E126" s="852"/>
      <c r="F126" s="853"/>
      <c r="G126" s="853"/>
      <c r="H126" s="853"/>
      <c r="I126" s="853"/>
      <c r="J126" s="853"/>
    </row>
    <row r="127" spans="1:10" s="854" customFormat="1" ht="35.1" customHeight="1">
      <c r="A127" s="855"/>
      <c r="B127" s="849" t="s">
        <v>1487</v>
      </c>
      <c r="C127" s="872" t="s">
        <v>554</v>
      </c>
      <c r="D127" s="851" t="s">
        <v>879</v>
      </c>
      <c r="E127" s="852"/>
      <c r="F127" s="853"/>
      <c r="G127" s="853"/>
      <c r="H127" s="853"/>
      <c r="I127" s="853"/>
      <c r="J127" s="853"/>
    </row>
    <row r="128" spans="1:10" s="854" customFormat="1" ht="35.1" customHeight="1">
      <c r="A128" s="855"/>
      <c r="B128" s="849" t="s">
        <v>1488</v>
      </c>
      <c r="C128" s="872" t="s">
        <v>555</v>
      </c>
      <c r="D128" s="851" t="s">
        <v>879</v>
      </c>
      <c r="E128" s="852"/>
      <c r="F128" s="853"/>
      <c r="G128" s="853"/>
      <c r="H128" s="853"/>
      <c r="I128" s="853"/>
      <c r="J128" s="853"/>
    </row>
    <row r="129" spans="1:10" s="854" customFormat="1" ht="35.1" customHeight="1">
      <c r="A129" s="855"/>
      <c r="B129" s="849" t="s">
        <v>1489</v>
      </c>
      <c r="C129" s="872" t="s">
        <v>556</v>
      </c>
      <c r="D129" s="851" t="s">
        <v>879</v>
      </c>
      <c r="E129" s="852"/>
      <c r="F129" s="853"/>
      <c r="G129" s="853"/>
      <c r="H129" s="853"/>
      <c r="I129" s="853"/>
      <c r="J129" s="853"/>
    </row>
    <row r="130" spans="1:10" s="854" customFormat="1" ht="35.1" customHeight="1">
      <c r="A130" s="855"/>
      <c r="B130" s="849" t="s">
        <v>1490</v>
      </c>
      <c r="C130" s="872" t="s">
        <v>557</v>
      </c>
      <c r="D130" s="851" t="s">
        <v>879</v>
      </c>
      <c r="E130" s="852"/>
      <c r="F130" s="853"/>
      <c r="G130" s="853"/>
      <c r="H130" s="853"/>
      <c r="I130" s="853"/>
      <c r="J130" s="853"/>
    </row>
    <row r="131" spans="1:10" s="854" customFormat="1" ht="35.1" customHeight="1">
      <c r="A131" s="855"/>
      <c r="B131" s="849" t="s">
        <v>1491</v>
      </c>
      <c r="C131" s="872" t="s">
        <v>558</v>
      </c>
      <c r="D131" s="851" t="s">
        <v>879</v>
      </c>
      <c r="E131" s="852"/>
      <c r="F131" s="853"/>
      <c r="G131" s="853"/>
      <c r="H131" s="853"/>
      <c r="I131" s="853"/>
      <c r="J131" s="853"/>
    </row>
    <row r="132" spans="1:10" s="854" customFormat="1" ht="35.1" customHeight="1">
      <c r="A132" s="855"/>
      <c r="B132" s="849" t="s">
        <v>1492</v>
      </c>
      <c r="C132" s="858" t="s">
        <v>238</v>
      </c>
      <c r="D132" s="887" t="s">
        <v>907</v>
      </c>
      <c r="E132" s="852"/>
      <c r="F132" s="853"/>
      <c r="G132" s="853"/>
      <c r="H132" s="853"/>
      <c r="I132" s="853"/>
      <c r="J132" s="853"/>
    </row>
    <row r="133" spans="1:10" s="854" customFormat="1" ht="35.1" customHeight="1">
      <c r="A133" s="855"/>
      <c r="B133" s="849" t="s">
        <v>1493</v>
      </c>
      <c r="C133" s="858" t="s">
        <v>246</v>
      </c>
      <c r="D133" s="887" t="s">
        <v>907</v>
      </c>
      <c r="E133" s="852"/>
      <c r="F133" s="853"/>
      <c r="G133" s="853"/>
      <c r="H133" s="853"/>
      <c r="I133" s="853"/>
      <c r="J133" s="853"/>
    </row>
    <row r="134" spans="1:10" s="854" customFormat="1" ht="35.1" customHeight="1">
      <c r="A134" s="855"/>
      <c r="B134" s="849" t="s">
        <v>1494</v>
      </c>
      <c r="C134" s="858" t="s">
        <v>247</v>
      </c>
      <c r="D134" s="887" t="s">
        <v>907</v>
      </c>
      <c r="E134" s="852"/>
      <c r="F134" s="853"/>
      <c r="G134" s="853"/>
      <c r="H134" s="853"/>
      <c r="I134" s="853"/>
      <c r="J134" s="853"/>
    </row>
    <row r="135" spans="1:10" s="854" customFormat="1" ht="35.1" customHeight="1">
      <c r="A135" s="855"/>
      <c r="B135" s="849" t="s">
        <v>1495</v>
      </c>
      <c r="C135" s="858" t="s">
        <v>270</v>
      </c>
      <c r="D135" s="887" t="s">
        <v>907</v>
      </c>
      <c r="E135" s="852"/>
      <c r="F135" s="853"/>
      <c r="G135" s="853"/>
      <c r="H135" s="853"/>
      <c r="I135" s="853"/>
      <c r="J135" s="853"/>
    </row>
    <row r="136" spans="1:10" s="854" customFormat="1" ht="35.1" customHeight="1">
      <c r="A136" s="855"/>
      <c r="B136" s="849" t="s">
        <v>1496</v>
      </c>
      <c r="C136" s="858" t="s">
        <v>271</v>
      </c>
      <c r="D136" s="887" t="s">
        <v>907</v>
      </c>
      <c r="E136" s="852"/>
      <c r="F136" s="853"/>
      <c r="G136" s="853"/>
      <c r="H136" s="853"/>
      <c r="I136" s="853"/>
      <c r="J136" s="853"/>
    </row>
    <row r="137" spans="1:10" s="854" customFormat="1" ht="35.1" customHeight="1">
      <c r="A137" s="855"/>
      <c r="B137" s="849" t="s">
        <v>1497</v>
      </c>
      <c r="C137" s="858" t="s">
        <v>272</v>
      </c>
      <c r="D137" s="887" t="s">
        <v>907</v>
      </c>
      <c r="E137" s="852"/>
      <c r="F137" s="853"/>
      <c r="G137" s="853"/>
      <c r="H137" s="853"/>
      <c r="I137" s="853"/>
      <c r="J137" s="853"/>
    </row>
    <row r="138" spans="1:10" s="854" customFormat="1" ht="35.1" customHeight="1">
      <c r="A138" s="855"/>
      <c r="B138" s="849" t="s">
        <v>1498</v>
      </c>
      <c r="C138" s="858" t="s">
        <v>273</v>
      </c>
      <c r="D138" s="887" t="s">
        <v>907</v>
      </c>
      <c r="E138" s="852"/>
      <c r="F138" s="853"/>
      <c r="G138" s="853"/>
      <c r="H138" s="853"/>
      <c r="I138" s="853"/>
      <c r="J138" s="853"/>
    </row>
    <row r="139" spans="1:10" s="854" customFormat="1" ht="35.1" customHeight="1">
      <c r="A139" s="875"/>
      <c r="B139" s="869" t="s">
        <v>460</v>
      </c>
      <c r="C139" s="888" t="s">
        <v>476</v>
      </c>
      <c r="D139" s="889"/>
      <c r="E139" s="852"/>
      <c r="F139" s="853"/>
      <c r="G139" s="853"/>
      <c r="H139" s="853"/>
      <c r="I139" s="853"/>
      <c r="J139" s="853"/>
    </row>
    <row r="140" spans="1:10" s="854" customFormat="1" ht="35.1" customHeight="1">
      <c r="A140" s="875"/>
      <c r="B140" s="849" t="s">
        <v>1499</v>
      </c>
      <c r="C140" s="874" t="s">
        <v>1289</v>
      </c>
      <c r="D140" s="851" t="s">
        <v>879</v>
      </c>
      <c r="E140" s="852"/>
      <c r="F140" s="853"/>
      <c r="G140" s="853"/>
      <c r="H140" s="853"/>
      <c r="I140" s="853"/>
      <c r="J140" s="853"/>
    </row>
    <row r="141" spans="1:10" s="854" customFormat="1" ht="35.1" customHeight="1">
      <c r="A141" s="875"/>
      <c r="B141" s="849" t="s">
        <v>1500</v>
      </c>
      <c r="C141" s="874" t="s">
        <v>1290</v>
      </c>
      <c r="D141" s="851" t="s">
        <v>879</v>
      </c>
      <c r="E141" s="852"/>
      <c r="F141" s="853"/>
      <c r="G141" s="853"/>
      <c r="H141" s="853"/>
      <c r="I141" s="853"/>
      <c r="J141" s="853"/>
    </row>
    <row r="142" spans="1:10" s="854" customFormat="1" ht="35.1" customHeight="1">
      <c r="A142" s="875"/>
      <c r="B142" s="849" t="s">
        <v>1501</v>
      </c>
      <c r="C142" s="874" t="s">
        <v>1291</v>
      </c>
      <c r="D142" s="851" t="s">
        <v>879</v>
      </c>
      <c r="E142" s="852"/>
      <c r="F142" s="853"/>
      <c r="G142" s="853"/>
      <c r="H142" s="853"/>
      <c r="I142" s="853"/>
      <c r="J142" s="853"/>
    </row>
    <row r="143" spans="1:10" s="854" customFormat="1" ht="35.1" customHeight="1">
      <c r="A143" s="875"/>
      <c r="B143" s="849" t="s">
        <v>1502</v>
      </c>
      <c r="C143" s="874" t="s">
        <v>1292</v>
      </c>
      <c r="D143" s="851" t="s">
        <v>879</v>
      </c>
      <c r="E143" s="852"/>
      <c r="F143" s="853"/>
      <c r="G143" s="853"/>
      <c r="H143" s="853"/>
      <c r="I143" s="853"/>
      <c r="J143" s="853"/>
    </row>
    <row r="144" spans="1:10" s="854" customFormat="1" ht="35.1" customHeight="1">
      <c r="A144" s="875"/>
      <c r="B144" s="849" t="s">
        <v>1503</v>
      </c>
      <c r="C144" s="874" t="s">
        <v>1293</v>
      </c>
      <c r="D144" s="851" t="s">
        <v>879</v>
      </c>
      <c r="E144" s="852"/>
      <c r="F144" s="853"/>
      <c r="G144" s="853"/>
      <c r="H144" s="853"/>
      <c r="I144" s="853"/>
      <c r="J144" s="853"/>
    </row>
    <row r="145" spans="1:10" s="854" customFormat="1" ht="35.1" customHeight="1">
      <c r="A145" s="875"/>
      <c r="B145" s="849" t="s">
        <v>1504</v>
      </c>
      <c r="C145" s="874" t="s">
        <v>1294</v>
      </c>
      <c r="D145" s="851" t="s">
        <v>879</v>
      </c>
      <c r="E145" s="852"/>
      <c r="F145" s="853"/>
      <c r="G145" s="853"/>
      <c r="H145" s="853"/>
      <c r="I145" s="853"/>
      <c r="J145" s="853"/>
    </row>
    <row r="146" spans="1:10" s="854" customFormat="1" ht="35.1" customHeight="1">
      <c r="A146" s="875"/>
      <c r="B146" s="849" t="s">
        <v>1505</v>
      </c>
      <c r="C146" s="874" t="s">
        <v>1295</v>
      </c>
      <c r="D146" s="851" t="s">
        <v>879</v>
      </c>
      <c r="E146" s="852"/>
      <c r="F146" s="853"/>
      <c r="G146" s="853"/>
      <c r="H146" s="853"/>
      <c r="I146" s="853"/>
      <c r="J146" s="853"/>
    </row>
    <row r="147" spans="1:10" s="854" customFormat="1" ht="35.1" customHeight="1">
      <c r="A147" s="875"/>
      <c r="B147" s="849" t="s">
        <v>1506</v>
      </c>
      <c r="C147" s="874" t="s">
        <v>581</v>
      </c>
      <c r="D147" s="851" t="s">
        <v>879</v>
      </c>
      <c r="E147" s="852"/>
      <c r="F147" s="853"/>
      <c r="G147" s="853"/>
      <c r="H147" s="853"/>
      <c r="I147" s="853"/>
      <c r="J147" s="853"/>
    </row>
    <row r="148" spans="1:10" s="854" customFormat="1" ht="35.1" customHeight="1">
      <c r="A148" s="875"/>
      <c r="B148" s="849" t="s">
        <v>1507</v>
      </c>
      <c r="C148" s="874" t="s">
        <v>582</v>
      </c>
      <c r="D148" s="851" t="s">
        <v>879</v>
      </c>
      <c r="E148" s="852"/>
      <c r="F148" s="853"/>
      <c r="G148" s="853"/>
      <c r="H148" s="853"/>
      <c r="I148" s="853"/>
      <c r="J148" s="853"/>
    </row>
    <row r="149" spans="1:10" s="854" customFormat="1" ht="35.1" customHeight="1">
      <c r="A149" s="875"/>
      <c r="B149" s="849" t="s">
        <v>1508</v>
      </c>
      <c r="C149" s="874" t="s">
        <v>583</v>
      </c>
      <c r="D149" s="851" t="s">
        <v>879</v>
      </c>
      <c r="E149" s="852"/>
      <c r="F149" s="853"/>
      <c r="G149" s="853"/>
      <c r="H149" s="853"/>
      <c r="I149" s="853"/>
      <c r="J149" s="853"/>
    </row>
    <row r="150" spans="1:10" s="854" customFormat="1" ht="35.1" customHeight="1">
      <c r="A150" s="875"/>
      <c r="B150" s="849" t="s">
        <v>1509</v>
      </c>
      <c r="C150" s="874" t="s">
        <v>1296</v>
      </c>
      <c r="D150" s="851" t="s">
        <v>879</v>
      </c>
      <c r="E150" s="852"/>
      <c r="F150" s="853"/>
      <c r="G150" s="853"/>
      <c r="H150" s="853"/>
      <c r="I150" s="853"/>
      <c r="J150" s="853"/>
    </row>
    <row r="151" spans="1:10" s="854" customFormat="1" ht="35.1" customHeight="1">
      <c r="A151" s="875"/>
      <c r="B151" s="849" t="s">
        <v>1510</v>
      </c>
      <c r="C151" s="874" t="s">
        <v>1297</v>
      </c>
      <c r="D151" s="851" t="s">
        <v>879</v>
      </c>
      <c r="E151" s="852"/>
      <c r="F151" s="853"/>
      <c r="G151" s="853"/>
      <c r="H151" s="853"/>
      <c r="I151" s="853"/>
      <c r="J151" s="853"/>
    </row>
    <row r="152" spans="1:10" s="854" customFormat="1" ht="35.1" customHeight="1">
      <c r="A152" s="875"/>
      <c r="B152" s="849" t="s">
        <v>1511</v>
      </c>
      <c r="C152" s="874" t="s">
        <v>1298</v>
      </c>
      <c r="D152" s="851" t="s">
        <v>879</v>
      </c>
      <c r="E152" s="852"/>
      <c r="F152" s="853"/>
      <c r="G152" s="853"/>
      <c r="H152" s="853"/>
      <c r="I152" s="853"/>
      <c r="J152" s="853"/>
    </row>
    <row r="153" spans="1:10" s="854" customFormat="1" ht="35.1" customHeight="1">
      <c r="A153" s="875"/>
      <c r="B153" s="849" t="s">
        <v>1512</v>
      </c>
      <c r="C153" s="874" t="s">
        <v>587</v>
      </c>
      <c r="D153" s="851" t="s">
        <v>879</v>
      </c>
      <c r="E153" s="852"/>
      <c r="F153" s="853"/>
      <c r="G153" s="853"/>
      <c r="H153" s="853"/>
      <c r="I153" s="853"/>
      <c r="J153" s="853"/>
    </row>
    <row r="154" spans="1:10" s="854" customFormat="1" ht="35.1" customHeight="1">
      <c r="A154" s="875"/>
      <c r="B154" s="849" t="s">
        <v>1513</v>
      </c>
      <c r="C154" s="874" t="s">
        <v>588</v>
      </c>
      <c r="D154" s="851" t="s">
        <v>879</v>
      </c>
      <c r="E154" s="852"/>
      <c r="F154" s="853"/>
      <c r="G154" s="853"/>
      <c r="H154" s="853"/>
      <c r="I154" s="853"/>
      <c r="J154" s="853"/>
    </row>
    <row r="155" spans="1:10" s="854" customFormat="1" ht="35.1" customHeight="1">
      <c r="A155" s="875"/>
      <c r="B155" s="849" t="s">
        <v>1514</v>
      </c>
      <c r="C155" s="874" t="s">
        <v>589</v>
      </c>
      <c r="D155" s="851" t="s">
        <v>879</v>
      </c>
      <c r="E155" s="882"/>
      <c r="F155" s="883"/>
      <c r="G155" s="883"/>
      <c r="H155" s="883"/>
      <c r="I155" s="883"/>
      <c r="J155" s="853"/>
    </row>
    <row r="156" spans="1:10" s="854" customFormat="1" ht="35.1" customHeight="1">
      <c r="A156" s="875"/>
      <c r="B156" s="849" t="s">
        <v>1515</v>
      </c>
      <c r="C156" s="874" t="s">
        <v>590</v>
      </c>
      <c r="D156" s="851" t="s">
        <v>879</v>
      </c>
      <c r="E156" s="882"/>
      <c r="F156" s="883"/>
      <c r="G156" s="883"/>
      <c r="H156" s="883"/>
      <c r="I156" s="883"/>
      <c r="J156" s="853"/>
    </row>
    <row r="157" spans="1:10" s="854" customFormat="1" ht="35.1" customHeight="1">
      <c r="A157" s="875"/>
      <c r="B157" s="849" t="s">
        <v>1516</v>
      </c>
      <c r="C157" s="874" t="s">
        <v>591</v>
      </c>
      <c r="D157" s="851" t="s">
        <v>879</v>
      </c>
      <c r="E157" s="882"/>
      <c r="F157" s="883"/>
      <c r="G157" s="883"/>
      <c r="H157" s="883"/>
      <c r="I157" s="883"/>
      <c r="J157" s="853"/>
    </row>
    <row r="158" spans="1:10" s="854" customFormat="1" ht="35.1" customHeight="1">
      <c r="A158" s="875"/>
      <c r="B158" s="849" t="s">
        <v>1517</v>
      </c>
      <c r="C158" s="874" t="s">
        <v>592</v>
      </c>
      <c r="D158" s="851" t="s">
        <v>879</v>
      </c>
      <c r="E158" s="882"/>
      <c r="F158" s="883"/>
      <c r="G158" s="883"/>
      <c r="H158" s="883"/>
      <c r="I158" s="883"/>
      <c r="J158" s="853"/>
    </row>
    <row r="159" spans="1:10" s="854" customFormat="1" ht="35.1" customHeight="1">
      <c r="A159" s="875"/>
      <c r="B159" s="849" t="s">
        <v>1518</v>
      </c>
      <c r="C159" s="874" t="s">
        <v>1299</v>
      </c>
      <c r="D159" s="851" t="s">
        <v>879</v>
      </c>
      <c r="E159" s="890"/>
      <c r="F159" s="891"/>
      <c r="G159" s="891"/>
      <c r="H159" s="891"/>
      <c r="I159" s="891"/>
      <c r="J159" s="853"/>
    </row>
    <row r="160" spans="1:10" s="854" customFormat="1" ht="35.1" customHeight="1">
      <c r="A160" s="875"/>
      <c r="B160" s="849" t="s">
        <v>1519</v>
      </c>
      <c r="C160" s="874" t="s">
        <v>1300</v>
      </c>
      <c r="D160" s="851" t="s">
        <v>879</v>
      </c>
      <c r="E160" s="890"/>
      <c r="F160" s="891"/>
      <c r="G160" s="891"/>
      <c r="H160" s="891"/>
      <c r="I160" s="891"/>
      <c r="J160" s="853"/>
    </row>
    <row r="161" spans="1:10" s="854" customFormat="1" ht="35.1" customHeight="1">
      <c r="A161" s="875"/>
      <c r="B161" s="849" t="s">
        <v>1520</v>
      </c>
      <c r="C161" s="874" t="s">
        <v>1301</v>
      </c>
      <c r="D161" s="851" t="s">
        <v>879</v>
      </c>
      <c r="E161" s="890"/>
      <c r="F161" s="891"/>
      <c r="G161" s="891"/>
      <c r="H161" s="891"/>
      <c r="I161" s="891"/>
      <c r="J161" s="853"/>
    </row>
    <row r="162" spans="1:10" s="854" customFormat="1" ht="35.1" customHeight="1">
      <c r="A162" s="875"/>
      <c r="B162" s="849" t="s">
        <v>1521</v>
      </c>
      <c r="C162" s="874" t="s">
        <v>1302</v>
      </c>
      <c r="D162" s="851" t="s">
        <v>879</v>
      </c>
      <c r="E162" s="890"/>
      <c r="F162" s="891"/>
      <c r="G162" s="891"/>
      <c r="H162" s="891"/>
      <c r="I162" s="891"/>
      <c r="J162" s="853"/>
    </row>
    <row r="163" spans="1:10" s="854" customFormat="1" ht="35.1" customHeight="1">
      <c r="A163" s="875"/>
      <c r="B163" s="849" t="s">
        <v>1522</v>
      </c>
      <c r="C163" s="874" t="s">
        <v>1303</v>
      </c>
      <c r="D163" s="851" t="s">
        <v>879</v>
      </c>
      <c r="E163" s="890"/>
      <c r="F163" s="891"/>
      <c r="G163" s="891"/>
      <c r="H163" s="891"/>
      <c r="I163" s="891"/>
      <c r="J163" s="853"/>
    </row>
    <row r="164" spans="1:10" s="865" customFormat="1" ht="35.1" customHeight="1">
      <c r="A164" s="875"/>
      <c r="B164" s="876" t="s">
        <v>461</v>
      </c>
      <c r="C164" s="879" t="s">
        <v>477</v>
      </c>
      <c r="D164" s="880"/>
      <c r="E164" s="863"/>
      <c r="F164" s="864"/>
      <c r="G164" s="864"/>
      <c r="H164" s="864"/>
      <c r="I164" s="864"/>
      <c r="J164" s="864"/>
    </row>
    <row r="165" spans="1:10" s="854" customFormat="1" ht="35.1" customHeight="1">
      <c r="A165" s="892"/>
      <c r="B165" s="849" t="s">
        <v>1523</v>
      </c>
      <c r="C165" s="874" t="s">
        <v>598</v>
      </c>
      <c r="D165" s="851" t="s">
        <v>879</v>
      </c>
      <c r="E165" s="852"/>
      <c r="F165" s="853"/>
      <c r="G165" s="853"/>
      <c r="H165" s="853"/>
      <c r="I165" s="853"/>
      <c r="J165" s="853"/>
    </row>
    <row r="166" spans="1:10" s="854" customFormat="1" ht="35.1" customHeight="1">
      <c r="A166" s="855"/>
      <c r="B166" s="849" t="s">
        <v>1524</v>
      </c>
      <c r="C166" s="874" t="s">
        <v>599</v>
      </c>
      <c r="D166" s="851" t="s">
        <v>879</v>
      </c>
      <c r="E166" s="852"/>
      <c r="F166" s="853"/>
      <c r="G166" s="853"/>
      <c r="H166" s="853"/>
      <c r="I166" s="853"/>
      <c r="J166" s="853"/>
    </row>
    <row r="167" spans="1:10" s="854" customFormat="1" ht="35.1" customHeight="1">
      <c r="A167" s="855"/>
      <c r="B167" s="849" t="s">
        <v>1525</v>
      </c>
      <c r="C167" s="874" t="s">
        <v>600</v>
      </c>
      <c r="D167" s="851" t="s">
        <v>879</v>
      </c>
      <c r="E167" s="852"/>
      <c r="F167" s="853"/>
      <c r="G167" s="853"/>
      <c r="H167" s="853"/>
      <c r="I167" s="853"/>
      <c r="J167" s="853"/>
    </row>
    <row r="168" spans="1:10" s="854" customFormat="1" ht="35.1" customHeight="1">
      <c r="A168" s="855"/>
      <c r="B168" s="849" t="s">
        <v>1526</v>
      </c>
      <c r="C168" s="874" t="s">
        <v>601</v>
      </c>
      <c r="D168" s="851" t="s">
        <v>879</v>
      </c>
      <c r="E168" s="852"/>
      <c r="F168" s="853"/>
      <c r="G168" s="853"/>
      <c r="H168" s="853"/>
      <c r="I168" s="853"/>
      <c r="J168" s="853"/>
    </row>
    <row r="169" spans="1:10" s="854" customFormat="1" ht="35.1" customHeight="1">
      <c r="A169" s="855"/>
      <c r="B169" s="849" t="s">
        <v>1527</v>
      </c>
      <c r="C169" s="874" t="s">
        <v>602</v>
      </c>
      <c r="D169" s="851" t="s">
        <v>879</v>
      </c>
      <c r="E169" s="852"/>
      <c r="F169" s="853"/>
      <c r="G169" s="853"/>
      <c r="H169" s="853"/>
      <c r="I169" s="853"/>
      <c r="J169" s="853"/>
    </row>
    <row r="170" spans="1:10" s="854" customFormat="1" ht="35.1" customHeight="1">
      <c r="A170" s="855"/>
      <c r="B170" s="849" t="s">
        <v>1528</v>
      </c>
      <c r="C170" s="874" t="s">
        <v>603</v>
      </c>
      <c r="D170" s="851" t="s">
        <v>879</v>
      </c>
      <c r="E170" s="852"/>
      <c r="F170" s="853"/>
      <c r="G170" s="853"/>
      <c r="H170" s="853"/>
      <c r="I170" s="853"/>
      <c r="J170" s="853"/>
    </row>
    <row r="171" spans="1:10" s="854" customFormat="1" ht="35.1" customHeight="1">
      <c r="A171" s="855"/>
      <c r="B171" s="849" t="s">
        <v>1529</v>
      </c>
      <c r="C171" s="874" t="s">
        <v>604</v>
      </c>
      <c r="D171" s="851" t="s">
        <v>879</v>
      </c>
      <c r="E171" s="852"/>
      <c r="F171" s="853"/>
      <c r="G171" s="853"/>
      <c r="H171" s="853"/>
      <c r="I171" s="853"/>
      <c r="J171" s="853"/>
    </row>
    <row r="172" spans="1:10" s="854" customFormat="1" ht="35.1" customHeight="1">
      <c r="A172" s="855"/>
      <c r="B172" s="849" t="s">
        <v>1530</v>
      </c>
      <c r="C172" s="874" t="s">
        <v>605</v>
      </c>
      <c r="D172" s="851" t="s">
        <v>879</v>
      </c>
      <c r="E172" s="852"/>
      <c r="F172" s="853"/>
      <c r="G172" s="853"/>
      <c r="H172" s="853"/>
      <c r="I172" s="853"/>
      <c r="J172" s="853"/>
    </row>
    <row r="173" spans="1:10" s="854" customFormat="1" ht="35.1" customHeight="1">
      <c r="A173" s="855"/>
      <c r="B173" s="849" t="s">
        <v>1531</v>
      </c>
      <c r="C173" s="874" t="s">
        <v>606</v>
      </c>
      <c r="D173" s="851" t="s">
        <v>879</v>
      </c>
      <c r="E173" s="852"/>
      <c r="F173" s="853"/>
      <c r="G173" s="853"/>
      <c r="H173" s="853"/>
      <c r="I173" s="853"/>
      <c r="J173" s="853"/>
    </row>
    <row r="174" spans="1:10" s="854" customFormat="1" ht="35.1" customHeight="1">
      <c r="A174" s="855"/>
      <c r="B174" s="849" t="s">
        <v>1532</v>
      </c>
      <c r="C174" s="874" t="s">
        <v>607</v>
      </c>
      <c r="D174" s="851" t="s">
        <v>879</v>
      </c>
      <c r="E174" s="852"/>
      <c r="F174" s="853"/>
      <c r="G174" s="853"/>
      <c r="H174" s="853"/>
      <c r="I174" s="853"/>
      <c r="J174" s="853"/>
    </row>
    <row r="175" spans="1:10" s="854" customFormat="1" ht="35.1" customHeight="1">
      <c r="A175" s="855"/>
      <c r="B175" s="849" t="s">
        <v>1533</v>
      </c>
      <c r="C175" s="874" t="s">
        <v>608</v>
      </c>
      <c r="D175" s="851" t="s">
        <v>879</v>
      </c>
      <c r="E175" s="852"/>
      <c r="F175" s="853"/>
      <c r="G175" s="853"/>
      <c r="H175" s="853"/>
      <c r="I175" s="853"/>
      <c r="J175" s="853"/>
    </row>
    <row r="176" spans="1:10" s="854" customFormat="1" ht="35.1" customHeight="1">
      <c r="A176" s="855"/>
      <c r="B176" s="849" t="s">
        <v>1534</v>
      </c>
      <c r="C176" s="874" t="s">
        <v>609</v>
      </c>
      <c r="D176" s="851" t="s">
        <v>879</v>
      </c>
      <c r="E176" s="852"/>
      <c r="F176" s="853"/>
      <c r="G176" s="853"/>
      <c r="H176" s="853"/>
      <c r="I176" s="853"/>
      <c r="J176" s="853"/>
    </row>
    <row r="177" spans="1:10" s="854" customFormat="1" ht="35.1" customHeight="1">
      <c r="A177" s="855"/>
      <c r="B177" s="849" t="s">
        <v>1535</v>
      </c>
      <c r="C177" s="874" t="s">
        <v>610</v>
      </c>
      <c r="D177" s="851" t="s">
        <v>879</v>
      </c>
      <c r="E177" s="852"/>
      <c r="F177" s="853"/>
      <c r="G177" s="853"/>
      <c r="H177" s="853"/>
      <c r="I177" s="853"/>
      <c r="J177" s="853"/>
    </row>
    <row r="178" spans="1:10" s="854" customFormat="1" ht="35.1" customHeight="1">
      <c r="A178" s="855"/>
      <c r="B178" s="849" t="s">
        <v>1536</v>
      </c>
      <c r="C178" s="874" t="s">
        <v>611</v>
      </c>
      <c r="D178" s="851" t="s">
        <v>879</v>
      </c>
      <c r="E178" s="852"/>
      <c r="F178" s="853"/>
      <c r="G178" s="853"/>
      <c r="H178" s="853"/>
      <c r="I178" s="853"/>
      <c r="J178" s="853"/>
    </row>
    <row r="179" spans="1:10" s="854" customFormat="1" ht="35.1" customHeight="1">
      <c r="A179" s="855"/>
      <c r="B179" s="849" t="s">
        <v>1537</v>
      </c>
      <c r="C179" s="874" t="s">
        <v>612</v>
      </c>
      <c r="D179" s="851" t="s">
        <v>879</v>
      </c>
      <c r="E179" s="852"/>
      <c r="F179" s="853"/>
      <c r="G179" s="853"/>
      <c r="H179" s="853"/>
      <c r="I179" s="853"/>
      <c r="J179" s="853"/>
    </row>
    <row r="180" spans="1:10" s="854" customFormat="1" ht="35.1" customHeight="1">
      <c r="A180" s="855"/>
      <c r="B180" s="849" t="s">
        <v>1538</v>
      </c>
      <c r="C180" s="874" t="s">
        <v>613</v>
      </c>
      <c r="D180" s="851" t="s">
        <v>879</v>
      </c>
      <c r="E180" s="852"/>
      <c r="F180" s="853"/>
      <c r="G180" s="853"/>
      <c r="H180" s="853"/>
      <c r="I180" s="853"/>
      <c r="J180" s="853"/>
    </row>
    <row r="181" spans="1:10" s="854" customFormat="1" ht="35.1" customHeight="1">
      <c r="A181" s="855"/>
      <c r="B181" s="849" t="s">
        <v>1539</v>
      </c>
      <c r="C181" s="874" t="s">
        <v>614</v>
      </c>
      <c r="D181" s="851" t="s">
        <v>879</v>
      </c>
      <c r="E181" s="852"/>
      <c r="F181" s="853"/>
      <c r="G181" s="853"/>
      <c r="H181" s="853"/>
      <c r="I181" s="853"/>
      <c r="J181" s="853"/>
    </row>
    <row r="182" spans="1:10" s="854" customFormat="1" ht="35.1" customHeight="1">
      <c r="A182" s="855"/>
      <c r="B182" s="849" t="s">
        <v>1540</v>
      </c>
      <c r="C182" s="874" t="s">
        <v>615</v>
      </c>
      <c r="D182" s="851" t="s">
        <v>879</v>
      </c>
      <c r="E182" s="852"/>
      <c r="F182" s="853"/>
      <c r="G182" s="853"/>
      <c r="H182" s="853"/>
      <c r="I182" s="853"/>
      <c r="J182" s="853"/>
    </row>
    <row r="183" spans="1:10" s="854" customFormat="1" ht="35.1" customHeight="1">
      <c r="A183" s="855"/>
      <c r="B183" s="849" t="s">
        <v>1541</v>
      </c>
      <c r="C183" s="874" t="s">
        <v>616</v>
      </c>
      <c r="D183" s="851" t="s">
        <v>879</v>
      </c>
      <c r="E183" s="852"/>
      <c r="F183" s="853"/>
      <c r="G183" s="853"/>
      <c r="H183" s="853"/>
      <c r="I183" s="853"/>
      <c r="J183" s="853"/>
    </row>
    <row r="184" spans="1:10" s="854" customFormat="1" ht="35.1" customHeight="1">
      <c r="A184" s="855"/>
      <c r="B184" s="849" t="s">
        <v>1542</v>
      </c>
      <c r="C184" s="874" t="s">
        <v>617</v>
      </c>
      <c r="D184" s="851" t="s">
        <v>879</v>
      </c>
      <c r="E184" s="852"/>
      <c r="F184" s="853"/>
      <c r="G184" s="853"/>
      <c r="H184" s="853"/>
      <c r="I184" s="853"/>
      <c r="J184" s="853"/>
    </row>
    <row r="185" spans="1:10" s="854" customFormat="1" ht="35.1" customHeight="1">
      <c r="A185" s="855"/>
      <c r="B185" s="849" t="s">
        <v>1543</v>
      </c>
      <c r="C185" s="874" t="s">
        <v>618</v>
      </c>
      <c r="D185" s="851" t="s">
        <v>879</v>
      </c>
      <c r="E185" s="852"/>
      <c r="F185" s="853"/>
      <c r="G185" s="853"/>
      <c r="H185" s="853"/>
      <c r="I185" s="853"/>
      <c r="J185" s="853"/>
    </row>
    <row r="186" spans="1:10" s="854" customFormat="1" ht="35.1" customHeight="1">
      <c r="A186" s="855"/>
      <c r="B186" s="849" t="s">
        <v>1544</v>
      </c>
      <c r="C186" s="874" t="s">
        <v>619</v>
      </c>
      <c r="D186" s="851" t="s">
        <v>879</v>
      </c>
      <c r="E186" s="852"/>
      <c r="F186" s="853"/>
      <c r="G186" s="853"/>
      <c r="H186" s="853"/>
      <c r="I186" s="853"/>
      <c r="J186" s="853"/>
    </row>
    <row r="187" spans="1:10" s="854" customFormat="1" ht="35.1" customHeight="1">
      <c r="A187" s="855"/>
      <c r="B187" s="849" t="s">
        <v>1545</v>
      </c>
      <c r="C187" s="874" t="s">
        <v>620</v>
      </c>
      <c r="D187" s="851" t="s">
        <v>879</v>
      </c>
      <c r="E187" s="852"/>
      <c r="F187" s="853"/>
      <c r="G187" s="853"/>
      <c r="H187" s="853"/>
      <c r="I187" s="853"/>
      <c r="J187" s="853"/>
    </row>
    <row r="188" spans="1:10" s="854" customFormat="1" ht="35.1" customHeight="1">
      <c r="A188" s="855"/>
      <c r="B188" s="849" t="s">
        <v>1546</v>
      </c>
      <c r="C188" s="874" t="s">
        <v>1304</v>
      </c>
      <c r="D188" s="851" t="s">
        <v>879</v>
      </c>
      <c r="E188" s="852"/>
      <c r="F188" s="853"/>
      <c r="G188" s="853"/>
      <c r="H188" s="853"/>
      <c r="I188" s="853"/>
      <c r="J188" s="853"/>
    </row>
    <row r="189" spans="1:10" s="854" customFormat="1" ht="35.1" customHeight="1">
      <c r="A189" s="855"/>
      <c r="B189" s="849" t="s">
        <v>1547</v>
      </c>
      <c r="C189" s="874" t="s">
        <v>1305</v>
      </c>
      <c r="D189" s="851" t="s">
        <v>879</v>
      </c>
      <c r="E189" s="852"/>
      <c r="F189" s="853"/>
      <c r="G189" s="853"/>
      <c r="H189" s="853"/>
      <c r="I189" s="853"/>
      <c r="J189" s="853"/>
    </row>
    <row r="190" spans="1:10" s="854" customFormat="1" ht="35.1" customHeight="1">
      <c r="A190" s="855"/>
      <c r="B190" s="849" t="s">
        <v>1548</v>
      </c>
      <c r="C190" s="874" t="s">
        <v>1306</v>
      </c>
      <c r="D190" s="851" t="s">
        <v>879</v>
      </c>
      <c r="E190" s="852"/>
      <c r="F190" s="853"/>
      <c r="G190" s="853"/>
      <c r="H190" s="853"/>
      <c r="I190" s="853"/>
      <c r="J190" s="853"/>
    </row>
    <row r="191" spans="1:10" s="854" customFormat="1" ht="35.1" customHeight="1">
      <c r="A191" s="855"/>
      <c r="B191" s="849" t="s">
        <v>1549</v>
      </c>
      <c r="C191" s="874" t="s">
        <v>623</v>
      </c>
      <c r="D191" s="851" t="s">
        <v>879</v>
      </c>
      <c r="E191" s="852"/>
      <c r="F191" s="853"/>
      <c r="G191" s="853"/>
      <c r="H191" s="853"/>
      <c r="I191" s="853"/>
      <c r="J191" s="853"/>
    </row>
    <row r="192" spans="1:10" s="854" customFormat="1" ht="35.1" customHeight="1">
      <c r="A192" s="855"/>
      <c r="B192" s="849" t="s">
        <v>1550</v>
      </c>
      <c r="C192" s="893" t="s">
        <v>1307</v>
      </c>
      <c r="D192" s="851" t="s">
        <v>879</v>
      </c>
      <c r="E192" s="852"/>
      <c r="F192" s="853"/>
      <c r="G192" s="853"/>
      <c r="H192" s="853"/>
      <c r="I192" s="853"/>
      <c r="J192" s="853"/>
    </row>
    <row r="193" spans="1:10" s="854" customFormat="1" ht="35.1" customHeight="1">
      <c r="A193" s="855"/>
      <c r="B193" s="849" t="s">
        <v>1551</v>
      </c>
      <c r="C193" s="893" t="s">
        <v>1308</v>
      </c>
      <c r="D193" s="851" t="s">
        <v>879</v>
      </c>
      <c r="E193" s="852"/>
      <c r="F193" s="853"/>
      <c r="G193" s="853"/>
      <c r="H193" s="853"/>
      <c r="I193" s="853"/>
      <c r="J193" s="853"/>
    </row>
    <row r="194" spans="1:10" s="854" customFormat="1" ht="35.1" customHeight="1">
      <c r="A194" s="855"/>
      <c r="B194" s="849" t="s">
        <v>1552</v>
      </c>
      <c r="C194" s="874" t="s">
        <v>310</v>
      </c>
      <c r="D194" s="859" t="s">
        <v>907</v>
      </c>
      <c r="E194" s="852"/>
      <c r="F194" s="853"/>
      <c r="G194" s="853"/>
      <c r="H194" s="853"/>
      <c r="I194" s="853"/>
      <c r="J194" s="853"/>
    </row>
    <row r="195" spans="1:10" s="865" customFormat="1" ht="35.1" customHeight="1">
      <c r="A195" s="875"/>
      <c r="B195" s="876" t="s">
        <v>462</v>
      </c>
      <c r="C195" s="877" t="s">
        <v>478</v>
      </c>
      <c r="D195" s="878"/>
      <c r="E195" s="863"/>
      <c r="F195" s="864"/>
      <c r="G195" s="864"/>
      <c r="H195" s="864"/>
      <c r="I195" s="864"/>
      <c r="J195" s="864"/>
    </row>
    <row r="196" spans="1:10" s="854" customFormat="1" ht="35.1" customHeight="1">
      <c r="A196" s="894"/>
      <c r="B196" s="849" t="s">
        <v>1553</v>
      </c>
      <c r="C196" s="874" t="s">
        <v>1309</v>
      </c>
      <c r="D196" s="851" t="s">
        <v>879</v>
      </c>
      <c r="E196" s="852"/>
      <c r="F196" s="853"/>
      <c r="G196" s="853"/>
      <c r="H196" s="853"/>
      <c r="I196" s="853"/>
      <c r="J196" s="853"/>
    </row>
    <row r="197" spans="1:10" s="854" customFormat="1" ht="35.1" customHeight="1">
      <c r="A197" s="895"/>
      <c r="B197" s="849" t="s">
        <v>1554</v>
      </c>
      <c r="C197" s="874" t="s">
        <v>1310</v>
      </c>
      <c r="D197" s="851" t="s">
        <v>879</v>
      </c>
      <c r="E197" s="852"/>
      <c r="F197" s="853"/>
      <c r="G197" s="853"/>
      <c r="H197" s="853"/>
      <c r="I197" s="853"/>
      <c r="J197" s="853"/>
    </row>
    <row r="198" spans="1:10" s="854" customFormat="1" ht="35.1" customHeight="1">
      <c r="A198" s="895"/>
      <c r="B198" s="849" t="s">
        <v>1555</v>
      </c>
      <c r="C198" s="874" t="s">
        <v>1311</v>
      </c>
      <c r="D198" s="851" t="s">
        <v>879</v>
      </c>
      <c r="E198" s="852"/>
      <c r="F198" s="853"/>
      <c r="G198" s="853"/>
      <c r="H198" s="853"/>
      <c r="I198" s="853"/>
      <c r="J198" s="853"/>
    </row>
    <row r="199" spans="1:10" s="854" customFormat="1" ht="35.1" customHeight="1">
      <c r="A199" s="895"/>
      <c r="B199" s="849" t="s">
        <v>1556</v>
      </c>
      <c r="C199" s="874" t="s">
        <v>1312</v>
      </c>
      <c r="D199" s="851" t="s">
        <v>879</v>
      </c>
      <c r="E199" s="852"/>
      <c r="F199" s="853"/>
      <c r="G199" s="853"/>
      <c r="H199" s="853"/>
      <c r="I199" s="853"/>
      <c r="J199" s="853"/>
    </row>
    <row r="200" spans="1:10" s="854" customFormat="1" ht="35.1" customHeight="1">
      <c r="A200" s="895"/>
      <c r="B200" s="849" t="s">
        <v>1557</v>
      </c>
      <c r="C200" s="874" t="s">
        <v>1313</v>
      </c>
      <c r="D200" s="851" t="s">
        <v>879</v>
      </c>
      <c r="E200" s="852"/>
      <c r="F200" s="853"/>
      <c r="G200" s="853"/>
      <c r="H200" s="853"/>
      <c r="I200" s="853"/>
      <c r="J200" s="853"/>
    </row>
    <row r="201" spans="1:10" s="854" customFormat="1" ht="35.1" customHeight="1">
      <c r="A201" s="895"/>
      <c r="B201" s="849" t="s">
        <v>1558</v>
      </c>
      <c r="C201" s="874" t="s">
        <v>1314</v>
      </c>
      <c r="D201" s="851" t="s">
        <v>879</v>
      </c>
      <c r="E201" s="852"/>
      <c r="F201" s="853"/>
      <c r="G201" s="853"/>
      <c r="H201" s="853"/>
      <c r="I201" s="853"/>
      <c r="J201" s="853"/>
    </row>
    <row r="202" spans="1:10" s="854" customFormat="1" ht="35.1" customHeight="1">
      <c r="A202" s="895"/>
      <c r="B202" s="849" t="s">
        <v>1559</v>
      </c>
      <c r="C202" s="874" t="s">
        <v>1315</v>
      </c>
      <c r="D202" s="851" t="s">
        <v>879</v>
      </c>
      <c r="E202" s="852"/>
      <c r="F202" s="853"/>
      <c r="G202" s="853"/>
      <c r="H202" s="853"/>
      <c r="I202" s="853"/>
      <c r="J202" s="853"/>
    </row>
    <row r="203" spans="1:10" s="854" customFormat="1" ht="35.1" customHeight="1">
      <c r="A203" s="895"/>
      <c r="B203" s="849" t="s">
        <v>1560</v>
      </c>
      <c r="C203" s="874" t="s">
        <v>1316</v>
      </c>
      <c r="D203" s="851" t="s">
        <v>879</v>
      </c>
      <c r="E203" s="852"/>
      <c r="F203" s="853"/>
      <c r="G203" s="853"/>
      <c r="H203" s="853"/>
      <c r="I203" s="853"/>
      <c r="J203" s="853"/>
    </row>
    <row r="204" spans="1:10" s="854" customFormat="1" ht="35.1" customHeight="1">
      <c r="A204" s="895"/>
      <c r="B204" s="849" t="s">
        <v>1561</v>
      </c>
      <c r="C204" s="874" t="s">
        <v>1317</v>
      </c>
      <c r="D204" s="851" t="s">
        <v>879</v>
      </c>
      <c r="E204" s="852"/>
      <c r="F204" s="853"/>
      <c r="G204" s="853"/>
      <c r="H204" s="853"/>
      <c r="I204" s="853"/>
      <c r="J204" s="853"/>
    </row>
    <row r="205" spans="1:10" s="854" customFormat="1" ht="35.1" customHeight="1">
      <c r="A205" s="895"/>
      <c r="B205" s="849" t="s">
        <v>1562</v>
      </c>
      <c r="C205" s="874" t="s">
        <v>1318</v>
      </c>
      <c r="D205" s="851" t="s">
        <v>879</v>
      </c>
      <c r="E205" s="852"/>
      <c r="F205" s="853"/>
      <c r="G205" s="853"/>
      <c r="H205" s="853"/>
      <c r="I205" s="853"/>
      <c r="J205" s="853"/>
    </row>
    <row r="206" spans="1:10" s="854" customFormat="1" ht="35.1" customHeight="1">
      <c r="A206" s="895"/>
      <c r="B206" s="912" t="s">
        <v>1563</v>
      </c>
      <c r="C206" s="874" t="s">
        <v>1319</v>
      </c>
      <c r="D206" s="851" t="s">
        <v>879</v>
      </c>
      <c r="E206" s="852"/>
      <c r="F206" s="853"/>
      <c r="G206" s="853"/>
      <c r="H206" s="853"/>
      <c r="I206" s="853"/>
      <c r="J206" s="853"/>
    </row>
    <row r="207" spans="1:10" s="854" customFormat="1" ht="35.1" customHeight="1">
      <c r="A207" s="895"/>
      <c r="B207" s="849" t="s">
        <v>1564</v>
      </c>
      <c r="C207" s="874" t="s">
        <v>1320</v>
      </c>
      <c r="D207" s="851" t="s">
        <v>879</v>
      </c>
      <c r="E207" s="852"/>
      <c r="F207" s="853"/>
      <c r="G207" s="853"/>
      <c r="H207" s="853"/>
      <c r="I207" s="853"/>
      <c r="J207" s="853"/>
    </row>
    <row r="208" spans="1:10" s="854" customFormat="1" ht="35.1" customHeight="1">
      <c r="A208" s="895"/>
      <c r="B208" s="849" t="s">
        <v>1565</v>
      </c>
      <c r="C208" s="874" t="s">
        <v>1321</v>
      </c>
      <c r="D208" s="851" t="s">
        <v>879</v>
      </c>
      <c r="E208" s="852"/>
      <c r="F208" s="853"/>
      <c r="G208" s="853"/>
      <c r="H208" s="853"/>
      <c r="I208" s="853"/>
      <c r="J208" s="853"/>
    </row>
    <row r="209" spans="1:10" s="854" customFormat="1" ht="35.1" customHeight="1">
      <c r="A209" s="895"/>
      <c r="B209" s="912" t="s">
        <v>1566</v>
      </c>
      <c r="C209" s="874" t="s">
        <v>1322</v>
      </c>
      <c r="D209" s="851" t="s">
        <v>879</v>
      </c>
      <c r="E209" s="852"/>
      <c r="F209" s="853"/>
      <c r="G209" s="853"/>
      <c r="H209" s="853"/>
      <c r="I209" s="853"/>
      <c r="J209" s="853"/>
    </row>
    <row r="210" spans="1:10" s="854" customFormat="1" ht="35.1" customHeight="1">
      <c r="A210" s="895"/>
      <c r="B210" s="849" t="s">
        <v>1567</v>
      </c>
      <c r="C210" s="874" t="s">
        <v>1323</v>
      </c>
      <c r="D210" s="851" t="s">
        <v>879</v>
      </c>
      <c r="E210" s="852"/>
      <c r="F210" s="853"/>
      <c r="G210" s="853"/>
      <c r="H210" s="853"/>
      <c r="I210" s="853"/>
      <c r="J210" s="853"/>
    </row>
    <row r="211" spans="1:10" s="854" customFormat="1" ht="35.1" customHeight="1">
      <c r="A211" s="895"/>
      <c r="B211" s="849" t="s">
        <v>1568</v>
      </c>
      <c r="C211" s="874" t="s">
        <v>1324</v>
      </c>
      <c r="D211" s="851" t="s">
        <v>879</v>
      </c>
      <c r="E211" s="852"/>
      <c r="F211" s="853"/>
      <c r="G211" s="853"/>
      <c r="H211" s="853"/>
      <c r="I211" s="853"/>
      <c r="J211" s="853"/>
    </row>
    <row r="212" spans="1:10" s="854" customFormat="1" ht="35.1" customHeight="1">
      <c r="A212" s="895"/>
      <c r="B212" s="849" t="s">
        <v>1569</v>
      </c>
      <c r="C212" s="874" t="s">
        <v>1325</v>
      </c>
      <c r="D212" s="851" t="s">
        <v>879</v>
      </c>
      <c r="E212" s="852"/>
      <c r="F212" s="853"/>
      <c r="G212" s="853"/>
      <c r="H212" s="853"/>
      <c r="I212" s="853"/>
      <c r="J212" s="853"/>
    </row>
    <row r="213" spans="1:10" s="854" customFormat="1" ht="35.1" customHeight="1">
      <c r="A213" s="895"/>
      <c r="B213" s="849" t="s">
        <v>1570</v>
      </c>
      <c r="C213" s="874" t="s">
        <v>1326</v>
      </c>
      <c r="D213" s="851" t="s">
        <v>879</v>
      </c>
      <c r="E213" s="852"/>
      <c r="F213" s="853"/>
      <c r="G213" s="853"/>
      <c r="H213" s="853"/>
      <c r="I213" s="853"/>
      <c r="J213" s="853"/>
    </row>
    <row r="214" spans="1:10" s="854" customFormat="1" ht="35.1" customHeight="1">
      <c r="A214" s="895"/>
      <c r="B214" s="849" t="s">
        <v>1571</v>
      </c>
      <c r="C214" s="874" t="s">
        <v>1327</v>
      </c>
      <c r="D214" s="851" t="s">
        <v>879</v>
      </c>
      <c r="E214" s="852"/>
      <c r="F214" s="853"/>
      <c r="G214" s="853"/>
      <c r="H214" s="853"/>
      <c r="I214" s="853"/>
      <c r="J214" s="853"/>
    </row>
    <row r="215" spans="1:10" s="854" customFormat="1" ht="35.1" customHeight="1">
      <c r="A215" s="895"/>
      <c r="B215" s="849" t="s">
        <v>1572</v>
      </c>
      <c r="C215" s="874" t="s">
        <v>1328</v>
      </c>
      <c r="D215" s="851" t="s">
        <v>879</v>
      </c>
      <c r="E215" s="852"/>
      <c r="F215" s="853"/>
      <c r="G215" s="853"/>
      <c r="H215" s="853"/>
      <c r="I215" s="853"/>
      <c r="J215" s="853"/>
    </row>
    <row r="216" spans="1:10" s="854" customFormat="1" ht="35.1" customHeight="1">
      <c r="A216" s="895"/>
      <c r="B216" s="849" t="s">
        <v>1573</v>
      </c>
      <c r="C216" s="874" t="s">
        <v>1329</v>
      </c>
      <c r="D216" s="851" t="s">
        <v>879</v>
      </c>
      <c r="E216" s="852"/>
      <c r="F216" s="853"/>
      <c r="G216" s="853"/>
      <c r="H216" s="853"/>
      <c r="I216" s="853"/>
      <c r="J216" s="853"/>
    </row>
    <row r="217" spans="1:10" s="854" customFormat="1" ht="35.1" customHeight="1">
      <c r="A217" s="895"/>
      <c r="B217" s="849" t="s">
        <v>1574</v>
      </c>
      <c r="C217" s="874" t="s">
        <v>1330</v>
      </c>
      <c r="D217" s="851" t="s">
        <v>879</v>
      </c>
      <c r="E217" s="852"/>
      <c r="F217" s="853"/>
      <c r="G217" s="853"/>
      <c r="H217" s="853"/>
      <c r="I217" s="853"/>
      <c r="J217" s="853"/>
    </row>
    <row r="218" spans="1:10" s="854" customFormat="1" ht="35.1" customHeight="1">
      <c r="A218" s="895"/>
      <c r="B218" s="849" t="s">
        <v>1575</v>
      </c>
      <c r="C218" s="874" t="s">
        <v>1331</v>
      </c>
      <c r="D218" s="851" t="s">
        <v>879</v>
      </c>
      <c r="E218" s="852"/>
      <c r="F218" s="853"/>
      <c r="G218" s="853"/>
      <c r="H218" s="853"/>
      <c r="I218" s="853"/>
      <c r="J218" s="853"/>
    </row>
    <row r="219" spans="1:10" s="854" customFormat="1" ht="35.1" customHeight="1">
      <c r="A219" s="895"/>
      <c r="B219" s="849" t="s">
        <v>1576</v>
      </c>
      <c r="C219" s="874" t="s">
        <v>1332</v>
      </c>
      <c r="D219" s="851" t="s">
        <v>879</v>
      </c>
      <c r="E219" s="852"/>
      <c r="F219" s="853"/>
      <c r="G219" s="853"/>
      <c r="H219" s="853"/>
      <c r="I219" s="853"/>
      <c r="J219" s="853"/>
    </row>
    <row r="220" spans="1:10" s="854" customFormat="1" ht="35.1" customHeight="1">
      <c r="A220" s="895"/>
      <c r="B220" s="849" t="s">
        <v>1577</v>
      </c>
      <c r="C220" s="874" t="s">
        <v>1333</v>
      </c>
      <c r="D220" s="851" t="s">
        <v>879</v>
      </c>
      <c r="E220" s="852"/>
      <c r="F220" s="853"/>
      <c r="G220" s="853"/>
      <c r="H220" s="853"/>
      <c r="I220" s="853"/>
      <c r="J220" s="853"/>
    </row>
    <row r="221" spans="1:10" s="854" customFormat="1" ht="35.1" customHeight="1">
      <c r="A221" s="895"/>
      <c r="B221" s="849" t="s">
        <v>1578</v>
      </c>
      <c r="C221" s="874" t="s">
        <v>1334</v>
      </c>
      <c r="D221" s="851" t="s">
        <v>879</v>
      </c>
      <c r="E221" s="852"/>
      <c r="F221" s="853"/>
      <c r="G221" s="853"/>
      <c r="H221" s="853"/>
      <c r="I221" s="853"/>
      <c r="J221" s="853"/>
    </row>
    <row r="222" spans="1:10" s="854" customFormat="1" ht="35.1" customHeight="1">
      <c r="A222" s="895"/>
      <c r="B222" s="849" t="s">
        <v>1579</v>
      </c>
      <c r="C222" s="874" t="s">
        <v>1335</v>
      </c>
      <c r="D222" s="851" t="s">
        <v>879</v>
      </c>
      <c r="E222" s="852"/>
      <c r="F222" s="853"/>
      <c r="G222" s="853"/>
      <c r="H222" s="853"/>
      <c r="I222" s="853"/>
      <c r="J222" s="853"/>
    </row>
    <row r="223" spans="1:10" s="854" customFormat="1" ht="35.1" customHeight="1">
      <c r="A223" s="895"/>
      <c r="B223" s="849" t="s">
        <v>1580</v>
      </c>
      <c r="C223" s="874" t="s">
        <v>1336</v>
      </c>
      <c r="D223" s="851" t="s">
        <v>879</v>
      </c>
      <c r="E223" s="852"/>
      <c r="F223" s="853"/>
      <c r="G223" s="853"/>
      <c r="H223" s="853"/>
      <c r="I223" s="853"/>
      <c r="J223" s="853"/>
    </row>
    <row r="224" spans="1:10" s="854" customFormat="1" ht="35.1" customHeight="1">
      <c r="A224" s="895"/>
      <c r="B224" s="849" t="s">
        <v>1581</v>
      </c>
      <c r="C224" s="874" t="s">
        <v>1337</v>
      </c>
      <c r="D224" s="851" t="s">
        <v>879</v>
      </c>
      <c r="E224" s="852"/>
      <c r="F224" s="853"/>
      <c r="G224" s="853"/>
      <c r="H224" s="853"/>
      <c r="I224" s="853"/>
      <c r="J224" s="853"/>
    </row>
    <row r="225" spans="1:10" s="854" customFormat="1" ht="35.1" customHeight="1">
      <c r="A225" s="895"/>
      <c r="B225" s="849" t="s">
        <v>1582</v>
      </c>
      <c r="C225" s="874" t="s">
        <v>1338</v>
      </c>
      <c r="D225" s="851" t="s">
        <v>879</v>
      </c>
      <c r="E225" s="852"/>
      <c r="F225" s="853"/>
      <c r="G225" s="853"/>
      <c r="H225" s="853"/>
      <c r="I225" s="853"/>
      <c r="J225" s="853"/>
    </row>
    <row r="226" spans="1:10" s="854" customFormat="1" ht="35.1" customHeight="1">
      <c r="A226" s="895"/>
      <c r="B226" s="849" t="s">
        <v>1583</v>
      </c>
      <c r="C226" s="874" t="s">
        <v>1339</v>
      </c>
      <c r="D226" s="851" t="s">
        <v>879</v>
      </c>
      <c r="E226" s="852"/>
      <c r="F226" s="853"/>
      <c r="G226" s="853"/>
      <c r="H226" s="853"/>
      <c r="I226" s="853"/>
      <c r="J226" s="853"/>
    </row>
    <row r="227" spans="1:10" s="854" customFormat="1" ht="35.1" customHeight="1">
      <c r="A227" s="895"/>
      <c r="B227" s="849" t="s">
        <v>1584</v>
      </c>
      <c r="C227" s="874" t="s">
        <v>1340</v>
      </c>
      <c r="D227" s="851" t="s">
        <v>879</v>
      </c>
      <c r="E227" s="852"/>
      <c r="F227" s="853"/>
      <c r="G227" s="853"/>
      <c r="H227" s="853"/>
      <c r="I227" s="853"/>
      <c r="J227" s="853"/>
    </row>
    <row r="228" spans="1:10" s="854" customFormat="1" ht="35.1" customHeight="1">
      <c r="A228" s="895"/>
      <c r="B228" s="849" t="s">
        <v>1585</v>
      </c>
      <c r="C228" s="874" t="s">
        <v>1341</v>
      </c>
      <c r="D228" s="851" t="s">
        <v>879</v>
      </c>
      <c r="E228" s="852"/>
      <c r="F228" s="853"/>
      <c r="G228" s="853"/>
      <c r="H228" s="853"/>
      <c r="I228" s="853"/>
      <c r="J228" s="853"/>
    </row>
    <row r="229" spans="1:10" s="854" customFormat="1" ht="35.1" customHeight="1">
      <c r="A229" s="895"/>
      <c r="B229" s="849" t="s">
        <v>1586</v>
      </c>
      <c r="C229" s="874" t="s">
        <v>1342</v>
      </c>
      <c r="D229" s="851" t="s">
        <v>879</v>
      </c>
      <c r="E229" s="852"/>
      <c r="F229" s="853"/>
      <c r="G229" s="853"/>
      <c r="H229" s="853"/>
      <c r="I229" s="853"/>
      <c r="J229" s="853"/>
    </row>
    <row r="230" spans="1:10" s="854" customFormat="1" ht="35.1" customHeight="1">
      <c r="A230" s="895"/>
      <c r="B230" s="849" t="s">
        <v>1587</v>
      </c>
      <c r="C230" s="874" t="s">
        <v>1343</v>
      </c>
      <c r="D230" s="851" t="s">
        <v>879</v>
      </c>
      <c r="E230" s="852"/>
      <c r="F230" s="853"/>
      <c r="G230" s="853"/>
      <c r="H230" s="853"/>
      <c r="I230" s="853"/>
      <c r="J230" s="853"/>
    </row>
    <row r="231" spans="1:10" s="854" customFormat="1" ht="35.1" customHeight="1">
      <c r="A231" s="895"/>
      <c r="B231" s="849" t="s">
        <v>1588</v>
      </c>
      <c r="C231" s="874" t="s">
        <v>1344</v>
      </c>
      <c r="D231" s="851" t="s">
        <v>879</v>
      </c>
      <c r="E231" s="852"/>
      <c r="F231" s="853"/>
      <c r="G231" s="853"/>
      <c r="H231" s="853"/>
      <c r="I231" s="853"/>
      <c r="J231" s="853"/>
    </row>
    <row r="232" spans="1:10" s="854" customFormat="1" ht="35.1" customHeight="1">
      <c r="A232" s="895"/>
      <c r="B232" s="849" t="s">
        <v>1589</v>
      </c>
      <c r="C232" s="858" t="s">
        <v>897</v>
      </c>
      <c r="D232" s="851" t="s">
        <v>879</v>
      </c>
      <c r="E232" s="852"/>
      <c r="F232" s="853"/>
      <c r="G232" s="853"/>
      <c r="H232" s="853"/>
      <c r="I232" s="853"/>
      <c r="J232" s="853"/>
    </row>
    <row r="233" spans="1:10" s="854" customFormat="1" ht="35.1" customHeight="1">
      <c r="A233" s="895"/>
      <c r="B233" s="849" t="s">
        <v>1590</v>
      </c>
      <c r="C233" s="874" t="s">
        <v>1345</v>
      </c>
      <c r="D233" s="851" t="s">
        <v>879</v>
      </c>
      <c r="E233" s="852"/>
      <c r="F233" s="853"/>
      <c r="G233" s="853"/>
      <c r="H233" s="853"/>
      <c r="I233" s="853"/>
      <c r="J233" s="853"/>
    </row>
    <row r="234" spans="1:10" s="854" customFormat="1" ht="35.1" customHeight="1">
      <c r="A234" s="895"/>
      <c r="B234" s="849" t="s">
        <v>1591</v>
      </c>
      <c r="C234" s="874" t="s">
        <v>1346</v>
      </c>
      <c r="D234" s="851" t="s">
        <v>879</v>
      </c>
      <c r="E234" s="852"/>
      <c r="F234" s="853"/>
      <c r="G234" s="853"/>
      <c r="H234" s="853"/>
      <c r="I234" s="853"/>
      <c r="J234" s="853"/>
    </row>
    <row r="235" spans="1:10" s="854" customFormat="1" ht="35.1" customHeight="1">
      <c r="A235" s="895"/>
      <c r="B235" s="849" t="s">
        <v>1592</v>
      </c>
      <c r="C235" s="874" t="s">
        <v>1347</v>
      </c>
      <c r="D235" s="851" t="s">
        <v>879</v>
      </c>
      <c r="E235" s="852"/>
      <c r="F235" s="853"/>
      <c r="G235" s="853"/>
      <c r="H235" s="853"/>
      <c r="I235" s="853"/>
      <c r="J235" s="853"/>
    </row>
    <row r="236" spans="1:10" s="854" customFormat="1" ht="35.1" customHeight="1">
      <c r="A236" s="895"/>
      <c r="B236" s="849" t="s">
        <v>1593</v>
      </c>
      <c r="C236" s="874" t="s">
        <v>1348</v>
      </c>
      <c r="D236" s="851" t="s">
        <v>879</v>
      </c>
      <c r="E236" s="852"/>
      <c r="F236" s="853"/>
      <c r="G236" s="853"/>
      <c r="H236" s="853"/>
      <c r="I236" s="853"/>
      <c r="J236" s="853"/>
    </row>
    <row r="237" spans="1:10" s="854" customFormat="1" ht="35.1" customHeight="1">
      <c r="A237" s="895"/>
      <c r="B237" s="849" t="s">
        <v>1594</v>
      </c>
      <c r="C237" s="874" t="s">
        <v>1349</v>
      </c>
      <c r="D237" s="851" t="s">
        <v>879</v>
      </c>
      <c r="E237" s="852"/>
      <c r="F237" s="853"/>
      <c r="G237" s="853"/>
      <c r="H237" s="853"/>
      <c r="I237" s="853"/>
      <c r="J237" s="853"/>
    </row>
    <row r="238" spans="1:10" s="854" customFormat="1" ht="35.1" customHeight="1">
      <c r="A238" s="895"/>
      <c r="B238" s="849" t="s">
        <v>1595</v>
      </c>
      <c r="C238" s="874" t="s">
        <v>1350</v>
      </c>
      <c r="D238" s="851" t="s">
        <v>879</v>
      </c>
      <c r="E238" s="852"/>
      <c r="F238" s="853"/>
      <c r="G238" s="853"/>
      <c r="H238" s="853"/>
      <c r="I238" s="853"/>
      <c r="J238" s="853"/>
    </row>
    <row r="239" spans="1:10" s="854" customFormat="1" ht="35.1" customHeight="1">
      <c r="A239" s="895"/>
      <c r="B239" s="849" t="s">
        <v>1596</v>
      </c>
      <c r="C239" s="874" t="s">
        <v>1351</v>
      </c>
      <c r="D239" s="851" t="s">
        <v>879</v>
      </c>
      <c r="E239" s="852"/>
      <c r="F239" s="853"/>
      <c r="G239" s="853"/>
      <c r="H239" s="853"/>
      <c r="I239" s="853"/>
      <c r="J239" s="853"/>
    </row>
    <row r="240" spans="1:10" s="854" customFormat="1" ht="35.1" customHeight="1">
      <c r="A240" s="895"/>
      <c r="B240" s="849" t="s">
        <v>1597</v>
      </c>
      <c r="C240" s="874" t="s">
        <v>1352</v>
      </c>
      <c r="D240" s="851" t="s">
        <v>879</v>
      </c>
      <c r="E240" s="852"/>
      <c r="F240" s="853"/>
      <c r="G240" s="853"/>
      <c r="H240" s="853"/>
      <c r="I240" s="853"/>
      <c r="J240" s="853"/>
    </row>
    <row r="241" spans="1:10" s="854" customFormat="1" ht="35.1" customHeight="1">
      <c r="A241" s="895"/>
      <c r="B241" s="849" t="s">
        <v>1598</v>
      </c>
      <c r="C241" s="874" t="s">
        <v>1353</v>
      </c>
      <c r="D241" s="851" t="s">
        <v>879</v>
      </c>
      <c r="E241" s="852"/>
      <c r="F241" s="853"/>
      <c r="G241" s="853"/>
      <c r="H241" s="853"/>
      <c r="I241" s="853"/>
      <c r="J241" s="853"/>
    </row>
    <row r="242" spans="1:10" s="854" customFormat="1" ht="35.1" customHeight="1">
      <c r="A242" s="895"/>
      <c r="B242" s="849" t="s">
        <v>1599</v>
      </c>
      <c r="C242" s="874" t="s">
        <v>1354</v>
      </c>
      <c r="D242" s="851" t="s">
        <v>879</v>
      </c>
      <c r="E242" s="852"/>
      <c r="F242" s="853"/>
      <c r="G242" s="853"/>
      <c r="H242" s="853"/>
      <c r="I242" s="853"/>
      <c r="J242" s="853"/>
    </row>
    <row r="243" spans="1:10" s="854" customFormat="1" ht="35.1" customHeight="1">
      <c r="A243" s="895"/>
      <c r="B243" s="849" t="s">
        <v>1600</v>
      </c>
      <c r="C243" s="874" t="s">
        <v>1355</v>
      </c>
      <c r="D243" s="851" t="s">
        <v>879</v>
      </c>
      <c r="E243" s="852"/>
      <c r="F243" s="853"/>
      <c r="G243" s="853"/>
      <c r="H243" s="853"/>
      <c r="I243" s="853"/>
      <c r="J243" s="853"/>
    </row>
    <row r="244" spans="1:10" s="854" customFormat="1" ht="35.1" customHeight="1">
      <c r="A244" s="895"/>
      <c r="B244" s="849" t="s">
        <v>1601</v>
      </c>
      <c r="C244" s="874" t="s">
        <v>1356</v>
      </c>
      <c r="D244" s="851" t="s">
        <v>879</v>
      </c>
      <c r="E244" s="852"/>
      <c r="F244" s="853"/>
      <c r="G244" s="853"/>
      <c r="H244" s="853"/>
      <c r="I244" s="853"/>
      <c r="J244" s="853"/>
    </row>
    <row r="245" spans="1:10" s="854" customFormat="1" ht="35.1" customHeight="1">
      <c r="A245" s="895"/>
      <c r="B245" s="849" t="s">
        <v>1602</v>
      </c>
      <c r="C245" s="874" t="s">
        <v>1357</v>
      </c>
      <c r="D245" s="851" t="s">
        <v>879</v>
      </c>
      <c r="E245" s="852"/>
      <c r="F245" s="853"/>
      <c r="G245" s="853"/>
      <c r="H245" s="853"/>
      <c r="I245" s="853"/>
      <c r="J245" s="853"/>
    </row>
    <row r="246" spans="1:10" s="854" customFormat="1" ht="35.1" customHeight="1">
      <c r="A246" s="895"/>
      <c r="B246" s="849" t="s">
        <v>1603</v>
      </c>
      <c r="C246" s="874" t="s">
        <v>1358</v>
      </c>
      <c r="D246" s="851" t="s">
        <v>879</v>
      </c>
      <c r="E246" s="852"/>
      <c r="F246" s="853"/>
      <c r="G246" s="853"/>
      <c r="H246" s="853"/>
      <c r="I246" s="853"/>
      <c r="J246" s="853"/>
    </row>
    <row r="247" spans="1:10" s="854" customFormat="1" ht="35.1" customHeight="1">
      <c r="A247" s="895"/>
      <c r="B247" s="849" t="s">
        <v>1604</v>
      </c>
      <c r="C247" s="874" t="s">
        <v>1359</v>
      </c>
      <c r="D247" s="851" t="s">
        <v>879</v>
      </c>
      <c r="E247" s="852"/>
      <c r="F247" s="853"/>
      <c r="G247" s="853"/>
      <c r="H247" s="853"/>
      <c r="I247" s="853"/>
      <c r="J247" s="853"/>
    </row>
    <row r="248" spans="1:10" s="854" customFormat="1" ht="35.1" customHeight="1">
      <c r="A248" s="895"/>
      <c r="B248" s="849" t="s">
        <v>1605</v>
      </c>
      <c r="C248" s="874" t="s">
        <v>1360</v>
      </c>
      <c r="D248" s="851" t="s">
        <v>879</v>
      </c>
      <c r="E248" s="852"/>
      <c r="F248" s="853"/>
      <c r="G248" s="853"/>
      <c r="H248" s="853"/>
      <c r="I248" s="853"/>
      <c r="J248" s="853"/>
    </row>
    <row r="249" spans="1:10" s="854" customFormat="1" ht="35.1" customHeight="1">
      <c r="A249" s="895"/>
      <c r="B249" s="849" t="s">
        <v>1606</v>
      </c>
      <c r="C249" s="874" t="s">
        <v>1361</v>
      </c>
      <c r="D249" s="851" t="s">
        <v>879</v>
      </c>
      <c r="E249" s="852"/>
      <c r="F249" s="853"/>
      <c r="G249" s="853"/>
      <c r="H249" s="853"/>
      <c r="I249" s="853"/>
      <c r="J249" s="853"/>
    </row>
    <row r="250" spans="1:10" s="854" customFormat="1" ht="35.1" customHeight="1">
      <c r="A250" s="895"/>
      <c r="B250" s="849" t="s">
        <v>1607</v>
      </c>
      <c r="C250" s="874" t="s">
        <v>1362</v>
      </c>
      <c r="D250" s="851" t="s">
        <v>879</v>
      </c>
      <c r="E250" s="852"/>
      <c r="F250" s="853"/>
      <c r="G250" s="853"/>
      <c r="H250" s="853"/>
      <c r="I250" s="853"/>
      <c r="J250" s="853"/>
    </row>
    <row r="251" spans="1:10" s="854" customFormat="1" ht="35.1" customHeight="1">
      <c r="A251" s="895"/>
      <c r="B251" s="849" t="s">
        <v>1608</v>
      </c>
      <c r="C251" s="881" t="s">
        <v>1363</v>
      </c>
      <c r="D251" s="851" t="s">
        <v>879</v>
      </c>
      <c r="E251" s="852"/>
      <c r="F251" s="853"/>
      <c r="G251" s="853"/>
      <c r="H251" s="853"/>
      <c r="I251" s="853"/>
      <c r="J251" s="853"/>
    </row>
    <row r="252" spans="1:10" s="854" customFormat="1" ht="35.1" customHeight="1">
      <c r="A252" s="895"/>
      <c r="B252" s="849" t="s">
        <v>1609</v>
      </c>
      <c r="C252" s="881" t="s">
        <v>1364</v>
      </c>
      <c r="D252" s="851" t="s">
        <v>879</v>
      </c>
      <c r="E252" s="852"/>
      <c r="F252" s="853"/>
      <c r="G252" s="853"/>
      <c r="H252" s="853"/>
      <c r="I252" s="853"/>
      <c r="J252" s="853"/>
    </row>
    <row r="253" spans="1:10" s="854" customFormat="1" ht="35.1" customHeight="1">
      <c r="A253" s="895"/>
      <c r="B253" s="849" t="s">
        <v>1610</v>
      </c>
      <c r="C253" s="881" t="s">
        <v>1365</v>
      </c>
      <c r="D253" s="851" t="s">
        <v>879</v>
      </c>
      <c r="E253" s="852"/>
      <c r="F253" s="853"/>
      <c r="G253" s="853"/>
      <c r="H253" s="853"/>
      <c r="I253" s="853"/>
      <c r="J253" s="853"/>
    </row>
    <row r="254" spans="1:10" s="854" customFormat="1" ht="35.1" customHeight="1">
      <c r="A254" s="895"/>
      <c r="B254" s="849" t="s">
        <v>1611</v>
      </c>
      <c r="C254" s="881" t="s">
        <v>1366</v>
      </c>
      <c r="D254" s="851" t="s">
        <v>879</v>
      </c>
      <c r="E254" s="852"/>
      <c r="F254" s="853"/>
      <c r="G254" s="853"/>
      <c r="H254" s="853"/>
      <c r="I254" s="853"/>
      <c r="J254" s="853"/>
    </row>
    <row r="255" spans="1:10" s="854" customFormat="1" ht="35.1" customHeight="1">
      <c r="A255" s="895"/>
      <c r="B255" s="849" t="s">
        <v>1612</v>
      </c>
      <c r="C255" s="881" t="s">
        <v>1367</v>
      </c>
      <c r="D255" s="851" t="s">
        <v>879</v>
      </c>
      <c r="E255" s="852"/>
      <c r="F255" s="853"/>
      <c r="G255" s="853"/>
      <c r="H255" s="853"/>
      <c r="I255" s="853"/>
      <c r="J255" s="853"/>
    </row>
    <row r="256" spans="1:10" s="854" customFormat="1" ht="35.1" customHeight="1">
      <c r="A256" s="895"/>
      <c r="B256" s="849" t="s">
        <v>1613</v>
      </c>
      <c r="C256" s="881" t="s">
        <v>1368</v>
      </c>
      <c r="D256" s="851" t="s">
        <v>879</v>
      </c>
      <c r="E256" s="852"/>
      <c r="F256" s="853"/>
      <c r="G256" s="853"/>
      <c r="H256" s="853"/>
      <c r="I256" s="853"/>
      <c r="J256" s="853"/>
    </row>
    <row r="257" spans="1:10" s="854" customFormat="1" ht="35.1" customHeight="1">
      <c r="A257" s="895"/>
      <c r="B257" s="849" t="s">
        <v>1614</v>
      </c>
      <c r="C257" s="881" t="s">
        <v>1369</v>
      </c>
      <c r="D257" s="851" t="s">
        <v>879</v>
      </c>
      <c r="E257" s="852"/>
      <c r="F257" s="853"/>
      <c r="G257" s="853"/>
      <c r="H257" s="853"/>
      <c r="I257" s="853"/>
      <c r="J257" s="853"/>
    </row>
    <row r="258" spans="1:10" s="854" customFormat="1" ht="35.1" customHeight="1">
      <c r="A258" s="895"/>
      <c r="B258" s="849" t="s">
        <v>1615</v>
      </c>
      <c r="C258" s="881" t="s">
        <v>1370</v>
      </c>
      <c r="D258" s="851" t="s">
        <v>879</v>
      </c>
      <c r="E258" s="852"/>
      <c r="F258" s="853"/>
      <c r="G258" s="853"/>
      <c r="H258" s="853"/>
      <c r="I258" s="853"/>
      <c r="J258" s="853"/>
    </row>
    <row r="259" spans="1:10" s="854" customFormat="1" ht="35.1" customHeight="1">
      <c r="A259" s="895"/>
      <c r="B259" s="849" t="s">
        <v>1616</v>
      </c>
      <c r="C259" s="858" t="s">
        <v>349</v>
      </c>
      <c r="D259" s="851" t="s">
        <v>907</v>
      </c>
      <c r="E259" s="890"/>
      <c r="F259" s="853"/>
      <c r="G259" s="853"/>
      <c r="H259" s="853"/>
      <c r="I259" s="853"/>
      <c r="J259" s="853"/>
    </row>
    <row r="260" spans="1:10" s="854" customFormat="1" ht="35.1" customHeight="1">
      <c r="A260" s="895"/>
      <c r="B260" s="849" t="s">
        <v>1617</v>
      </c>
      <c r="C260" s="858" t="s">
        <v>894</v>
      </c>
      <c r="D260" s="851" t="s">
        <v>907</v>
      </c>
      <c r="E260" s="890"/>
      <c r="F260" s="853"/>
      <c r="G260" s="853"/>
      <c r="H260" s="853"/>
      <c r="I260" s="853"/>
      <c r="J260" s="853"/>
    </row>
    <row r="261" spans="1:10" s="854" customFormat="1" ht="35.1" customHeight="1">
      <c r="A261" s="895"/>
      <c r="B261" s="849" t="s">
        <v>1618</v>
      </c>
      <c r="C261" s="858" t="s">
        <v>895</v>
      </c>
      <c r="D261" s="851" t="s">
        <v>907</v>
      </c>
      <c r="E261" s="890"/>
      <c r="F261" s="853"/>
      <c r="G261" s="853"/>
      <c r="H261" s="853"/>
      <c r="I261" s="853"/>
      <c r="J261" s="853"/>
    </row>
    <row r="262" spans="1:10" s="854" customFormat="1" ht="35.1" customHeight="1">
      <c r="A262" s="895"/>
      <c r="B262" s="849" t="s">
        <v>1619</v>
      </c>
      <c r="C262" s="858" t="s">
        <v>896</v>
      </c>
      <c r="D262" s="851" t="s">
        <v>907</v>
      </c>
      <c r="E262" s="890"/>
      <c r="F262" s="853"/>
      <c r="G262" s="853"/>
      <c r="H262" s="853"/>
      <c r="I262" s="853"/>
      <c r="J262" s="853"/>
    </row>
    <row r="263" spans="1:10" s="854" customFormat="1" ht="35.1" customHeight="1">
      <c r="A263" s="895"/>
      <c r="B263" s="849" t="s">
        <v>1620</v>
      </c>
      <c r="C263" s="858" t="s">
        <v>899</v>
      </c>
      <c r="D263" s="851" t="s">
        <v>907</v>
      </c>
      <c r="E263" s="852"/>
      <c r="F263" s="853"/>
      <c r="G263" s="853"/>
      <c r="H263" s="853"/>
      <c r="I263" s="853"/>
      <c r="J263" s="853"/>
    </row>
    <row r="264" spans="1:10" s="854" customFormat="1" ht="35.1" customHeight="1">
      <c r="A264" s="895"/>
      <c r="B264" s="849" t="s">
        <v>1621</v>
      </c>
      <c r="C264" s="858" t="s">
        <v>898</v>
      </c>
      <c r="D264" s="851" t="s">
        <v>907</v>
      </c>
      <c r="E264" s="852"/>
      <c r="F264" s="853"/>
      <c r="G264" s="853"/>
      <c r="H264" s="853"/>
      <c r="I264" s="853"/>
      <c r="J264" s="853"/>
    </row>
    <row r="265" spans="1:10" s="854" customFormat="1" ht="35.1" customHeight="1">
      <c r="A265" s="895"/>
      <c r="B265" s="849" t="s">
        <v>1622</v>
      </c>
      <c r="C265" s="858" t="s">
        <v>900</v>
      </c>
      <c r="D265" s="851" t="s">
        <v>907</v>
      </c>
      <c r="E265" s="852"/>
      <c r="F265" s="853"/>
      <c r="G265" s="853"/>
      <c r="H265" s="853"/>
      <c r="I265" s="853"/>
      <c r="J265" s="853"/>
    </row>
    <row r="266" spans="1:10" s="854" customFormat="1" ht="35.1" customHeight="1">
      <c r="A266" s="895"/>
      <c r="B266" s="849" t="s">
        <v>1623</v>
      </c>
      <c r="C266" s="858" t="s">
        <v>901</v>
      </c>
      <c r="D266" s="851" t="s">
        <v>907</v>
      </c>
      <c r="E266" s="852"/>
      <c r="F266" s="853"/>
      <c r="G266" s="853"/>
      <c r="H266" s="853"/>
      <c r="I266" s="853"/>
      <c r="J266" s="853"/>
    </row>
    <row r="267" spans="1:10" s="854" customFormat="1" ht="35.1" customHeight="1">
      <c r="A267" s="895"/>
      <c r="B267" s="849" t="s">
        <v>1624</v>
      </c>
      <c r="C267" s="874" t="s">
        <v>1278</v>
      </c>
      <c r="D267" s="851" t="s">
        <v>907</v>
      </c>
      <c r="E267" s="852"/>
      <c r="F267" s="853"/>
      <c r="G267" s="853"/>
      <c r="H267" s="853"/>
      <c r="I267" s="853"/>
      <c r="J267" s="853"/>
    </row>
    <row r="268" spans="1:10" s="854" customFormat="1" ht="35.1" customHeight="1">
      <c r="A268" s="895"/>
      <c r="B268" s="849" t="s">
        <v>1625</v>
      </c>
      <c r="C268" s="858" t="s">
        <v>902</v>
      </c>
      <c r="D268" s="851" t="s">
        <v>907</v>
      </c>
      <c r="E268" s="852"/>
      <c r="F268" s="853"/>
      <c r="G268" s="853"/>
      <c r="H268" s="853"/>
      <c r="I268" s="853"/>
      <c r="J268" s="853"/>
    </row>
    <row r="269" spans="1:10" s="854" customFormat="1" ht="35.1" customHeight="1">
      <c r="A269" s="895"/>
      <c r="B269" s="849" t="s">
        <v>1626</v>
      </c>
      <c r="C269" s="858" t="s">
        <v>903</v>
      </c>
      <c r="D269" s="851" t="s">
        <v>907</v>
      </c>
      <c r="E269" s="852"/>
      <c r="F269" s="853"/>
      <c r="G269" s="853"/>
      <c r="H269" s="853"/>
      <c r="I269" s="853"/>
      <c r="J269" s="853"/>
    </row>
    <row r="270" spans="1:10" s="854" customFormat="1" ht="35.1" customHeight="1">
      <c r="A270" s="895"/>
      <c r="B270" s="849" t="s">
        <v>1627</v>
      </c>
      <c r="C270" s="858" t="s">
        <v>1650</v>
      </c>
      <c r="D270" s="851" t="s">
        <v>1282</v>
      </c>
      <c r="E270" s="852"/>
      <c r="F270" s="853"/>
      <c r="G270" s="853"/>
      <c r="H270" s="853"/>
      <c r="I270" s="853"/>
      <c r="J270" s="853"/>
    </row>
    <row r="271" spans="1:10" s="854" customFormat="1" ht="35.1" customHeight="1">
      <c r="A271" s="875"/>
      <c r="B271" s="869" t="s">
        <v>1628</v>
      </c>
      <c r="C271" s="896" t="s">
        <v>420</v>
      </c>
      <c r="D271" s="897"/>
      <c r="E271" s="852"/>
      <c r="F271" s="853"/>
      <c r="G271" s="853"/>
      <c r="H271" s="853"/>
      <c r="I271" s="853"/>
      <c r="J271" s="853"/>
    </row>
    <row r="272" spans="1:10" s="854" customFormat="1" ht="35.1" customHeight="1">
      <c r="A272" s="875"/>
      <c r="B272" s="849" t="s">
        <v>1629</v>
      </c>
      <c r="C272" s="881" t="s">
        <v>1371</v>
      </c>
      <c r="D272" s="898" t="s">
        <v>879</v>
      </c>
      <c r="E272" s="852"/>
      <c r="F272" s="853"/>
      <c r="G272" s="853"/>
      <c r="H272" s="853"/>
      <c r="I272" s="853"/>
      <c r="J272" s="853"/>
    </row>
    <row r="273" spans="1:10" s="854" customFormat="1" ht="35.1" customHeight="1">
      <c r="A273" s="875"/>
      <c r="B273" s="849" t="s">
        <v>1630</v>
      </c>
      <c r="C273" s="881" t="s">
        <v>1372</v>
      </c>
      <c r="D273" s="898" t="s">
        <v>879</v>
      </c>
      <c r="E273" s="852"/>
      <c r="F273" s="853"/>
      <c r="G273" s="853"/>
      <c r="H273" s="853"/>
      <c r="I273" s="853"/>
      <c r="J273" s="853"/>
    </row>
    <row r="274" spans="1:10" s="854" customFormat="1" ht="35.1" customHeight="1">
      <c r="A274" s="875"/>
      <c r="B274" s="849" t="s">
        <v>1631</v>
      </c>
      <c r="C274" s="881" t="s">
        <v>1373</v>
      </c>
      <c r="D274" s="898" t="s">
        <v>879</v>
      </c>
      <c r="E274" s="899"/>
      <c r="F274" s="853"/>
      <c r="G274" s="853"/>
      <c r="H274" s="853"/>
      <c r="I274" s="853"/>
      <c r="J274" s="853"/>
    </row>
    <row r="275" spans="1:10" s="854" customFormat="1" ht="35.1" customHeight="1">
      <c r="A275" s="875"/>
      <c r="B275" s="849" t="s">
        <v>1632</v>
      </c>
      <c r="C275" s="881" t="s">
        <v>1374</v>
      </c>
      <c r="D275" s="898" t="s">
        <v>879</v>
      </c>
      <c r="E275" s="852"/>
      <c r="F275" s="853"/>
      <c r="G275" s="853"/>
      <c r="H275" s="853"/>
      <c r="I275" s="853"/>
      <c r="J275" s="853"/>
    </row>
    <row r="276" spans="1:10" s="854" customFormat="1" ht="35.1" customHeight="1">
      <c r="A276" s="855"/>
      <c r="B276" s="849" t="s">
        <v>1633</v>
      </c>
      <c r="C276" s="858" t="s">
        <v>904</v>
      </c>
      <c r="D276" s="898" t="s">
        <v>907</v>
      </c>
      <c r="E276" s="852"/>
      <c r="F276" s="853"/>
      <c r="G276" s="853"/>
      <c r="H276" s="853"/>
      <c r="I276" s="853"/>
      <c r="J276" s="853"/>
    </row>
    <row r="277" spans="1:10" s="854" customFormat="1" ht="35.1" customHeight="1" thickBot="1">
      <c r="A277" s="855"/>
      <c r="B277" s="900" t="s">
        <v>1634</v>
      </c>
      <c r="C277" s="901" t="s">
        <v>905</v>
      </c>
      <c r="D277" s="898" t="s">
        <v>907</v>
      </c>
      <c r="E277" s="852"/>
      <c r="F277" s="853"/>
      <c r="G277" s="853"/>
      <c r="H277" s="853"/>
      <c r="I277" s="853"/>
      <c r="J277" s="853"/>
    </row>
    <row r="278" spans="1:10" s="834" customFormat="1">
      <c r="A278" s="829"/>
      <c r="B278" s="830"/>
      <c r="C278" s="831"/>
      <c r="D278" s="832"/>
      <c r="E278" s="833"/>
    </row>
    <row r="279" spans="1:10" s="834" customFormat="1">
      <c r="A279" s="829"/>
      <c r="B279" s="830"/>
      <c r="C279" s="831"/>
      <c r="D279" s="832"/>
      <c r="E279" s="833"/>
    </row>
    <row r="280" spans="1:10" s="834" customFormat="1">
      <c r="A280" s="829"/>
      <c r="B280" s="830"/>
      <c r="C280" s="831"/>
      <c r="D280" s="832"/>
      <c r="E280" s="833"/>
    </row>
    <row r="281" spans="1:10" s="834" customFormat="1">
      <c r="A281" s="829"/>
      <c r="B281" s="830"/>
      <c r="C281" s="831"/>
      <c r="D281" s="832"/>
      <c r="E281" s="833"/>
    </row>
    <row r="282" spans="1:10" s="834" customFormat="1">
      <c r="A282" s="829"/>
      <c r="B282" s="830"/>
      <c r="C282" s="831"/>
      <c r="D282" s="832"/>
      <c r="E282" s="833"/>
    </row>
    <row r="283" spans="1:10" s="834" customFormat="1">
      <c r="A283" s="829"/>
      <c r="B283" s="830"/>
      <c r="C283" s="831"/>
      <c r="D283" s="832"/>
      <c r="E283" s="833"/>
    </row>
    <row r="284" spans="1:10" s="834" customFormat="1">
      <c r="A284" s="829"/>
      <c r="B284" s="830"/>
      <c r="C284" s="831"/>
      <c r="D284" s="832"/>
      <c r="E284" s="833"/>
    </row>
    <row r="285" spans="1:10" s="834" customFormat="1">
      <c r="A285" s="829"/>
      <c r="B285" s="830"/>
      <c r="C285" s="831"/>
      <c r="D285" s="832"/>
      <c r="E285" s="833"/>
    </row>
    <row r="286" spans="1:10" s="834" customFormat="1">
      <c r="A286" s="829"/>
      <c r="B286" s="830"/>
      <c r="C286" s="831"/>
      <c r="D286" s="832"/>
      <c r="E286" s="833"/>
    </row>
    <row r="287" spans="1:10" s="834" customFormat="1">
      <c r="A287" s="829"/>
      <c r="B287" s="830"/>
      <c r="C287" s="831"/>
      <c r="D287" s="832"/>
      <c r="E287" s="833"/>
    </row>
    <row r="288" spans="1:10" s="834" customFormat="1">
      <c r="A288" s="829"/>
      <c r="B288" s="830"/>
      <c r="C288" s="831"/>
      <c r="D288" s="832"/>
      <c r="E288" s="833"/>
    </row>
    <row r="289" spans="1:5" s="834" customFormat="1">
      <c r="A289" s="829"/>
      <c r="B289" s="830"/>
      <c r="C289" s="831"/>
      <c r="D289" s="832"/>
      <c r="E289" s="833"/>
    </row>
    <row r="290" spans="1:5" s="834" customFormat="1">
      <c r="A290" s="829"/>
      <c r="B290" s="830"/>
      <c r="C290" s="831"/>
      <c r="D290" s="832"/>
      <c r="E290" s="833"/>
    </row>
    <row r="291" spans="1:5" s="834" customFormat="1">
      <c r="A291" s="829"/>
      <c r="B291" s="830"/>
      <c r="C291" s="831"/>
      <c r="D291" s="832"/>
      <c r="E291" s="833"/>
    </row>
    <row r="292" spans="1:5" s="834" customFormat="1">
      <c r="A292" s="829"/>
      <c r="B292" s="830"/>
      <c r="C292" s="831"/>
      <c r="D292" s="832"/>
      <c r="E292" s="833"/>
    </row>
    <row r="293" spans="1:5" s="834" customFormat="1">
      <c r="A293" s="829"/>
      <c r="B293" s="830"/>
      <c r="C293" s="831"/>
      <c r="D293" s="832"/>
      <c r="E293" s="833"/>
    </row>
    <row r="294" spans="1:5" s="834" customFormat="1">
      <c r="A294" s="829"/>
      <c r="B294" s="830"/>
      <c r="C294" s="831"/>
      <c r="D294" s="832"/>
      <c r="E294" s="833"/>
    </row>
    <row r="295" spans="1:5" s="834" customFormat="1">
      <c r="A295" s="829"/>
      <c r="B295" s="830"/>
      <c r="C295" s="831"/>
      <c r="D295" s="832"/>
      <c r="E295" s="833"/>
    </row>
    <row r="296" spans="1:5" s="834" customFormat="1">
      <c r="A296" s="829"/>
      <c r="B296" s="830"/>
      <c r="C296" s="831"/>
      <c r="D296" s="832"/>
      <c r="E296" s="833"/>
    </row>
    <row r="297" spans="1:5" s="834" customFormat="1">
      <c r="A297" s="829"/>
      <c r="B297" s="830"/>
      <c r="C297" s="831"/>
      <c r="D297" s="832"/>
      <c r="E297" s="833"/>
    </row>
    <row r="298" spans="1:5" s="834" customFormat="1">
      <c r="A298" s="829"/>
      <c r="B298" s="830"/>
      <c r="C298" s="831"/>
      <c r="D298" s="832"/>
      <c r="E298" s="833"/>
    </row>
    <row r="299" spans="1:5" s="834" customFormat="1">
      <c r="A299" s="829"/>
      <c r="B299" s="830"/>
      <c r="C299" s="831"/>
      <c r="D299" s="832"/>
      <c r="E299" s="833"/>
    </row>
    <row r="300" spans="1:5" s="834" customFormat="1">
      <c r="A300" s="829"/>
      <c r="B300" s="830"/>
      <c r="C300" s="831"/>
      <c r="D300" s="832"/>
      <c r="E300" s="833"/>
    </row>
    <row r="301" spans="1:5" s="834" customFormat="1">
      <c r="A301" s="829"/>
      <c r="B301" s="830"/>
      <c r="C301" s="831"/>
      <c r="D301" s="832"/>
      <c r="E301" s="833"/>
    </row>
    <row r="302" spans="1:5" s="834" customFormat="1">
      <c r="A302" s="829"/>
      <c r="B302" s="830"/>
      <c r="C302" s="831"/>
      <c r="D302" s="832"/>
      <c r="E302" s="833"/>
    </row>
    <row r="303" spans="1:5" s="834" customFormat="1">
      <c r="A303" s="829"/>
      <c r="B303" s="830"/>
      <c r="C303" s="831"/>
      <c r="D303" s="832"/>
      <c r="E303" s="833"/>
    </row>
    <row r="304" spans="1:5" s="834" customFormat="1">
      <c r="A304" s="829"/>
      <c r="B304" s="830"/>
      <c r="C304" s="831"/>
      <c r="D304" s="832"/>
      <c r="E304" s="833"/>
    </row>
    <row r="305" spans="1:5" s="834" customFormat="1">
      <c r="A305" s="829"/>
      <c r="B305" s="830"/>
      <c r="C305" s="831"/>
      <c r="D305" s="832"/>
      <c r="E305" s="833"/>
    </row>
    <row r="306" spans="1:5" s="834" customFormat="1">
      <c r="A306" s="829"/>
      <c r="B306" s="830"/>
      <c r="C306" s="831"/>
      <c r="D306" s="832"/>
      <c r="E306" s="833"/>
    </row>
    <row r="307" spans="1:5" s="834" customFormat="1">
      <c r="A307" s="829"/>
      <c r="B307" s="830"/>
      <c r="C307" s="831"/>
      <c r="D307" s="832"/>
      <c r="E307" s="833"/>
    </row>
    <row r="308" spans="1:5" s="834" customFormat="1">
      <c r="A308" s="829"/>
      <c r="B308" s="830"/>
      <c r="C308" s="831"/>
      <c r="D308" s="832"/>
      <c r="E308" s="833"/>
    </row>
    <row r="309" spans="1:5" s="834" customFormat="1">
      <c r="A309" s="829"/>
      <c r="B309" s="830"/>
      <c r="C309" s="831"/>
      <c r="D309" s="832"/>
      <c r="E309" s="833"/>
    </row>
    <row r="310" spans="1:5" s="834" customFormat="1">
      <c r="A310" s="829"/>
      <c r="B310" s="830"/>
      <c r="C310" s="831"/>
      <c r="D310" s="832"/>
      <c r="E310" s="833"/>
    </row>
    <row r="311" spans="1:5" s="834" customFormat="1">
      <c r="A311" s="829"/>
      <c r="B311" s="830"/>
      <c r="C311" s="831"/>
      <c r="D311" s="832"/>
      <c r="E311" s="833"/>
    </row>
    <row r="312" spans="1:5" s="834" customFormat="1">
      <c r="A312" s="829"/>
      <c r="B312" s="830"/>
      <c r="C312" s="831"/>
      <c r="D312" s="832"/>
      <c r="E312" s="833"/>
    </row>
    <row r="313" spans="1:5" s="834" customFormat="1">
      <c r="A313" s="829"/>
      <c r="B313" s="830"/>
      <c r="C313" s="831"/>
      <c r="D313" s="832"/>
      <c r="E313" s="833"/>
    </row>
    <row r="314" spans="1:5" s="834" customFormat="1">
      <c r="A314" s="829"/>
      <c r="B314" s="830"/>
      <c r="C314" s="831"/>
      <c r="D314" s="832"/>
      <c r="E314" s="833"/>
    </row>
    <row r="315" spans="1:5" s="834" customFormat="1">
      <c r="A315" s="829"/>
      <c r="B315" s="830"/>
      <c r="C315" s="831"/>
      <c r="D315" s="832"/>
      <c r="E315" s="833"/>
    </row>
    <row r="316" spans="1:5" s="834" customFormat="1">
      <c r="A316" s="829"/>
      <c r="B316" s="830"/>
      <c r="C316" s="831"/>
      <c r="D316" s="832"/>
      <c r="E316" s="833"/>
    </row>
    <row r="317" spans="1:5" s="834" customFormat="1">
      <c r="A317" s="829"/>
      <c r="B317" s="830"/>
      <c r="C317" s="831"/>
      <c r="D317" s="832"/>
      <c r="E317" s="833"/>
    </row>
    <row r="318" spans="1:5" s="834" customFormat="1">
      <c r="A318" s="829"/>
      <c r="B318" s="830"/>
      <c r="C318" s="831"/>
      <c r="D318" s="832"/>
      <c r="E318" s="833"/>
    </row>
    <row r="319" spans="1:5" s="834" customFormat="1">
      <c r="A319" s="829"/>
      <c r="B319" s="830"/>
      <c r="C319" s="831"/>
      <c r="D319" s="832"/>
      <c r="E319" s="833"/>
    </row>
    <row r="320" spans="1:5" s="834" customFormat="1">
      <c r="A320" s="829"/>
      <c r="B320" s="830"/>
      <c r="C320" s="831"/>
      <c r="D320" s="832"/>
      <c r="E320" s="833"/>
    </row>
    <row r="321" spans="1:5" s="834" customFormat="1">
      <c r="A321" s="829"/>
      <c r="B321" s="830"/>
      <c r="C321" s="831"/>
      <c r="D321" s="832"/>
      <c r="E321" s="833"/>
    </row>
    <row r="322" spans="1:5" s="834" customFormat="1">
      <c r="A322" s="829"/>
      <c r="B322" s="830"/>
      <c r="C322" s="831"/>
      <c r="D322" s="832"/>
      <c r="E322" s="833"/>
    </row>
    <row r="323" spans="1:5" s="834" customFormat="1">
      <c r="A323" s="829"/>
      <c r="B323" s="830"/>
      <c r="C323" s="831"/>
      <c r="D323" s="832"/>
      <c r="E323" s="833"/>
    </row>
    <row r="324" spans="1:5" s="834" customFormat="1">
      <c r="A324" s="829"/>
      <c r="B324" s="830"/>
      <c r="C324" s="831"/>
      <c r="D324" s="832"/>
      <c r="E324" s="833"/>
    </row>
    <row r="325" spans="1:5" s="834" customFormat="1">
      <c r="A325" s="829"/>
      <c r="B325" s="830"/>
      <c r="C325" s="831"/>
      <c r="D325" s="832"/>
      <c r="E325" s="833"/>
    </row>
    <row r="326" spans="1:5" s="834" customFormat="1">
      <c r="A326" s="829"/>
      <c r="B326" s="830"/>
      <c r="C326" s="831"/>
      <c r="D326" s="832"/>
      <c r="E326" s="833"/>
    </row>
    <row r="327" spans="1:5" s="834" customFormat="1">
      <c r="A327" s="829"/>
      <c r="B327" s="830"/>
      <c r="C327" s="831"/>
      <c r="D327" s="832"/>
      <c r="E327" s="833"/>
    </row>
    <row r="328" spans="1:5" s="834" customFormat="1">
      <c r="A328" s="829"/>
      <c r="B328" s="830"/>
      <c r="C328" s="831"/>
      <c r="D328" s="832"/>
      <c r="E328" s="833"/>
    </row>
    <row r="329" spans="1:5" s="834" customFormat="1">
      <c r="A329" s="829"/>
      <c r="B329" s="830"/>
      <c r="C329" s="831"/>
      <c r="D329" s="832"/>
      <c r="E329" s="833"/>
    </row>
    <row r="330" spans="1:5" s="834" customFormat="1">
      <c r="A330" s="829"/>
      <c r="B330" s="830"/>
      <c r="C330" s="831"/>
      <c r="D330" s="832"/>
      <c r="E330" s="833"/>
    </row>
    <row r="331" spans="1:5" s="834" customFormat="1">
      <c r="A331" s="829"/>
      <c r="B331" s="830"/>
      <c r="C331" s="831"/>
      <c r="D331" s="832"/>
      <c r="E331" s="833"/>
    </row>
    <row r="332" spans="1:5" s="834" customFormat="1">
      <c r="A332" s="829"/>
      <c r="B332" s="830"/>
      <c r="C332" s="831"/>
      <c r="D332" s="832"/>
      <c r="E332" s="833"/>
    </row>
    <row r="333" spans="1:5" s="834" customFormat="1">
      <c r="A333" s="829"/>
      <c r="B333" s="830"/>
      <c r="C333" s="831"/>
      <c r="D333" s="832"/>
      <c r="E333" s="833"/>
    </row>
    <row r="334" spans="1:5" s="834" customFormat="1">
      <c r="A334" s="829"/>
      <c r="B334" s="830"/>
      <c r="C334" s="831"/>
      <c r="D334" s="832"/>
      <c r="E334" s="833"/>
    </row>
    <row r="335" spans="1:5" s="834" customFormat="1">
      <c r="A335" s="829"/>
      <c r="B335" s="830"/>
      <c r="C335" s="831"/>
      <c r="D335" s="832"/>
      <c r="E335" s="833"/>
    </row>
    <row r="336" spans="1:5" s="834" customFormat="1">
      <c r="A336" s="829"/>
      <c r="B336" s="830"/>
      <c r="C336" s="831"/>
      <c r="D336" s="832"/>
      <c r="E336" s="833"/>
    </row>
    <row r="337" spans="1:5" s="834" customFormat="1">
      <c r="A337" s="829"/>
      <c r="B337" s="830"/>
      <c r="C337" s="831"/>
      <c r="D337" s="832"/>
      <c r="E337" s="833"/>
    </row>
    <row r="338" spans="1:5" s="834" customFormat="1">
      <c r="A338" s="829"/>
      <c r="B338" s="830"/>
      <c r="C338" s="831"/>
      <c r="D338" s="832"/>
      <c r="E338" s="833"/>
    </row>
    <row r="339" spans="1:5" s="834" customFormat="1">
      <c r="A339" s="829"/>
      <c r="B339" s="830"/>
      <c r="C339" s="831"/>
      <c r="D339" s="832"/>
      <c r="E339" s="833"/>
    </row>
    <row r="340" spans="1:5" s="834" customFormat="1">
      <c r="A340" s="829"/>
      <c r="B340" s="830"/>
      <c r="C340" s="831"/>
      <c r="D340" s="832"/>
      <c r="E340" s="833"/>
    </row>
    <row r="341" spans="1:5" s="834" customFormat="1">
      <c r="A341" s="829"/>
      <c r="B341" s="830"/>
      <c r="C341" s="831"/>
      <c r="D341" s="832"/>
      <c r="E341" s="833"/>
    </row>
    <row r="342" spans="1:5" s="834" customFormat="1">
      <c r="A342" s="829"/>
      <c r="B342" s="830"/>
      <c r="C342" s="831"/>
      <c r="D342" s="832"/>
      <c r="E342" s="833"/>
    </row>
    <row r="343" spans="1:5" s="834" customFormat="1">
      <c r="A343" s="829"/>
      <c r="B343" s="830"/>
      <c r="C343" s="831"/>
      <c r="D343" s="832"/>
      <c r="E343" s="833"/>
    </row>
    <row r="344" spans="1:5" s="834" customFormat="1">
      <c r="A344" s="829"/>
      <c r="B344" s="830"/>
      <c r="C344" s="831"/>
      <c r="D344" s="832"/>
      <c r="E344" s="833"/>
    </row>
    <row r="345" spans="1:5" s="834" customFormat="1">
      <c r="A345" s="829"/>
      <c r="B345" s="830"/>
      <c r="C345" s="831"/>
      <c r="D345" s="832"/>
      <c r="E345" s="833"/>
    </row>
    <row r="346" spans="1:5" s="834" customFormat="1">
      <c r="A346" s="829"/>
      <c r="B346" s="830"/>
      <c r="C346" s="831"/>
      <c r="D346" s="832"/>
      <c r="E346" s="833"/>
    </row>
    <row r="347" spans="1:5" s="834" customFormat="1">
      <c r="A347" s="829"/>
      <c r="B347" s="830"/>
      <c r="C347" s="831"/>
      <c r="D347" s="832"/>
      <c r="E347" s="833"/>
    </row>
    <row r="348" spans="1:5" s="834" customFormat="1">
      <c r="A348" s="829"/>
      <c r="B348" s="830"/>
      <c r="C348" s="831"/>
      <c r="D348" s="832"/>
      <c r="E348" s="833"/>
    </row>
    <row r="349" spans="1:5" s="834" customFormat="1">
      <c r="A349" s="829"/>
      <c r="B349" s="830"/>
      <c r="C349" s="831"/>
      <c r="D349" s="832"/>
      <c r="E349" s="833"/>
    </row>
    <row r="350" spans="1:5" s="834" customFormat="1">
      <c r="A350" s="829"/>
      <c r="B350" s="830"/>
      <c r="C350" s="831"/>
      <c r="D350" s="832"/>
      <c r="E350" s="833"/>
    </row>
    <row r="351" spans="1:5" s="834" customFormat="1">
      <c r="A351" s="829"/>
      <c r="B351" s="830"/>
      <c r="C351" s="831"/>
      <c r="D351" s="832"/>
      <c r="E351" s="833"/>
    </row>
    <row r="352" spans="1:5" s="834" customFormat="1">
      <c r="A352" s="829"/>
      <c r="B352" s="830"/>
      <c r="C352" s="831"/>
      <c r="D352" s="832"/>
      <c r="E352" s="833"/>
    </row>
    <row r="353" spans="1:5" s="834" customFormat="1">
      <c r="A353" s="829"/>
      <c r="B353" s="830"/>
      <c r="C353" s="831"/>
      <c r="D353" s="832"/>
      <c r="E353" s="833"/>
    </row>
    <row r="354" spans="1:5" s="834" customFormat="1">
      <c r="A354" s="829"/>
      <c r="B354" s="830"/>
      <c r="C354" s="831"/>
      <c r="D354" s="832"/>
      <c r="E354" s="833"/>
    </row>
    <row r="355" spans="1:5" s="834" customFormat="1">
      <c r="A355" s="829"/>
      <c r="B355" s="830"/>
      <c r="C355" s="831"/>
      <c r="D355" s="832"/>
      <c r="E355" s="833"/>
    </row>
    <row r="356" spans="1:5" s="834" customFormat="1">
      <c r="A356" s="829"/>
      <c r="B356" s="830"/>
      <c r="C356" s="831"/>
      <c r="D356" s="832"/>
      <c r="E356" s="833"/>
    </row>
    <row r="357" spans="1:5" s="834" customFormat="1">
      <c r="A357" s="829"/>
      <c r="B357" s="830"/>
      <c r="C357" s="831"/>
      <c r="D357" s="832"/>
      <c r="E357" s="833"/>
    </row>
    <row r="358" spans="1:5" s="834" customFormat="1">
      <c r="A358" s="829"/>
      <c r="B358" s="830"/>
      <c r="C358" s="831"/>
      <c r="D358" s="832"/>
      <c r="E358" s="833"/>
    </row>
    <row r="359" spans="1:5" s="834" customFormat="1">
      <c r="A359" s="829"/>
      <c r="B359" s="830"/>
      <c r="C359" s="831"/>
      <c r="D359" s="832"/>
      <c r="E359" s="833"/>
    </row>
    <row r="360" spans="1:5" s="834" customFormat="1">
      <c r="A360" s="829"/>
      <c r="B360" s="830"/>
      <c r="C360" s="831"/>
      <c r="D360" s="832"/>
      <c r="E360" s="833"/>
    </row>
    <row r="361" spans="1:5" s="834" customFormat="1">
      <c r="A361" s="829"/>
      <c r="B361" s="830"/>
      <c r="C361" s="831"/>
      <c r="D361" s="832"/>
      <c r="E361" s="833"/>
    </row>
    <row r="362" spans="1:5" s="834" customFormat="1">
      <c r="A362" s="829"/>
      <c r="B362" s="830"/>
      <c r="C362" s="831"/>
      <c r="D362" s="832"/>
      <c r="E362" s="833"/>
    </row>
    <row r="363" spans="1:5" s="834" customFormat="1">
      <c r="A363" s="829"/>
      <c r="B363" s="830"/>
      <c r="C363" s="831"/>
      <c r="D363" s="832"/>
      <c r="E363" s="833"/>
    </row>
    <row r="364" spans="1:5" s="834" customFormat="1">
      <c r="A364" s="829"/>
      <c r="B364" s="830"/>
      <c r="C364" s="831"/>
      <c r="D364" s="832"/>
      <c r="E364" s="833"/>
    </row>
    <row r="365" spans="1:5" s="834" customFormat="1">
      <c r="A365" s="829"/>
      <c r="B365" s="830"/>
      <c r="C365" s="831"/>
      <c r="D365" s="832"/>
      <c r="E365" s="833"/>
    </row>
    <row r="366" spans="1:5" s="834" customFormat="1">
      <c r="A366" s="829"/>
      <c r="B366" s="830"/>
      <c r="C366" s="831"/>
      <c r="D366" s="832"/>
      <c r="E366" s="833"/>
    </row>
    <row r="367" spans="1:5" s="834" customFormat="1">
      <c r="A367" s="829"/>
      <c r="B367" s="830"/>
      <c r="C367" s="831"/>
      <c r="D367" s="832"/>
      <c r="E367" s="833"/>
    </row>
    <row r="368" spans="1:5" s="834" customFormat="1">
      <c r="A368" s="829"/>
      <c r="B368" s="830"/>
      <c r="C368" s="831"/>
      <c r="D368" s="832"/>
      <c r="E368" s="833"/>
    </row>
    <row r="369" spans="1:5" s="834" customFormat="1">
      <c r="A369" s="829"/>
      <c r="B369" s="830"/>
      <c r="C369" s="831"/>
      <c r="D369" s="832"/>
      <c r="E369" s="833"/>
    </row>
    <row r="370" spans="1:5" s="834" customFormat="1">
      <c r="A370" s="829"/>
      <c r="B370" s="830"/>
      <c r="C370" s="831"/>
      <c r="D370" s="832"/>
      <c r="E370" s="833"/>
    </row>
    <row r="371" spans="1:5" s="834" customFormat="1">
      <c r="A371" s="829"/>
      <c r="B371" s="830"/>
      <c r="C371" s="831"/>
      <c r="D371" s="832"/>
      <c r="E371" s="833"/>
    </row>
    <row r="372" spans="1:5" s="834" customFormat="1">
      <c r="A372" s="829"/>
      <c r="B372" s="830"/>
      <c r="C372" s="831"/>
      <c r="D372" s="832"/>
      <c r="E372" s="833"/>
    </row>
    <row r="373" spans="1:5" s="834" customFormat="1">
      <c r="A373" s="829"/>
      <c r="B373" s="830"/>
      <c r="C373" s="831"/>
      <c r="D373" s="832"/>
      <c r="E373" s="833"/>
    </row>
    <row r="374" spans="1:5" s="834" customFormat="1">
      <c r="A374" s="829"/>
      <c r="B374" s="830"/>
      <c r="C374" s="831"/>
      <c r="D374" s="832"/>
      <c r="E374" s="833"/>
    </row>
    <row r="375" spans="1:5" s="834" customFormat="1">
      <c r="A375" s="829"/>
      <c r="B375" s="830"/>
      <c r="C375" s="831"/>
      <c r="D375" s="832"/>
      <c r="E375" s="833"/>
    </row>
    <row r="376" spans="1:5" s="834" customFormat="1">
      <c r="A376" s="829"/>
      <c r="B376" s="830"/>
      <c r="C376" s="831"/>
      <c r="D376" s="832"/>
      <c r="E376" s="833"/>
    </row>
    <row r="377" spans="1:5" s="834" customFormat="1">
      <c r="A377" s="829"/>
      <c r="B377" s="830"/>
      <c r="C377" s="831"/>
      <c r="D377" s="832"/>
      <c r="E377" s="833"/>
    </row>
    <row r="378" spans="1:5" s="834" customFormat="1">
      <c r="A378" s="829"/>
      <c r="B378" s="830"/>
      <c r="C378" s="831"/>
      <c r="D378" s="832"/>
      <c r="E378" s="833"/>
    </row>
    <row r="379" spans="1:5" s="834" customFormat="1">
      <c r="A379" s="829"/>
      <c r="B379" s="830"/>
      <c r="C379" s="831"/>
      <c r="D379" s="832"/>
      <c r="E379" s="833"/>
    </row>
    <row r="380" spans="1:5" s="834" customFormat="1">
      <c r="A380" s="829"/>
      <c r="B380" s="830"/>
      <c r="C380" s="831"/>
      <c r="D380" s="832"/>
      <c r="E380" s="833"/>
    </row>
    <row r="381" spans="1:5" s="834" customFormat="1">
      <c r="A381" s="829"/>
      <c r="B381" s="830"/>
      <c r="C381" s="831"/>
      <c r="D381" s="832"/>
      <c r="E381" s="833"/>
    </row>
    <row r="382" spans="1:5" s="834" customFormat="1">
      <c r="A382" s="829"/>
      <c r="B382" s="830"/>
      <c r="C382" s="831"/>
      <c r="D382" s="832"/>
      <c r="E382" s="833"/>
    </row>
    <row r="383" spans="1:5" s="834" customFormat="1">
      <c r="A383" s="829"/>
      <c r="B383" s="830"/>
      <c r="C383" s="831"/>
      <c r="D383" s="832"/>
      <c r="E383" s="833"/>
    </row>
    <row r="384" spans="1:5" s="834" customFormat="1">
      <c r="A384" s="829"/>
      <c r="B384" s="830"/>
      <c r="C384" s="831"/>
      <c r="D384" s="832"/>
      <c r="E384" s="833"/>
    </row>
    <row r="385" spans="1:5" s="834" customFormat="1">
      <c r="A385" s="829"/>
      <c r="B385" s="830"/>
      <c r="C385" s="831"/>
      <c r="D385" s="832"/>
      <c r="E385" s="833"/>
    </row>
    <row r="386" spans="1:5" s="834" customFormat="1">
      <c r="A386" s="829"/>
      <c r="B386" s="830"/>
      <c r="C386" s="831"/>
      <c r="D386" s="832"/>
      <c r="E386" s="833"/>
    </row>
    <row r="387" spans="1:5" s="834" customFormat="1">
      <c r="A387" s="829"/>
      <c r="B387" s="830"/>
      <c r="C387" s="831"/>
      <c r="D387" s="832"/>
      <c r="E387" s="833"/>
    </row>
    <row r="388" spans="1:5" s="834" customFormat="1">
      <c r="A388" s="829"/>
      <c r="B388" s="830"/>
      <c r="C388" s="831"/>
      <c r="D388" s="832"/>
      <c r="E388" s="833"/>
    </row>
    <row r="389" spans="1:5" s="834" customFormat="1">
      <c r="A389" s="829"/>
      <c r="B389" s="830"/>
      <c r="C389" s="831"/>
      <c r="D389" s="832"/>
      <c r="E389" s="833"/>
    </row>
    <row r="390" spans="1:5" s="834" customFormat="1">
      <c r="A390" s="829"/>
      <c r="B390" s="830"/>
      <c r="C390" s="831"/>
      <c r="D390" s="832"/>
      <c r="E390" s="833"/>
    </row>
    <row r="391" spans="1:5" s="834" customFormat="1">
      <c r="A391" s="829"/>
      <c r="B391" s="830"/>
      <c r="C391" s="831"/>
      <c r="D391" s="832"/>
      <c r="E391" s="833"/>
    </row>
    <row r="392" spans="1:5" s="834" customFormat="1">
      <c r="A392" s="829"/>
      <c r="B392" s="830"/>
      <c r="C392" s="831"/>
      <c r="D392" s="832"/>
      <c r="E392" s="833"/>
    </row>
    <row r="393" spans="1:5" s="834" customFormat="1">
      <c r="A393" s="829"/>
      <c r="B393" s="830"/>
      <c r="C393" s="831"/>
      <c r="D393" s="832"/>
      <c r="E393" s="833"/>
    </row>
    <row r="394" spans="1:5" s="834" customFormat="1">
      <c r="A394" s="829"/>
      <c r="B394" s="830"/>
      <c r="C394" s="831"/>
      <c r="D394" s="832"/>
      <c r="E394" s="833"/>
    </row>
    <row r="395" spans="1:5" s="834" customFormat="1">
      <c r="A395" s="829"/>
      <c r="B395" s="830"/>
      <c r="C395" s="831"/>
      <c r="D395" s="832"/>
      <c r="E395" s="833"/>
    </row>
    <row r="396" spans="1:5" s="834" customFormat="1">
      <c r="A396" s="829"/>
      <c r="B396" s="830"/>
      <c r="C396" s="831"/>
      <c r="D396" s="832"/>
      <c r="E396" s="833"/>
    </row>
    <row r="397" spans="1:5" s="834" customFormat="1">
      <c r="A397" s="829"/>
      <c r="B397" s="830"/>
      <c r="C397" s="831"/>
      <c r="D397" s="832"/>
      <c r="E397" s="833"/>
    </row>
    <row r="398" spans="1:5" s="834" customFormat="1">
      <c r="A398" s="829"/>
      <c r="B398" s="830"/>
      <c r="C398" s="831"/>
      <c r="D398" s="832"/>
      <c r="E398" s="833"/>
    </row>
    <row r="399" spans="1:5" s="834" customFormat="1">
      <c r="A399" s="829"/>
      <c r="B399" s="830"/>
      <c r="C399" s="831"/>
      <c r="D399" s="832"/>
      <c r="E399" s="833"/>
    </row>
    <row r="400" spans="1:5" s="834" customFormat="1">
      <c r="A400" s="829"/>
      <c r="B400" s="830"/>
      <c r="C400" s="831"/>
      <c r="D400" s="832"/>
      <c r="E400" s="833"/>
    </row>
    <row r="401" spans="1:5" s="834" customFormat="1">
      <c r="A401" s="829"/>
      <c r="B401" s="830"/>
      <c r="C401" s="831"/>
      <c r="D401" s="832"/>
      <c r="E401" s="833"/>
    </row>
    <row r="402" spans="1:5" s="834" customFormat="1">
      <c r="A402" s="829"/>
      <c r="B402" s="830"/>
      <c r="C402" s="831"/>
      <c r="D402" s="832"/>
      <c r="E402" s="833"/>
    </row>
    <row r="403" spans="1:5" s="834" customFormat="1">
      <c r="A403" s="829"/>
      <c r="B403" s="830"/>
      <c r="C403" s="831"/>
      <c r="D403" s="832"/>
      <c r="E403" s="833"/>
    </row>
    <row r="404" spans="1:5" s="834" customFormat="1">
      <c r="A404" s="829"/>
      <c r="B404" s="830"/>
      <c r="C404" s="831"/>
      <c r="D404" s="832"/>
      <c r="E404" s="833"/>
    </row>
    <row r="405" spans="1:5" s="834" customFormat="1">
      <c r="A405" s="829"/>
      <c r="B405" s="830"/>
      <c r="C405" s="831"/>
      <c r="D405" s="832"/>
      <c r="E405" s="833"/>
    </row>
    <row r="406" spans="1:5" s="834" customFormat="1">
      <c r="A406" s="829"/>
      <c r="B406" s="830"/>
      <c r="C406" s="831"/>
      <c r="D406" s="832"/>
      <c r="E406" s="833"/>
    </row>
    <row r="407" spans="1:5" s="834" customFormat="1">
      <c r="A407" s="829"/>
      <c r="B407" s="830"/>
      <c r="C407" s="831"/>
      <c r="D407" s="832"/>
      <c r="E407" s="833"/>
    </row>
    <row r="408" spans="1:5" s="834" customFormat="1">
      <c r="A408" s="829"/>
      <c r="B408" s="830"/>
      <c r="C408" s="831"/>
      <c r="D408" s="832"/>
      <c r="E408" s="833"/>
    </row>
    <row r="409" spans="1:5" s="834" customFormat="1">
      <c r="A409" s="829"/>
      <c r="B409" s="830"/>
      <c r="C409" s="831"/>
      <c r="D409" s="832"/>
      <c r="E409" s="833"/>
    </row>
    <row r="410" spans="1:5" s="834" customFormat="1">
      <c r="A410" s="829"/>
      <c r="B410" s="830"/>
      <c r="C410" s="831"/>
      <c r="D410" s="832"/>
      <c r="E410" s="833"/>
    </row>
    <row r="411" spans="1:5" s="834" customFormat="1">
      <c r="A411" s="829"/>
      <c r="B411" s="830"/>
      <c r="C411" s="831"/>
      <c r="D411" s="832"/>
      <c r="E411" s="833"/>
    </row>
    <row r="412" spans="1:5" s="834" customFormat="1">
      <c r="A412" s="829"/>
      <c r="B412" s="830"/>
      <c r="C412" s="831"/>
      <c r="D412" s="832"/>
      <c r="E412" s="833"/>
    </row>
    <row r="413" spans="1:5" s="834" customFormat="1">
      <c r="A413" s="829"/>
      <c r="B413" s="830"/>
      <c r="C413" s="831"/>
      <c r="D413" s="832"/>
      <c r="E413" s="833"/>
    </row>
    <row r="414" spans="1:5" s="834" customFormat="1">
      <c r="A414" s="829"/>
      <c r="B414" s="830"/>
      <c r="C414" s="831"/>
      <c r="D414" s="832"/>
      <c r="E414" s="833"/>
    </row>
    <row r="415" spans="1:5" s="834" customFormat="1">
      <c r="A415" s="829"/>
      <c r="B415" s="830"/>
      <c r="C415" s="831"/>
      <c r="D415" s="832"/>
      <c r="E415" s="833"/>
    </row>
    <row r="416" spans="1:5" s="834" customFormat="1">
      <c r="A416" s="829"/>
      <c r="B416" s="830"/>
      <c r="C416" s="831"/>
      <c r="D416" s="832"/>
      <c r="E416" s="833"/>
    </row>
    <row r="417" spans="1:5" s="834" customFormat="1">
      <c r="A417" s="829"/>
      <c r="B417" s="830"/>
      <c r="C417" s="831"/>
      <c r="D417" s="832"/>
      <c r="E417" s="833"/>
    </row>
    <row r="418" spans="1:5" s="834" customFormat="1">
      <c r="A418" s="829"/>
      <c r="B418" s="830"/>
      <c r="C418" s="831"/>
      <c r="D418" s="832"/>
      <c r="E418" s="833"/>
    </row>
    <row r="419" spans="1:5" s="834" customFormat="1">
      <c r="A419" s="829"/>
      <c r="B419" s="830"/>
      <c r="C419" s="831"/>
      <c r="D419" s="832"/>
      <c r="E419" s="833"/>
    </row>
    <row r="420" spans="1:5" s="834" customFormat="1">
      <c r="A420" s="829"/>
      <c r="B420" s="830"/>
      <c r="C420" s="831"/>
      <c r="D420" s="832"/>
      <c r="E420" s="833"/>
    </row>
    <row r="421" spans="1:5" s="834" customFormat="1">
      <c r="A421" s="829"/>
      <c r="B421" s="830"/>
      <c r="C421" s="831"/>
      <c r="D421" s="832"/>
      <c r="E421" s="833"/>
    </row>
    <row r="422" spans="1:5" s="834" customFormat="1">
      <c r="A422" s="829"/>
      <c r="B422" s="830"/>
      <c r="C422" s="831"/>
      <c r="D422" s="832"/>
      <c r="E422" s="833"/>
    </row>
    <row r="423" spans="1:5" s="834" customFormat="1">
      <c r="A423" s="829"/>
      <c r="B423" s="830"/>
      <c r="C423" s="831"/>
      <c r="D423" s="832"/>
      <c r="E423" s="833"/>
    </row>
    <row r="424" spans="1:5" s="834" customFormat="1">
      <c r="A424" s="829"/>
      <c r="B424" s="830"/>
      <c r="C424" s="831"/>
      <c r="D424" s="832"/>
      <c r="E424" s="833"/>
    </row>
    <row r="425" spans="1:5" s="834" customFormat="1">
      <c r="A425" s="829"/>
      <c r="B425" s="830"/>
      <c r="C425" s="831"/>
      <c r="D425" s="832"/>
      <c r="E425" s="833"/>
    </row>
    <row r="426" spans="1:5" s="834" customFormat="1">
      <c r="A426" s="829"/>
      <c r="B426" s="830"/>
      <c r="C426" s="831"/>
      <c r="D426" s="832"/>
      <c r="E426" s="833"/>
    </row>
    <row r="427" spans="1:5" s="834" customFormat="1">
      <c r="A427" s="829"/>
      <c r="B427" s="830"/>
      <c r="C427" s="831"/>
      <c r="D427" s="832"/>
      <c r="E427" s="833"/>
    </row>
    <row r="428" spans="1:5" s="834" customFormat="1">
      <c r="A428" s="829"/>
      <c r="B428" s="830"/>
      <c r="C428" s="831"/>
      <c r="D428" s="832"/>
      <c r="E428" s="833"/>
    </row>
    <row r="429" spans="1:5" s="834" customFormat="1">
      <c r="A429" s="829"/>
      <c r="B429" s="830"/>
      <c r="C429" s="831"/>
      <c r="D429" s="832"/>
      <c r="E429" s="833"/>
    </row>
    <row r="430" spans="1:5" s="834" customFormat="1">
      <c r="A430" s="829"/>
      <c r="B430" s="830"/>
      <c r="C430" s="831"/>
      <c r="D430" s="832"/>
      <c r="E430" s="833"/>
    </row>
    <row r="431" spans="1:5" s="834" customFormat="1">
      <c r="A431" s="829"/>
      <c r="B431" s="830"/>
      <c r="C431" s="831"/>
      <c r="D431" s="832"/>
      <c r="E431" s="833"/>
    </row>
    <row r="432" spans="1:5" s="834" customFormat="1">
      <c r="A432" s="829"/>
      <c r="B432" s="830"/>
      <c r="C432" s="831"/>
      <c r="D432" s="832"/>
      <c r="E432" s="833"/>
    </row>
    <row r="433" spans="1:5" s="834" customFormat="1">
      <c r="A433" s="829"/>
      <c r="B433" s="830"/>
      <c r="C433" s="831"/>
      <c r="D433" s="832"/>
      <c r="E433" s="833"/>
    </row>
    <row r="434" spans="1:5" s="834" customFormat="1">
      <c r="A434" s="829"/>
      <c r="B434" s="830"/>
      <c r="C434" s="831"/>
      <c r="D434" s="832"/>
      <c r="E434" s="833"/>
    </row>
    <row r="435" spans="1:5" s="834" customFormat="1">
      <c r="A435" s="829"/>
      <c r="B435" s="830"/>
      <c r="C435" s="831"/>
      <c r="D435" s="832"/>
      <c r="E435" s="833"/>
    </row>
    <row r="436" spans="1:5" s="834" customFormat="1">
      <c r="A436" s="829"/>
      <c r="B436" s="830"/>
      <c r="C436" s="831"/>
      <c r="D436" s="832"/>
      <c r="E436" s="833"/>
    </row>
    <row r="437" spans="1:5" s="834" customFormat="1">
      <c r="A437" s="829"/>
      <c r="B437" s="830"/>
      <c r="C437" s="831"/>
      <c r="D437" s="832"/>
      <c r="E437" s="833"/>
    </row>
    <row r="438" spans="1:5" s="834" customFormat="1">
      <c r="A438" s="829"/>
      <c r="B438" s="830"/>
      <c r="C438" s="831"/>
      <c r="D438" s="832"/>
      <c r="E438" s="833"/>
    </row>
    <row r="439" spans="1:5" s="834" customFormat="1">
      <c r="A439" s="829"/>
      <c r="B439" s="830"/>
      <c r="C439" s="831"/>
      <c r="D439" s="832"/>
      <c r="E439" s="833"/>
    </row>
    <row r="440" spans="1:5" s="834" customFormat="1">
      <c r="A440" s="829"/>
      <c r="B440" s="830"/>
      <c r="C440" s="831"/>
      <c r="D440" s="832"/>
      <c r="E440" s="833"/>
    </row>
    <row r="441" spans="1:5" s="834" customFormat="1">
      <c r="A441" s="829"/>
      <c r="B441" s="830"/>
      <c r="C441" s="831"/>
      <c r="D441" s="832"/>
      <c r="E441" s="833"/>
    </row>
    <row r="442" spans="1:5" s="834" customFormat="1">
      <c r="A442" s="829"/>
      <c r="B442" s="830"/>
      <c r="C442" s="831"/>
      <c r="D442" s="832"/>
      <c r="E442" s="833"/>
    </row>
    <row r="443" spans="1:5" s="834" customFormat="1">
      <c r="A443" s="829"/>
      <c r="B443" s="830"/>
      <c r="C443" s="831"/>
      <c r="D443" s="832"/>
      <c r="E443" s="833"/>
    </row>
    <row r="444" spans="1:5" s="834" customFormat="1">
      <c r="A444" s="829"/>
      <c r="B444" s="830"/>
      <c r="C444" s="831"/>
      <c r="D444" s="832"/>
      <c r="E444" s="833"/>
    </row>
    <row r="445" spans="1:5" s="834" customFormat="1">
      <c r="A445" s="829"/>
      <c r="B445" s="830"/>
      <c r="C445" s="831"/>
      <c r="D445" s="832"/>
      <c r="E445" s="833"/>
    </row>
    <row r="446" spans="1:5" s="834" customFormat="1">
      <c r="A446" s="829"/>
      <c r="B446" s="830"/>
      <c r="C446" s="831"/>
      <c r="D446" s="832"/>
      <c r="E446" s="833"/>
    </row>
    <row r="447" spans="1:5" s="834" customFormat="1">
      <c r="A447" s="829"/>
      <c r="B447" s="830"/>
      <c r="C447" s="831"/>
      <c r="D447" s="832"/>
      <c r="E447" s="833"/>
    </row>
    <row r="448" spans="1:5" s="834" customFormat="1">
      <c r="A448" s="829"/>
      <c r="B448" s="830"/>
      <c r="C448" s="831"/>
      <c r="D448" s="832"/>
      <c r="E448" s="833"/>
    </row>
    <row r="449" spans="1:5" s="834" customFormat="1">
      <c r="A449" s="829"/>
      <c r="B449" s="830"/>
      <c r="C449" s="831"/>
      <c r="D449" s="832"/>
      <c r="E449" s="833"/>
    </row>
    <row r="450" spans="1:5" s="834" customFormat="1">
      <c r="A450" s="829"/>
      <c r="B450" s="830"/>
      <c r="C450" s="831"/>
      <c r="D450" s="832"/>
      <c r="E450" s="833"/>
    </row>
    <row r="451" spans="1:5" s="834" customFormat="1">
      <c r="A451" s="829"/>
      <c r="B451" s="830"/>
      <c r="C451" s="831"/>
      <c r="D451" s="832"/>
      <c r="E451" s="833"/>
    </row>
    <row r="452" spans="1:5" s="834" customFormat="1">
      <c r="A452" s="829"/>
      <c r="B452" s="830"/>
      <c r="C452" s="831"/>
      <c r="D452" s="832"/>
      <c r="E452" s="833"/>
    </row>
    <row r="453" spans="1:5" s="834" customFormat="1">
      <c r="A453" s="829"/>
      <c r="B453" s="830"/>
      <c r="C453" s="831"/>
      <c r="D453" s="832"/>
      <c r="E453" s="833"/>
    </row>
    <row r="454" spans="1:5" s="834" customFormat="1">
      <c r="A454" s="829"/>
      <c r="B454" s="830"/>
      <c r="C454" s="831"/>
      <c r="D454" s="832"/>
      <c r="E454" s="833"/>
    </row>
    <row r="455" spans="1:5" s="834" customFormat="1">
      <c r="A455" s="829"/>
      <c r="B455" s="830"/>
      <c r="C455" s="831"/>
      <c r="D455" s="832"/>
      <c r="E455" s="833"/>
    </row>
    <row r="456" spans="1:5" s="834" customFormat="1">
      <c r="A456" s="829"/>
      <c r="B456" s="830"/>
      <c r="C456" s="831"/>
      <c r="D456" s="832"/>
      <c r="E456" s="833"/>
    </row>
    <row r="457" spans="1:5" s="834" customFormat="1">
      <c r="A457" s="829"/>
      <c r="B457" s="830"/>
      <c r="C457" s="831"/>
      <c r="D457" s="832"/>
      <c r="E457" s="833"/>
    </row>
    <row r="458" spans="1:5" s="834" customFormat="1">
      <c r="A458" s="829"/>
      <c r="B458" s="830"/>
      <c r="C458" s="831"/>
      <c r="D458" s="832"/>
      <c r="E458" s="833"/>
    </row>
    <row r="459" spans="1:5" s="834" customFormat="1">
      <c r="A459" s="829"/>
      <c r="B459" s="830"/>
      <c r="C459" s="831"/>
      <c r="D459" s="832"/>
      <c r="E459" s="833"/>
    </row>
    <row r="460" spans="1:5" s="834" customFormat="1">
      <c r="A460" s="829"/>
      <c r="B460" s="830"/>
      <c r="C460" s="831"/>
      <c r="D460" s="832"/>
      <c r="E460" s="833"/>
    </row>
    <row r="461" spans="1:5" s="834" customFormat="1">
      <c r="A461" s="829"/>
      <c r="B461" s="830"/>
      <c r="C461" s="831"/>
      <c r="D461" s="832"/>
      <c r="E461" s="833"/>
    </row>
    <row r="462" spans="1:5" s="834" customFormat="1">
      <c r="A462" s="829"/>
      <c r="B462" s="830"/>
      <c r="C462" s="831"/>
      <c r="D462" s="832"/>
      <c r="E462" s="833"/>
    </row>
    <row r="463" spans="1:5" s="834" customFormat="1">
      <c r="A463" s="829"/>
      <c r="B463" s="830"/>
      <c r="C463" s="831"/>
      <c r="D463" s="832"/>
      <c r="E463" s="833"/>
    </row>
    <row r="464" spans="1:5" s="834" customFormat="1">
      <c r="A464" s="829"/>
      <c r="B464" s="830"/>
      <c r="C464" s="831"/>
      <c r="D464" s="832"/>
      <c r="E464" s="833"/>
    </row>
    <row r="465" spans="1:5" s="834" customFormat="1">
      <c r="A465" s="829"/>
      <c r="B465" s="830"/>
      <c r="C465" s="831"/>
      <c r="D465" s="832"/>
      <c r="E465" s="833"/>
    </row>
    <row r="466" spans="1:5" s="834" customFormat="1">
      <c r="A466" s="829"/>
      <c r="B466" s="830"/>
      <c r="C466" s="831"/>
      <c r="D466" s="832"/>
      <c r="E466" s="833"/>
    </row>
    <row r="467" spans="1:5" s="834" customFormat="1">
      <c r="A467" s="829"/>
      <c r="B467" s="830"/>
      <c r="C467" s="831"/>
      <c r="D467" s="832"/>
      <c r="E467" s="833"/>
    </row>
    <row r="468" spans="1:5" s="834" customFormat="1">
      <c r="A468" s="829"/>
      <c r="B468" s="830"/>
      <c r="C468" s="831"/>
      <c r="D468" s="832"/>
      <c r="E468" s="833"/>
    </row>
    <row r="469" spans="1:5" s="834" customFormat="1">
      <c r="A469" s="829"/>
      <c r="B469" s="830"/>
      <c r="C469" s="831"/>
      <c r="D469" s="832"/>
      <c r="E469" s="833"/>
    </row>
    <row r="470" spans="1:5" s="834" customFormat="1">
      <c r="A470" s="829"/>
      <c r="B470" s="830"/>
      <c r="C470" s="831"/>
      <c r="D470" s="832"/>
      <c r="E470" s="833"/>
    </row>
    <row r="471" spans="1:5" s="834" customFormat="1">
      <c r="A471" s="829"/>
      <c r="B471" s="830"/>
      <c r="C471" s="831"/>
      <c r="D471" s="832"/>
      <c r="E471" s="833"/>
    </row>
    <row r="472" spans="1:5" s="834" customFormat="1">
      <c r="A472" s="829"/>
      <c r="B472" s="830"/>
      <c r="C472" s="831"/>
      <c r="D472" s="832"/>
      <c r="E472" s="833"/>
    </row>
    <row r="473" spans="1:5" s="834" customFormat="1">
      <c r="A473" s="829"/>
      <c r="B473" s="830"/>
      <c r="C473" s="831"/>
      <c r="D473" s="832"/>
      <c r="E473" s="833"/>
    </row>
    <row r="474" spans="1:5" s="834" customFormat="1">
      <c r="A474" s="829"/>
      <c r="B474" s="830"/>
      <c r="C474" s="831"/>
      <c r="D474" s="832"/>
      <c r="E474" s="833"/>
    </row>
    <row r="475" spans="1:5" s="834" customFormat="1">
      <c r="A475" s="829"/>
      <c r="B475" s="830"/>
      <c r="C475" s="831"/>
      <c r="D475" s="832"/>
      <c r="E475" s="833"/>
    </row>
    <row r="476" spans="1:5" s="834" customFormat="1">
      <c r="A476" s="829"/>
      <c r="B476" s="830"/>
      <c r="C476" s="831"/>
      <c r="D476" s="832"/>
      <c r="E476" s="833"/>
    </row>
    <row r="477" spans="1:5" s="834" customFormat="1">
      <c r="A477" s="829"/>
      <c r="B477" s="830"/>
      <c r="C477" s="831"/>
      <c r="D477" s="832"/>
      <c r="E477" s="833"/>
    </row>
    <row r="478" spans="1:5" s="834" customFormat="1">
      <c r="A478" s="829"/>
      <c r="B478" s="830"/>
      <c r="C478" s="831"/>
      <c r="D478" s="832"/>
      <c r="E478" s="833"/>
    </row>
    <row r="479" spans="1:5" s="834" customFormat="1">
      <c r="A479" s="829"/>
      <c r="B479" s="830"/>
      <c r="C479" s="831"/>
      <c r="D479" s="832"/>
      <c r="E479" s="833"/>
    </row>
    <row r="480" spans="1:5" s="834" customFormat="1">
      <c r="A480" s="829"/>
      <c r="B480" s="830"/>
      <c r="C480" s="831"/>
      <c r="D480" s="832"/>
      <c r="E480" s="833"/>
    </row>
    <row r="481" spans="1:5" s="834" customFormat="1">
      <c r="A481" s="829"/>
      <c r="B481" s="830"/>
      <c r="C481" s="831"/>
      <c r="D481" s="832"/>
      <c r="E481" s="833"/>
    </row>
    <row r="482" spans="1:5" s="834" customFormat="1">
      <c r="A482" s="829"/>
      <c r="B482" s="830"/>
      <c r="C482" s="831"/>
      <c r="D482" s="832"/>
      <c r="E482" s="833"/>
    </row>
    <row r="483" spans="1:5" s="834" customFormat="1">
      <c r="A483" s="829"/>
      <c r="B483" s="830"/>
      <c r="C483" s="831"/>
      <c r="D483" s="832"/>
      <c r="E483" s="833"/>
    </row>
    <row r="484" spans="1:5" s="834" customFormat="1">
      <c r="A484" s="829"/>
      <c r="B484" s="830"/>
      <c r="C484" s="831"/>
      <c r="D484" s="832"/>
      <c r="E484" s="833"/>
    </row>
    <row r="485" spans="1:5" s="834" customFormat="1">
      <c r="A485" s="829"/>
      <c r="B485" s="830"/>
      <c r="C485" s="831"/>
      <c r="D485" s="832"/>
      <c r="E485" s="833"/>
    </row>
    <row r="486" spans="1:5" s="834" customFormat="1">
      <c r="A486" s="829"/>
      <c r="B486" s="830"/>
      <c r="C486" s="831"/>
      <c r="D486" s="832"/>
      <c r="E486" s="833"/>
    </row>
    <row r="487" spans="1:5" s="834" customFormat="1">
      <c r="A487" s="829"/>
      <c r="B487" s="830"/>
      <c r="C487" s="831"/>
      <c r="D487" s="832"/>
      <c r="E487" s="833"/>
    </row>
    <row r="488" spans="1:5" s="834" customFormat="1">
      <c r="A488" s="829"/>
      <c r="B488" s="830"/>
      <c r="C488" s="831"/>
      <c r="D488" s="832"/>
      <c r="E488" s="833"/>
    </row>
    <row r="489" spans="1:5" s="834" customFormat="1">
      <c r="A489" s="829"/>
      <c r="B489" s="830"/>
      <c r="C489" s="831"/>
      <c r="D489" s="832"/>
      <c r="E489" s="833"/>
    </row>
  </sheetData>
  <mergeCells count="1">
    <mergeCell ref="B7:C7"/>
  </mergeCells>
  <hyperlinks>
    <hyperlink ref="C11" location="Apersiapan1" display="(K3) Pembuatan 1 m2  pagar sementara dari kayu"/>
    <hyperlink ref="C12" location="Apersiapan2" display="(K3) Pembuatan 1 m2  pagar sementara dari seng gelombang"/>
    <hyperlink ref="C13" location="Apersiapan3" display="(K3) Pembuatan 1 m2   pagar sementara dari kawat duri"/>
    <hyperlink ref="C14" location="Apersiapan4" display="Pengukuran dan pemasangan 1 m2 Bouwplank"/>
    <hyperlink ref="C15" location="Apersiapan5" display=" (K3) Pembuatan 1 m2  kantor sementara lantai plesteran"/>
    <hyperlink ref="C16" location="Apersiapan6" display="(K3) Pembuatan 1 m2  rumah jaga"/>
    <hyperlink ref="C17" location="Apersiapan7" display="(K3) Pembuatan 1 m2  gudang semen dan peralatan"/>
    <hyperlink ref="C18" location="Apersiapan8" display="(K3) Pembuatan 1 m2  bedeng pekerja"/>
    <hyperlink ref="C19" location="Apersiapan9" display="(K3) Pembersihan dan perataan lapangan 1 m2"/>
    <hyperlink ref="C20" location="Apersiapan10" display=" (K3) Pembuatan 1 m2  perancah dari bambu"/>
    <hyperlink ref="C21" location="Apersiapan11" display="Pembuatan 1 buah kotak adukan ukuran 40 cm x 50 cm x 25 cm"/>
    <hyperlink ref="C22" location="Apersiapan12" display="Pembuatan 1 m2  jalan sementara"/>
    <hyperlink ref="C23" location="Apersiapan13" display="Pemasangan 1 m2  kawat jaring galvanis"/>
    <hyperlink ref="C24" location="Apersiapan14" display="Pemasangan 1 m2  pagar beton pracetak 50x50x240 untuk pagar"/>
    <hyperlink ref="C29" location="BBongkaran2" display="Pembongkaran 1 m2  dinding tembok"/>
    <hyperlink ref="C30" location="BBongkaran3" display="Pembongkaran pasangan batu kali 1 m3"/>
    <hyperlink ref="C31" location="BBongkaran4" display="Pembongkaran lantai tegel untuk dipergunakan lagi 1 m2"/>
    <hyperlink ref="C32" location="BBongkaran5" display="Mengupas plesteran lama 1 m2"/>
    <hyperlink ref="C33" location="BBongkaran6" display="Pembongkaran genteng / sirap untuk dipergunakan lagi 1 m2"/>
    <hyperlink ref="C34" location="BBongkaran7" display="Pembongkaran atap seng 1 m2"/>
    <hyperlink ref="C35" location="BBongkaran8" display="Pembongkaran usuk / reng dipakai lagi 1 m2"/>
    <hyperlink ref="C36" location="BBongkaran9" display="Pembongkaran usuk / reng tidak dipakai lagi 1 m2"/>
    <hyperlink ref="C37" location="BBongkaran10" display="Pembongkaran kayu balok loteng, kuda-kuda, dlurung, jembatan untuk digunakan lagi 1 m3"/>
    <hyperlink ref="C38" location="BBongkaran11" display="Pembongkaran kayu balok loteng, kuda-kuda, dlurung, jembatan tidak digunakan lagi 1 m3"/>
    <hyperlink ref="C39" location="BBongkaran12" display="Pembongkaran Plafon dgn rangka, tidak digunakan lagi 1 m2"/>
    <hyperlink ref="C40" location="BBongkaran13" display="Mengerjakan kembali bangunan kayu yang telah dibongkar 1 m3"/>
    <hyperlink ref="C42" location="CTanah1" display="Penggalian  tanah biasa sedalam 1 m"/>
    <hyperlink ref="C43" location="CTanah2" display="Penggalian  tanah biasa sedalam 2 m"/>
    <hyperlink ref="C44" location="CTanah3" display="Penggalian  tanah biasa sedalam 3 m"/>
    <hyperlink ref="C45" location="CTanah4" display="Penggalian  tanah keras sedalam 1 m"/>
    <hyperlink ref="C46" location="CTanah5" display="Penggalian  tanah cadas sedalam 1 m"/>
    <hyperlink ref="C47" location="CTanah6" display="Penggalian  tanah lumpur sedalam 1 m"/>
    <hyperlink ref="C48" location="CTanah7" display="Pengerjaan stripping setinggi 1 m"/>
    <hyperlink ref="C49" location="CTanah8" display="(K3) Pembuangan tanah "/>
    <hyperlink ref="C50" location="CTanah9" display="Pengurugan kembali 1 m3  galian tanah"/>
    <hyperlink ref="C51" location="CTanah10" display="(K3) Pemadatan tanah per 20 cm"/>
    <hyperlink ref="C52" location="CTanah11" display="Pengurugan dengan pasir urug"/>
    <hyperlink ref="C53" location="CTanah12" display="Pemasangan lapisan pudel 1:3:7"/>
    <hyperlink ref="C54" location="CTanah13" display="Pemasangan lapisan ijuk"/>
    <hyperlink ref="C55" location="CTanah14" display="Pengurugan dengan sirtu padat"/>
    <hyperlink ref="C56" location="CTanah15" display="Meratakan tanah ditumbuk halus m2"/>
    <hyperlink ref="C57" location="CTanah16" display="Pengurukan  tanah m3"/>
    <hyperlink ref="C58" location="CTanah17" display="Pembuatan  sumur Gali m1"/>
    <hyperlink ref="C59" location="CTanah18" display="Gebalan rumput m2"/>
    <hyperlink ref="C26" location="Apersiapan16" display="Pembuatan  Papan Nama Proyek 80x120 cm (bahan flexi)"/>
    <hyperlink ref="C61" location="DPondasi1" display="Pemasangan pondasi batu belah 1PC:3PP"/>
    <hyperlink ref="C62" location="DPondasi2" display="Pemasangan pondasi batu belah 1PC:4PP"/>
    <hyperlink ref="C63" location="DPondasi3" display="Pemasangan pondasi batu belah 1PC:5PP"/>
    <hyperlink ref="C64" location="DPondasi4" display="Pemasangan pondasi batu belah 1PC:6PP"/>
    <hyperlink ref="C65" location="DPondasi5" display="Pemasangan pondasi batu belah 1PC:8PP"/>
    <hyperlink ref="C66" location="DPondasi6" display="Pemasangan pondasi batu belah 1KP:1SM:2 PP"/>
    <hyperlink ref="C67" location="DPondasi7" display="Pemasangan pondasi batu belah 1PC:3KP:10 PP"/>
    <hyperlink ref="C68" location="DPondasi8" display="Pemasangan pondasi batu belah 1/4PC:1KP:4 PP"/>
    <hyperlink ref="C69" location="DPondasi9" display="(K3) Pemasangan batu kosong (aanstamping)"/>
    <hyperlink ref="C70" location="DPondasi10" display="Pemasangan pondasi siklop 60% beton"/>
    <hyperlink ref="C71" location="DPondasi11" display="Pemasangan pondasi sumuran Ø 100cm"/>
    <hyperlink ref="C73" location="EDinding1" display="Pemasangan dinding bata merah 1 batu campuran 1PC:2PP"/>
    <hyperlink ref="C74" location="EDinding2" display="Pemasangan dinding bata merah 1 batu campuran 1PC:3PP"/>
    <hyperlink ref="C75" location="EDinding3" display="Pemasangan dinding bata merah 1 batu campuran 1PC:4PP"/>
    <hyperlink ref="C76" location="EDinding4" display="Pemasangan dinding bata merah 1 batu campuran 1PC:5PP"/>
    <hyperlink ref="C77" location="EDinding5" display="Pemasangan dinding bata merah 1 batu campuran 1PC:6PP"/>
    <hyperlink ref="C78" location="EDinding6" display="Pemasangan dinding bata merah 1 batu 1PC:3KP: 2PP"/>
    <hyperlink ref="C79" location="EDinding7" display="Pemasangan dinding bata merah 1/2 batu campuran 1PC:2PP"/>
    <hyperlink ref="C80" location="EDinding8" display="Pemasangan dinding bata merah 1/2 batu campuran 1PC:3PP"/>
    <hyperlink ref="C81" location="EDinding9" display="Pemasangan dinding bata merah 1/2 batu campuran 1PC:4PP"/>
    <hyperlink ref="C82" location="EDinding10" display="Pemasangan dinding bata merah 1/2 batu campuran 1PC:5PP"/>
    <hyperlink ref="C83" location="EDinding11" display="Pemasangan dinding bata merah 1/2 batu campuran 1PC:6PP"/>
    <hyperlink ref="C84" location="EDinding12" display="Pemasangan dinding bata merah 1/2 batu 1PC:8PP"/>
    <hyperlink ref="C85" location="EDinding13" display="Pemasangan dinding bata merah 1/2 batu 1PC:3KP: 10PP"/>
    <hyperlink ref="C86" location="EDinding14" display="Pemasangan dinding bata merah 1/2 batu 1KP:1SM:1PP"/>
    <hyperlink ref="C87" location="EDinding15" display="Pemasangan dinding bata merah 1/2 batu 1KP:1SM:2PP"/>
    <hyperlink ref="C88" location="EDinding16" display="Pemasangan dinding HB20 campuran 1PC:3PP"/>
    <hyperlink ref="C89" location="EDinding17" display="Pemasangan dinding HB20 campuran 1PC:4PP"/>
    <hyperlink ref="C90" location="EDinding18" display="Pemasangan dinding HB15 campuran 1PC:3PP"/>
    <hyperlink ref="C91" location="EDinding19" display="Pemasangan dinding HB15 campuran 1PC:4PP"/>
    <hyperlink ref="C92" location="EDinding20" display="Pemasangan dinding HB10 campuran 1PC:3PP"/>
    <hyperlink ref="C93" location="EDinding21" display="Pemasangan dinding HB10 campuran 1PC:4PP"/>
    <hyperlink ref="C94" location="EDinding22" display="Pemasangan dinding terawang (roster) campuran 1PC:3PP"/>
    <hyperlink ref="C95" location="EDinding23" display="Pemasangan dinding terawang (roster) campuran 1PC:4PP"/>
    <hyperlink ref="C96" location="EDinding24" display="Pemasangan dinding bata berongga campuran 1PC:3PP"/>
    <hyperlink ref="C97" location="EDinding25" display="Pemasangan dinding bata ringan tebal 7,5 cm"/>
    <hyperlink ref="C98" location="EDinding26" display="Pemasangan dinding bata ringan tebal 10 cm"/>
    <hyperlink ref="C99" location="EDinding28" display="Pasangan dinding batako"/>
    <hyperlink ref="C100" location="EDinding29" display="Pemasangan dinding terawang (roster) ukuran (12 x 11 x 24) cm, campuran spesi 1 PC : 3 PP"/>
    <hyperlink ref="C101" location="EDinding30" display="Pemasangan rollag bata , campuran spesi 1 PC : 3 PP"/>
    <hyperlink ref="C103" location="FBeton1" display="Pembuatan 1 m3  beton mutu fc  7,4 MPa"/>
    <hyperlink ref="C104" location="FBeton2" display="Pembuatan 1 m3  beton mutu fc  9,8 MPa"/>
    <hyperlink ref="C105" location="FBeton3" display="Pembuatan 1 m3  beton mutu fc  12,2 MPa"/>
    <hyperlink ref="C106" location="FBeton4" display="Pembuatan 1 m3  lantai kerja beton mutu fc  7.4 MPa"/>
    <hyperlink ref="C107" location="FBeton5" display="Pembuatan 1 m3  beton mutu fc  14,5 MPa"/>
    <hyperlink ref="C108" location="FBeton6" display="Pembuatan 1 m3  beton mutu fc  16,9 MPa"/>
    <hyperlink ref="C109" location="FBeton7" display="Pembuatan 1 m3  beton mutu fc  19,3 MPa"/>
    <hyperlink ref="C110" location="FBeton8" display="Pembuatan 1 m3  beton mutu fc  21,7 MPa"/>
    <hyperlink ref="C111" location="FBeton9" display="Pembuatan 1 m3  beton mutu fc  24 MPa"/>
    <hyperlink ref="C112" location="FBeton10" display="Pembuatan 1 m3  beton mutu fc  26,4 MPa"/>
    <hyperlink ref="C113" location="FBeton11" display="Pembuatan 1 m3  beton mutu fc  28,8 MPa"/>
    <hyperlink ref="C114" location="FBeton12" display="Pembuatan 1 m3  beton mutu fc  31,2 MPa"/>
    <hyperlink ref="C115" location="FBeton13" display="Pembuatan 1 m3  beton kedap air dengan strorox 100"/>
    <hyperlink ref="C116" location="FBeton14" display="Pemasangan 1 m2   PVC Waterstop lebar 150mm"/>
    <hyperlink ref="C117" location="FBeton15" display="Pemasangan 1 m2   PVC Waterstop lebar 200mm"/>
    <hyperlink ref="C118" location="FBeton16" display="Pemasangan 1 m2   PVC Waterstop lebar 230- 320mm"/>
    <hyperlink ref="C119" location="FBeton17" display="Pembesian 10 kg dengan besi polos atau ulir"/>
    <hyperlink ref="C120" location="FBeton18" display="Pemasangan 10 kg kabel prategang (prestressed) polos/strands"/>
    <hyperlink ref="C121" location="FBeton19" display="Pemasangan 10 kg jaring kawat baja (wire mesh)"/>
    <hyperlink ref="C122" location="FBeton20" display="(K3) Pemasangan 1 m2  bekisting untuk pondasi"/>
    <hyperlink ref="C123" location="FBeton21" display="(K3) Pemasangan 1 m2  bekisting untuk sloof"/>
    <hyperlink ref="C124" location="FBeton22" display="(K3) Pemasangan 1 m2  bekisting untuk kolom"/>
    <hyperlink ref="C125" location="FBeton23" display="(K3) Pemasangan 1 m2  bekisting untuk balok"/>
    <hyperlink ref="C126" location="FBeton24" display="(K3) Pemasangan 1 m2  bekisting untuk lantai"/>
    <hyperlink ref="C127" location="FBeton25" display="(K3) Pemasangan 1 m2  bekisting untuk dinding"/>
    <hyperlink ref="C128" location="FBeton26" display="(K3) Pemasangan 1 m2  bekisting untuk  tangga"/>
    <hyperlink ref="C129" location="FBeton27" display=" (K3) Pemasangan 1 m2  tangga pengecoran beton"/>
    <hyperlink ref="C130" location="FBeton28" display="Pembuatan 1 m2  kolom praktis beton bertulang (11x11)"/>
    <hyperlink ref="C131" location="FBeton29" display="Pembuatan 1 m2  ring balok beton bertulang (10x15)"/>
    <hyperlink ref="C132" location="FBeton30" display="Pekerjaan Plat Bondex"/>
    <hyperlink ref="C133" location="FBeton31" display="Stutwerk untuk 1m³ beton, tinggi 3-4 m (memakai scafolding) sistem bondex"/>
    <hyperlink ref="C134" location="FBeton32" display="Pekerjaan Beton K225, Plat Lantai tbl. 12 cm, besi ø6 1x lapis (Sistem Bondex)"/>
    <hyperlink ref="C135" location="FBeton33" display="Pembuatan tiang pancang  (40 x 40) cm, beton bertulang"/>
    <hyperlink ref="C136" location="FBeton34" display="Pembuatan tiang pancang  (35 x 35) cm, beton bertulang"/>
    <hyperlink ref="C137" location="FBeton35" display="Cor beton kerb  ( 15 x 30 ) cm"/>
    <hyperlink ref="C138" location="FBeton36" display="Cor beton Devider ( 30 x 30 ) cm"/>
    <hyperlink ref="C140" location="GPracetak1" display="(K3) Pembuatan 1m2  lahan produksi tebal 8 cm beton f’c 14,5 MPa, slump (120 ± 20) mm"/>
    <hyperlink ref="C141" location="GPracetak2" display="(K3) Pembuatan 1m2  lahan produksi tebal 10 cm beton f’c 14,5 MPa, slump (120 ± 20) mm"/>
    <hyperlink ref="C142" location="GPracetak3" display="(K3) Pembuatan 1m2  lahan produksi tebal 12 cm beton f’c 14,5 MPa, slump (120 ± 20) mm"/>
    <hyperlink ref="C143" location="GPracetak4" display="(K3) Pembuatan 1m2  lahan produksi tebal 15 cm beton f’c 14,5 MPa, slump (120 ± 20) mm"/>
    <hyperlink ref="C144" location="GPracetak5" display="Pembuatan 1m2  bekisting untuk pelat beton pracetak (5 kali pakai)"/>
    <hyperlink ref="C145" location="GPracetak6" display="Pembuatan 1m2  bekisting untuk balok beton pracetak (10-12 kali pakai)"/>
    <hyperlink ref="C146" location="GPracetak7" display="Pembuatan 1m2  bekisting untuk kolom beton pracetak (10-12 kali pakai)"/>
    <hyperlink ref="C147" location="GPracetak8" display="Pemasangan dan membuka bekisting 1 buah komponen untuk pelat beton pracetak"/>
    <hyperlink ref="C148" location="GPracetak9" display="Pemasangan dan membuka bekisting 1 buah komponen untuk balok beton pracetak"/>
    <hyperlink ref="C149" location="GPracetak10" display="Pemasangan dan membuka bekisting 1 buah komponen untuk kolom beton pracetak"/>
    <hyperlink ref="C150" location="GPracetak11" display="Penuangan/menebar beton 1 m3  untuk pelat beton pracetak"/>
    <hyperlink ref="C151" location="GPracetak12" display="Penuangan/menebar beton 1 m3  untuk balok beton pracetak"/>
    <hyperlink ref="C152" location="GPracetak13" display="Penuangan/menebar beton 1 m3  untuk kolom beton pracetak"/>
    <hyperlink ref="C153" location="GPracetak14" display="Ereksi 1 buah komponen pelat beton pracetak beserta indeks kenaikan lantai ereksi pelat hingga 24 lantai"/>
    <hyperlink ref="C154" location="GPracetak15" display="Ereksi 1 buah komponen balok beton pracetak beserta indeks kenaikan lantai ereksi balok hingga 24 lantai"/>
    <hyperlink ref="C155" location="GPracetak16" display="Ereksi 1 buah komponen kolom beton pracetak beserta indeks kenaikan lantai ereksi kolom hingga 24 lantai"/>
    <hyperlink ref="C156" location="GPracetak17" display="Langsir 1 buah komponen untuk pelat beton pracetak (± 20 m)"/>
    <hyperlink ref="C157" location="GPracetak18" display="Langsir 1 buah komponen untuk balok beton pracetak (± 20 m)"/>
    <hyperlink ref="C158" location="GPracetak19" display="Langsir 1 buah komponen untuk kolom beton pracetak (± 20m)"/>
    <hyperlink ref="C159" location="GPracetak20" display="Bahan 1 m3 grout campuran"/>
    <hyperlink ref="C160" location="GPracetak21" display="Bahan 1 m3 grout (tidak campuran)"/>
    <hyperlink ref="C161" location="GPracetak22" display="Upah 1 titik pekerjaan grout pada joint pracetak"/>
    <hyperlink ref="C162" location="GPracetak23" display="Pemasangan 1 titik bekisting joint pracetak"/>
    <hyperlink ref="C163" location="GPracetak24" display="Upah 1 titik joint dengan sling"/>
    <hyperlink ref="C165" location="HPlesteran1" display="Pemasangan plesteran 1PC:1PP tebal 15 mm"/>
    <hyperlink ref="C166" location="HPlesteran2" display="Pemasangan plesteran 1PC:2PP tebal 15 mm"/>
    <hyperlink ref="C167" location="HPlesteran3" display="Pemasangan plesteran 1PC:3PP tebal 15 mm"/>
    <hyperlink ref="C168" location="HPlesteran4" display="Pemasangan plesteran 1PC:4PP tebal 15 mm"/>
    <hyperlink ref="C169" location="HPlesteran5" display="Pemasangan plesteran 1PC:5PP tebal 15 mm"/>
    <hyperlink ref="C170" location="HPlesteran6" display="Pemasangan plesteran 1PC:6PP tebal 15 mm"/>
    <hyperlink ref="C171" location="HPlesteran7" display="Pemasangan plesteran 1PC:7PP tebal 15 mm"/>
    <hyperlink ref="C172" location="HPlesteran8" display="Pemasangan plesteran 1PC:8PP tebal 15 mm"/>
    <hyperlink ref="C173" location="HPlesteran9" display="Pemasangan plesteran 1PC:1/2KP:3PP tebal 15 mm"/>
    <hyperlink ref="C174" location="HPlesteran10" display="Pemasangan plesteran 1PC:2KP:8PP tebal 15 mm"/>
    <hyperlink ref="C175" location="HPlesteran11" display="Pemasangan plesteran 1SM:1KP:1PP tebal 15 mm"/>
    <hyperlink ref="C176" location="HPlesteran12" display="Pemasangan plesteran 1SM:1KP:2PP tebal 15 mm"/>
    <hyperlink ref="C177" location="HPlesteran13" display="Pemasangan plesteran 1PC:2PP tebal 20 mm"/>
    <hyperlink ref="C178" location="HPlesteran14" display="Pemasangan plesteran 1PC:3PP tebal 20 mm"/>
    <hyperlink ref="C179" location="HPlesteran15" display="Pemasangan plesteran 1PC:4PP tebal 20 mm"/>
    <hyperlink ref="C180" location="HPlesteran16" display="Pemasangan plesteran 1PC:5PP tebal 20 mm"/>
    <hyperlink ref="C181" location="HPlesteran17" display="Pemasangan plesteran 1PC:6PP tebal 20 mm"/>
    <hyperlink ref="C182" location="HPlesteran18" display="Pemasangan plesteran 1SM:1KP:2PP tebal 20 mm"/>
    <hyperlink ref="C183" location="HPlesteran19" display="Pemasangan berapen 1PC:5PP  tebal 15 mm"/>
    <hyperlink ref="C184" location="HPlesteran20" display="Pemasangan plesteran skoning 1PC:2PP lebar 10 cm"/>
    <hyperlink ref="C185" location="HPlesteran21" display="Pemasangan plesteran granit 1PC:2 granit tebal 10 mm"/>
    <hyperlink ref="C186" location="HPlesteran22" display="Pemasangan plesteran teraso 1PC:2 teraso tebal 10 mm"/>
    <hyperlink ref="C187" location="HPlesteran23" display="Pemasangan plesteran ciprat 1PC:2PP"/>
    <hyperlink ref="C188" location="HPlesteran24" display="Pemasangan finishing siar pasangan bata"/>
    <hyperlink ref="C189" location="HPlesteran25" display="Pemasangan finishing siar pas. conblock"/>
    <hyperlink ref="C190" location="HPlesteran26" display="Pemasangan finishing siar pas. batu belah"/>
    <hyperlink ref="C191" location="HPlesteran27" display="Pemasangan acian"/>
    <hyperlink ref="C192" location="HPlesteran28" display="Pemasangan 1 m2  plesteran dengan mortar siap pakai (MSP)"/>
    <hyperlink ref="C193" location="HPlesteran29" display=" Pemasangan 1 m2  plesteran acian mortar siap pakai (MSP)"/>
    <hyperlink ref="C194" location="HPlesteran30" display="Plesteran 1 Pc : 3 Kp : 10 Ps, tebal 15 mm"/>
    <hyperlink ref="C196" location="IKeramik1" display="Pemasangan 1 m2  lantai ubin PC abu-abu 40x40"/>
    <hyperlink ref="C197" location="IKeramik2" display="Pemasangan 1 m2  lantai ubin PC abu-abu 30x30"/>
    <hyperlink ref="C198" location="IKeramik3" display="Pemasangan 1 m2  lantai ubin PC abu-abu 20x20"/>
    <hyperlink ref="C199" location="IKeramik4" display="Pemasangan 1 m2  lantai ubin warna 40x40"/>
    <hyperlink ref="C200" location="IKeramik5" display="Pemasangan 1 m2  lantai ubin warna 30x30"/>
    <hyperlink ref="C201" location="IKeramik6" display="Pemasangan 1 m2  lantai ubin warna 20x20"/>
    <hyperlink ref="C202" location="IKeramik7" display="Pemasangan 1 m2  lantai ubin teraso 40x40"/>
    <hyperlink ref="C203" location="IKeramik8" display="Pemasangan 1 m2  lantai ubin teraso 30x30"/>
    <hyperlink ref="C204" location="IKeramik9" display="Pemasangan 1 m2  lantai ubin granit 40x40"/>
    <hyperlink ref="C205" location="IKeramik10" display="Pemasangan 1 m2  lantai ubin granit 30x30"/>
    <hyperlink ref="C206" location="IKeramik11" display="Pemasangan 1 m2  lantai ubin teralux 40x40"/>
    <hyperlink ref="C207" location="IKeramik12" display="Pemasangan 1 m2  lantai ubin teralux 30x30"/>
    <hyperlink ref="C208" location="IKeramik13" display="Pemasangan 1 m2  lantai ubin teralux marmer 60x60"/>
    <hyperlink ref="C209" location="IKeramik14" display="Pemasangan 1 m2  lantai ubin teralux marmer 40x40"/>
    <hyperlink ref="C210" location="IKeramik15" display="Pemasangan 1 m2  lantai ubin teralux marmer 30x30"/>
    <hyperlink ref="C211" location="IKeramik16" display="Pemasangan 1 m2  Plint ubin PC abu-abu 15x20"/>
    <hyperlink ref="C212" location="IKeramik17" display="Pemasangan 1 m2  Plint ubin PC abu-abu 10x30"/>
    <hyperlink ref="C213" location="IKeramik18" display="Pemasangan 1 m2  plint ubin PC abu-abu 10x40"/>
    <hyperlink ref="C214" location="IKeramik19" display="Pemasangan 1 m2  plint ubin warna 10x20"/>
    <hyperlink ref="C215" location="IKeramik20" display="Pemasangan 1 m2  plint ubin warna 10x30"/>
    <hyperlink ref="C216" location="IKeramik21" display="Pemasangan 1 m2  plint ubin warna 10x40"/>
    <hyperlink ref="C217" location="IKeramik22" display="Pemasangan 1 m2  plint ubin teraso 10x30"/>
    <hyperlink ref="C218" location="IKeramik23" display="Pemasangan 1 m2  plint ubin teraso 10x40"/>
    <hyperlink ref="C219" location="IKeramik24" display="Pemasangan 1 m2  plint ubin granit 10x40"/>
    <hyperlink ref="C220" location="IKeramik25" display="Pemasangan 1 m2  plint ubin granit 10x30"/>
    <hyperlink ref="C221" location="IKeramik26" display="Pemasangan 1 m2  plint ubin teralux kerang 10x40"/>
    <hyperlink ref="C222" location="IKeramik27" display="Pemasangan 1 m2  plint ubin teralux kerang 10x30"/>
    <hyperlink ref="C223" location="IKeramik28" display="Pemasangan 1 m2  plint ubin teralux marmer 10x60"/>
    <hyperlink ref="C224" location="IKeramik29" display="Pemasangan 1 m2  plint ubin teralux marmer 10x40"/>
    <hyperlink ref="C225" location="IKeramik30" display="Pemasangan 1 m2  plint ubin teralux marmer 10x30"/>
    <hyperlink ref="C226" location="IKeramik31" display="Pemasangan 1 m2  lantai teraso cor di tempat tebal 3 cm"/>
    <hyperlink ref="C227" location="IKeramik32" display="Pemasangan 1 m2  lantai keramik artistik 10x20"/>
    <hyperlink ref="C228" location="IKeramik33" display="Pemasangan 1 m2  lantai keramik artistik 10x20 atau 5x20"/>
    <hyperlink ref="C229" location="IKeramik34" display="Pemasangan 1 m2  lantai keramik 33x33"/>
    <hyperlink ref="C230" location="IKeramik35" display="Pemasangan 1 m2  lantai keramik 30x30"/>
    <hyperlink ref="C231" location="IKeramik36" display="Pemasangan 1 m2  lantai keramik 20x20"/>
    <hyperlink ref="C232" location="IKeramik37" display="Pemasangan  lantai keramik ukuran (10 x 33) cm, variasi/border"/>
    <hyperlink ref="C233" location="IKeramik38" display="Pemasangan 1 m2  lantai mozaik 30x30 1PC:3PP"/>
    <hyperlink ref="C234" location="IKeramik39" display="Pemasangan 1 m2  plint keramik 10x20"/>
    <hyperlink ref="C235" location="IKeramik40" display="Pemasangan 1 m2  plint keramik 10x10"/>
    <hyperlink ref="C236" location="IKeramik41" display="Pemasangan 1 m2  plint keramik 5x20"/>
    <hyperlink ref="C237" location="IKeramik42" display="Pemasangan 1 m2  plint internal cove artistik 5x5x20"/>
    <hyperlink ref="C238" location="IKeramik43" display="Pemasangan 1 m2  lantai marmer 100x100"/>
    <hyperlink ref="C239" location="IKeramik44" display="Pemasangan 1 m2  lantai karpet"/>
    <hyperlink ref="C240" location="IKeramik45" display="Pemasangan 1 m2  underlayer (lapisan bawah karpet)"/>
    <hyperlink ref="C241" location="IKeramik46" display="Pemasangan 1 m2  lantai parquet"/>
    <hyperlink ref="C242" location="IKeramik47" display="Pemasangan 1 m2  lantai kayu gymfloor"/>
    <hyperlink ref="C243" location="IKeramik48" display="Pemasangan 1 m2  dinding porslen 11x11"/>
    <hyperlink ref="C244" location="IKeramik49" display="Pemasangan 1 m2  dinding porslen 10x20"/>
    <hyperlink ref="C245" location="IKeramik50" display="Pemasangan 1 m2  dinding porslen 20x20"/>
    <hyperlink ref="C246" location="IKeramik51" display="Pemasangan 1 m2  dinding keramik artistik 10x20"/>
    <hyperlink ref="C247" location="IKeramik52" display="Pemasangan 1 m2  dinding keramik artistik 5x20"/>
    <hyperlink ref="C248" location="IKeramik53" display="Pemasangan 1 m2  dinding keramik 10x20"/>
    <hyperlink ref="C249" location="IKeramik54" display="Pemasangan 1 m2  dinding keramik 20x20"/>
    <hyperlink ref="C250" location="IKeramik55" display="Pemasangan 1 m2  dinding marmer 100x100"/>
    <hyperlink ref="C251" location="IKeramik56" display="Pemasangan 1 m2  dinding bata pelapis 3x7x24"/>
    <hyperlink ref="C252" location="IKeramik57" display="Pemasangan 1 m2  dinding batu paras"/>
    <hyperlink ref="C253" location="IKeramik58" display="Pemasangan 1 m2  dinding batu temple hitam"/>
    <hyperlink ref="C254" location="IKeramik59" display="Pemasangan 1 m2  lantai vinyl 30x30"/>
    <hyperlink ref="C255" location="IKeramik60" display="Pemasangan 1 m2  wallpaper lebar 50cm"/>
    <hyperlink ref="C256" location="IKeramik61" display="Pemasangan 1 m2  floor harderner"/>
    <hyperlink ref="C257" location="IKeramik62" display="Pemasangan 1 m2  plinti vinyl karet 15x30"/>
    <hyperlink ref="C258" location="IKeramik63" display="Pemasangan 1 m2  plint kayu 2x10"/>
    <hyperlink ref="C259" location="IKeramik64" display="Pasang plint ubin PC abu-abu ukuran 10 x 20 cm"/>
    <hyperlink ref="C260" location="IKeramik65" display="Pemasangan lantai keramik ukuran (40 x 40) cm"/>
    <hyperlink ref="C261" location="IKeramik66" display="Pemasangan  Batu Candi (30 x 30) Trotoar"/>
    <hyperlink ref="C262" location="IKeramik67" display="Pemasangan Batu Candi (20 x 20) Trotoar"/>
    <hyperlink ref="C263" location="IKeramik68" display="Pemasangan plint keramik ukuran 10 x 40 cm"/>
    <hyperlink ref="C264" location="IKeramik69" display="Pemasangan  plint keramik ukuran 10 x 30 cm"/>
    <hyperlink ref="C265" location="IKeramik70" display="Pemasangan  dinding keramik ukuran (20 x 25) cm"/>
    <hyperlink ref="C266" location="IKeramik71" display="Pemasangan  Batu Candi (20 x 20) Dinding"/>
    <hyperlink ref="C267" location="IKeramik72" display="Pemasangan keramik stepnosing granito 5/30"/>
    <hyperlink ref="C268" location="IKeramik73" display="Pemasangan  hospital plint panjang 20 cm"/>
    <hyperlink ref="C269" location="IKeramik74" display="Pemasangan  hospital plint panjang 30 cm"/>
    <hyperlink ref="C272" location="JKonblok1" display="Pemasangan paving block tebal 6 cm natural"/>
    <hyperlink ref="C273" location="JKonblok2" display="Pemasangan paving block tebal 8 cm natural"/>
    <hyperlink ref="C274" location="JKonblok3" display="Pemasangan paving block tebal 6 cm berwarna"/>
    <hyperlink ref="C275" location="JKonblok4" display="Pemasangan paving block tebal 8 cm berwarna"/>
    <hyperlink ref="C276" location="JKonblok5" display="Pemasangan  grassblock bulat tebal 10 cm, tebal pasir 5 cm"/>
    <hyperlink ref="C277" location="JKonblok6" display="Pemasangan  grassblock tebal 10 cm, tebal pasir 5 cm"/>
    <hyperlink ref="C25" location="Apersiapan15" display="Pembuatan  Papan Nama Proyek 80x120 cm (bahan seng) "/>
    <hyperlink ref="C28" location="Bongkaran1" display="Pembongkaran 1 m3   beton bertulang"/>
    <hyperlink ref="C270" location="keramik6060" display="Pemasangan lantai keramik ukuran (60 x 60) cm"/>
  </hyperlinks>
  <pageMargins left="0.70866141732283505" right="0.70866141732283505" top="1.9685039370078702E-2" bottom="1.9685039370078702E-2" header="0.31496062992126" footer="0.31496062992126"/>
  <pageSetup paperSize="9" scale="92" fitToHeight="0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9" tint="-0.249977111117893"/>
    <pageSetUpPr fitToPage="1"/>
  </sheetPr>
  <dimension ref="A5:O748"/>
  <sheetViews>
    <sheetView showGridLines="0" topLeftCell="D95" zoomScale="85" zoomScaleNormal="85" zoomScaleSheetLayoutView="85" workbookViewId="0">
      <selection activeCell="E99" sqref="E99"/>
    </sheetView>
  </sheetViews>
  <sheetFormatPr defaultRowHeight="15"/>
  <cols>
    <col min="1" max="1" width="9.140625" style="52" hidden="1" customWidth="1"/>
    <col min="2" max="2" width="4.42578125" style="76" hidden="1" customWidth="1"/>
    <col min="3" max="3" width="33" style="52" hidden="1" customWidth="1"/>
    <col min="4" max="4" width="6.140625" style="134" customWidth="1"/>
    <col min="5" max="5" width="62" style="135" customWidth="1"/>
    <col min="6" max="6" width="6.140625" style="136" customWidth="1"/>
    <col min="7" max="7" width="66.5703125" style="137" customWidth="1"/>
    <col min="8" max="8" width="6.7109375" style="134" customWidth="1"/>
    <col min="9" max="9" width="67.85546875" style="135" customWidth="1"/>
    <col min="10" max="15" width="9.140625" style="109"/>
    <col min="16" max="16384" width="9.140625" style="52"/>
  </cols>
  <sheetData>
    <row r="5" spans="2:15">
      <c r="F5" s="138"/>
      <c r="G5" s="139"/>
    </row>
    <row r="6" spans="2:15">
      <c r="B6" s="133"/>
      <c r="C6" s="109"/>
      <c r="D6" s="155"/>
      <c r="E6" s="156"/>
      <c r="F6" s="157"/>
      <c r="G6" s="156"/>
      <c r="H6" s="155"/>
      <c r="I6" s="156"/>
    </row>
    <row r="7" spans="2:15" ht="22.5" customHeight="1">
      <c r="B7" s="992" t="s">
        <v>452</v>
      </c>
      <c r="C7" s="992"/>
      <c r="D7" s="992"/>
      <c r="E7" s="992"/>
      <c r="F7" s="992"/>
      <c r="G7" s="992"/>
      <c r="H7" s="992"/>
      <c r="I7" s="992"/>
    </row>
    <row r="8" spans="2:15">
      <c r="B8" s="133"/>
      <c r="C8" s="109"/>
      <c r="D8" s="155"/>
      <c r="E8" s="156"/>
      <c r="F8" s="157"/>
      <c r="G8" s="156"/>
      <c r="H8" s="155"/>
      <c r="I8" s="156"/>
    </row>
    <row r="9" spans="2:15" ht="21" customHeight="1">
      <c r="B9" s="110" t="s">
        <v>441</v>
      </c>
      <c r="C9" s="123" t="s">
        <v>82</v>
      </c>
      <c r="D9" s="998" t="s">
        <v>441</v>
      </c>
      <c r="E9" s="993" t="s">
        <v>1645</v>
      </c>
      <c r="F9" s="993"/>
      <c r="G9" s="993"/>
      <c r="H9" s="993"/>
      <c r="I9" s="993"/>
    </row>
    <row r="10" spans="2:15" ht="36" customHeight="1">
      <c r="B10" s="110"/>
      <c r="C10" s="123"/>
      <c r="D10" s="999"/>
      <c r="E10" s="115" t="s">
        <v>725</v>
      </c>
      <c r="F10" s="115"/>
      <c r="G10" s="115" t="s">
        <v>472</v>
      </c>
      <c r="H10" s="116"/>
      <c r="I10" s="115" t="s">
        <v>692</v>
      </c>
    </row>
    <row r="11" spans="2:15" s="163" customFormat="1" ht="36" customHeight="1">
      <c r="B11" s="160"/>
      <c r="C11" s="161"/>
      <c r="D11" s="990" t="s">
        <v>1637</v>
      </c>
      <c r="E11" s="989"/>
      <c r="F11" s="989"/>
      <c r="G11" s="989"/>
      <c r="H11" s="989"/>
      <c r="I11" s="991"/>
      <c r="J11" s="162"/>
      <c r="K11" s="162"/>
      <c r="L11" s="162"/>
      <c r="M11" s="162"/>
      <c r="N11" s="162"/>
      <c r="O11" s="162"/>
    </row>
    <row r="12" spans="2:15" s="120" customFormat="1" ht="35.1" customHeight="1">
      <c r="B12" s="117">
        <v>1</v>
      </c>
      <c r="C12" s="124" t="s">
        <v>85</v>
      </c>
      <c r="D12" s="149">
        <v>1</v>
      </c>
      <c r="E12" s="782" t="s">
        <v>146</v>
      </c>
      <c r="F12" s="112">
        <v>4</v>
      </c>
      <c r="G12" s="141" t="s">
        <v>691</v>
      </c>
      <c r="H12" s="112">
        <v>4</v>
      </c>
      <c r="I12" s="141" t="s">
        <v>691</v>
      </c>
      <c r="J12" s="119"/>
      <c r="K12" s="119"/>
      <c r="L12" s="119"/>
      <c r="M12" s="119"/>
      <c r="N12" s="119"/>
      <c r="O12" s="119"/>
    </row>
    <row r="13" spans="2:15" s="120" customFormat="1" ht="35.1" customHeight="1">
      <c r="B13" s="995"/>
      <c r="C13" s="983" t="s">
        <v>454</v>
      </c>
      <c r="D13" s="149">
        <f>D12+1</f>
        <v>2</v>
      </c>
      <c r="E13" s="269" t="s">
        <v>134</v>
      </c>
      <c r="F13" s="142"/>
      <c r="G13" s="140"/>
      <c r="H13" s="142"/>
      <c r="I13" s="140"/>
      <c r="J13" s="119"/>
      <c r="K13" s="119"/>
      <c r="L13" s="119"/>
      <c r="M13" s="119"/>
      <c r="N13" s="119"/>
      <c r="O13" s="119"/>
    </row>
    <row r="14" spans="2:15" s="120" customFormat="1" ht="35.1" customHeight="1">
      <c r="B14" s="996"/>
      <c r="C14" s="984"/>
      <c r="D14" s="149">
        <f t="shared" ref="D14:D31" si="0">D13+1</f>
        <v>3</v>
      </c>
      <c r="E14" s="269" t="s">
        <v>135</v>
      </c>
      <c r="F14" s="112">
        <v>8</v>
      </c>
      <c r="G14" s="141" t="s">
        <v>565</v>
      </c>
      <c r="H14" s="112">
        <v>8</v>
      </c>
      <c r="I14" s="141" t="s">
        <v>693</v>
      </c>
      <c r="J14" s="119"/>
      <c r="K14" s="119"/>
      <c r="L14" s="119"/>
      <c r="M14" s="119"/>
      <c r="N14" s="119"/>
      <c r="O14" s="119"/>
    </row>
    <row r="15" spans="2:15" s="120" customFormat="1" ht="35.1" customHeight="1">
      <c r="B15" s="996"/>
      <c r="C15" s="984"/>
      <c r="D15" s="149">
        <f t="shared" si="0"/>
        <v>4</v>
      </c>
      <c r="E15" s="269" t="s">
        <v>136</v>
      </c>
      <c r="F15" s="142"/>
      <c r="G15" s="140"/>
      <c r="H15" s="142"/>
      <c r="I15" s="140"/>
      <c r="J15" s="119"/>
      <c r="K15" s="119"/>
      <c r="L15" s="119"/>
      <c r="M15" s="119"/>
      <c r="N15" s="119"/>
      <c r="O15" s="119"/>
    </row>
    <row r="16" spans="2:15" s="120" customFormat="1" ht="35.1" customHeight="1">
      <c r="B16" s="996"/>
      <c r="C16" s="984"/>
      <c r="D16" s="149">
        <f t="shared" si="0"/>
        <v>5</v>
      </c>
      <c r="E16" s="269" t="s">
        <v>140</v>
      </c>
      <c r="F16" s="112">
        <v>12</v>
      </c>
      <c r="G16" s="141" t="s">
        <v>569</v>
      </c>
      <c r="H16" s="112">
        <v>12</v>
      </c>
      <c r="I16" s="141" t="s">
        <v>569</v>
      </c>
      <c r="J16" s="119"/>
      <c r="K16" s="119"/>
      <c r="L16" s="119"/>
      <c r="M16" s="119"/>
      <c r="N16" s="119"/>
      <c r="O16" s="119"/>
    </row>
    <row r="17" spans="2:15" s="120" customFormat="1" ht="35.1" customHeight="1">
      <c r="B17" s="996"/>
      <c r="C17" s="984"/>
      <c r="D17" s="149">
        <f t="shared" si="0"/>
        <v>6</v>
      </c>
      <c r="E17" s="268" t="s">
        <v>142</v>
      </c>
      <c r="F17" s="112">
        <v>5</v>
      </c>
      <c r="G17" s="141" t="s">
        <v>562</v>
      </c>
      <c r="H17" s="112">
        <v>5</v>
      </c>
      <c r="I17" s="141" t="s">
        <v>562</v>
      </c>
      <c r="J17" s="119"/>
      <c r="K17" s="119"/>
      <c r="L17" s="119"/>
      <c r="M17" s="119"/>
      <c r="N17" s="119"/>
      <c r="O17" s="119"/>
    </row>
    <row r="18" spans="2:15" s="120" customFormat="1" ht="35.1" customHeight="1">
      <c r="B18" s="996"/>
      <c r="C18" s="984"/>
      <c r="D18" s="149">
        <f t="shared" si="0"/>
        <v>7</v>
      </c>
      <c r="E18" s="268" t="s">
        <v>86</v>
      </c>
      <c r="F18" s="112">
        <v>2</v>
      </c>
      <c r="G18" s="141" t="s">
        <v>560</v>
      </c>
      <c r="H18" s="112">
        <v>2</v>
      </c>
      <c r="I18" s="141" t="s">
        <v>694</v>
      </c>
      <c r="J18" s="119"/>
      <c r="K18" s="119"/>
      <c r="L18" s="119"/>
      <c r="M18" s="119"/>
      <c r="N18" s="119"/>
      <c r="O18" s="119"/>
    </row>
    <row r="19" spans="2:15" s="120" customFormat="1" ht="35.1" customHeight="1">
      <c r="B19" s="996"/>
      <c r="C19" s="984"/>
      <c r="D19" s="149">
        <f t="shared" si="0"/>
        <v>8</v>
      </c>
      <c r="E19" s="268" t="s">
        <v>87</v>
      </c>
      <c r="F19" s="112">
        <v>3</v>
      </c>
      <c r="G19" s="141" t="s">
        <v>561</v>
      </c>
      <c r="H19" s="112">
        <v>3</v>
      </c>
      <c r="I19" s="141" t="s">
        <v>695</v>
      </c>
      <c r="J19" s="119"/>
      <c r="K19" s="119"/>
      <c r="L19" s="119"/>
      <c r="M19" s="119"/>
      <c r="N19" s="119"/>
      <c r="O19" s="119"/>
    </row>
    <row r="20" spans="2:15" s="120" customFormat="1" ht="35.1" customHeight="1">
      <c r="B20" s="996"/>
      <c r="C20" s="984"/>
      <c r="D20" s="149">
        <f t="shared" si="0"/>
        <v>9</v>
      </c>
      <c r="E20" s="268" t="s">
        <v>88</v>
      </c>
      <c r="F20" s="112">
        <v>1</v>
      </c>
      <c r="G20" s="141" t="s">
        <v>559</v>
      </c>
      <c r="H20" s="112">
        <v>1</v>
      </c>
      <c r="I20" s="141" t="s">
        <v>696</v>
      </c>
      <c r="J20" s="119"/>
      <c r="K20" s="119"/>
      <c r="L20" s="119"/>
      <c r="M20" s="119"/>
      <c r="N20" s="119"/>
      <c r="O20" s="119"/>
    </row>
    <row r="21" spans="2:15" s="120" customFormat="1" ht="35.1" customHeight="1">
      <c r="B21" s="996"/>
      <c r="C21" s="984"/>
      <c r="D21" s="149">
        <f t="shared" si="0"/>
        <v>10</v>
      </c>
      <c r="E21" s="268" t="s">
        <v>89</v>
      </c>
      <c r="F21" s="112">
        <v>15</v>
      </c>
      <c r="G21" s="141" t="s">
        <v>572</v>
      </c>
      <c r="H21" s="112">
        <v>15</v>
      </c>
      <c r="I21" s="141" t="s">
        <v>572</v>
      </c>
      <c r="J21" s="119"/>
      <c r="K21" s="119"/>
      <c r="L21" s="119"/>
      <c r="M21" s="119"/>
      <c r="N21" s="119"/>
      <c r="O21" s="119"/>
    </row>
    <row r="22" spans="2:15" s="120" customFormat="1" ht="35.1" customHeight="1">
      <c r="B22" s="996"/>
      <c r="C22" s="984"/>
      <c r="D22" s="149">
        <f t="shared" si="0"/>
        <v>11</v>
      </c>
      <c r="E22" s="268" t="s">
        <v>149</v>
      </c>
      <c r="F22" s="112">
        <v>6</v>
      </c>
      <c r="G22" s="141" t="s">
        <v>563</v>
      </c>
      <c r="H22" s="112">
        <v>6</v>
      </c>
      <c r="I22" s="141" t="s">
        <v>697</v>
      </c>
      <c r="J22" s="119"/>
      <c r="K22" s="119"/>
      <c r="L22" s="119"/>
      <c r="M22" s="119"/>
      <c r="N22" s="119"/>
      <c r="O22" s="119"/>
    </row>
    <row r="23" spans="2:15" s="120" customFormat="1" ht="35.1" customHeight="1">
      <c r="B23" s="996"/>
      <c r="C23" s="984"/>
      <c r="D23" s="149">
        <f t="shared" si="0"/>
        <v>12</v>
      </c>
      <c r="E23" s="268" t="s">
        <v>150</v>
      </c>
      <c r="F23" s="112">
        <v>7</v>
      </c>
      <c r="G23" s="141" t="s">
        <v>564</v>
      </c>
      <c r="H23" s="112">
        <v>7</v>
      </c>
      <c r="I23" s="141" t="s">
        <v>698</v>
      </c>
      <c r="J23" s="119"/>
      <c r="K23" s="119"/>
      <c r="L23" s="119"/>
      <c r="M23" s="119"/>
      <c r="N23" s="119"/>
      <c r="O23" s="119"/>
    </row>
    <row r="24" spans="2:15" s="120" customFormat="1" ht="35.1" customHeight="1">
      <c r="B24" s="996"/>
      <c r="C24" s="984"/>
      <c r="D24" s="149">
        <f t="shared" si="0"/>
        <v>13</v>
      </c>
      <c r="E24" s="268" t="s">
        <v>151</v>
      </c>
      <c r="F24" s="112">
        <v>9</v>
      </c>
      <c r="G24" s="141" t="s">
        <v>566</v>
      </c>
      <c r="H24" s="112">
        <v>9</v>
      </c>
      <c r="I24" s="141" t="s">
        <v>699</v>
      </c>
      <c r="J24" s="119"/>
      <c r="K24" s="119"/>
      <c r="L24" s="119"/>
      <c r="M24" s="119"/>
      <c r="N24" s="119"/>
      <c r="O24" s="119"/>
    </row>
    <row r="25" spans="2:15" s="120" customFormat="1" ht="35.1" customHeight="1">
      <c r="B25" s="996"/>
      <c r="C25" s="984"/>
      <c r="D25" s="149">
        <f t="shared" si="0"/>
        <v>14</v>
      </c>
      <c r="E25" s="268" t="s">
        <v>152</v>
      </c>
      <c r="F25" s="112">
        <v>10</v>
      </c>
      <c r="G25" s="141" t="s">
        <v>567</v>
      </c>
      <c r="H25" s="112">
        <v>10</v>
      </c>
      <c r="I25" s="141" t="s">
        <v>567</v>
      </c>
      <c r="J25" s="119"/>
      <c r="K25" s="119"/>
      <c r="L25" s="119"/>
      <c r="M25" s="119"/>
      <c r="N25" s="119"/>
      <c r="O25" s="119"/>
    </row>
    <row r="26" spans="2:15" s="120" customFormat="1" ht="35.1" customHeight="1">
      <c r="B26" s="996"/>
      <c r="C26" s="984"/>
      <c r="D26" s="149">
        <f t="shared" si="0"/>
        <v>15</v>
      </c>
      <c r="E26" s="268" t="s">
        <v>449</v>
      </c>
      <c r="F26" s="112">
        <v>11</v>
      </c>
      <c r="G26" s="141" t="s">
        <v>568</v>
      </c>
      <c r="H26" s="112">
        <v>11</v>
      </c>
      <c r="I26" s="141" t="s">
        <v>700</v>
      </c>
      <c r="J26" s="119"/>
      <c r="K26" s="119"/>
      <c r="L26" s="119"/>
      <c r="M26" s="119"/>
      <c r="N26" s="119"/>
      <c r="O26" s="119"/>
    </row>
    <row r="27" spans="2:15" s="120" customFormat="1" ht="35.1" customHeight="1">
      <c r="B27" s="996"/>
      <c r="C27" s="984"/>
      <c r="D27" s="149">
        <f t="shared" si="0"/>
        <v>16</v>
      </c>
      <c r="E27" s="268" t="s">
        <v>154</v>
      </c>
      <c r="F27" s="112">
        <v>16</v>
      </c>
      <c r="G27" s="141" t="s">
        <v>573</v>
      </c>
      <c r="H27" s="148">
        <v>16</v>
      </c>
      <c r="I27" s="169" t="s">
        <v>701</v>
      </c>
      <c r="J27" s="119"/>
      <c r="K27" s="119"/>
      <c r="L27" s="119"/>
      <c r="M27" s="119"/>
      <c r="N27" s="119"/>
      <c r="O27" s="119"/>
    </row>
    <row r="28" spans="2:15" s="120" customFormat="1" ht="35.1" customHeight="1">
      <c r="B28" s="996"/>
      <c r="C28" s="984"/>
      <c r="D28" s="149">
        <f t="shared" si="0"/>
        <v>17</v>
      </c>
      <c r="E28" s="268" t="s">
        <v>153</v>
      </c>
      <c r="F28" s="136"/>
      <c r="G28" s="150"/>
      <c r="H28" s="790"/>
      <c r="I28" s="994"/>
      <c r="J28" s="119"/>
      <c r="K28" s="119"/>
      <c r="L28" s="119"/>
      <c r="M28" s="119"/>
      <c r="N28" s="119"/>
      <c r="O28" s="119"/>
    </row>
    <row r="29" spans="2:15" s="120" customFormat="1" ht="35.1" customHeight="1">
      <c r="B29" s="996"/>
      <c r="C29" s="984"/>
      <c r="D29" s="149">
        <f t="shared" si="0"/>
        <v>18</v>
      </c>
      <c r="E29" s="268" t="s">
        <v>90</v>
      </c>
      <c r="F29" s="136"/>
      <c r="G29" s="150"/>
      <c r="H29" s="791"/>
      <c r="I29" s="994"/>
      <c r="J29" s="119"/>
      <c r="K29" s="119"/>
      <c r="L29" s="119"/>
      <c r="M29" s="119"/>
      <c r="N29" s="119"/>
      <c r="O29" s="119"/>
    </row>
    <row r="30" spans="2:15" s="120" customFormat="1" ht="35.1" customHeight="1">
      <c r="B30" s="996"/>
      <c r="C30" s="984"/>
      <c r="D30" s="149">
        <f t="shared" si="0"/>
        <v>19</v>
      </c>
      <c r="E30" s="268" t="s">
        <v>448</v>
      </c>
      <c r="F30" s="112"/>
      <c r="G30" s="141"/>
      <c r="H30" s="791"/>
      <c r="I30" s="994"/>
      <c r="J30" s="119"/>
      <c r="K30" s="119"/>
      <c r="L30" s="119"/>
      <c r="M30" s="119"/>
      <c r="N30" s="119"/>
      <c r="O30" s="119"/>
    </row>
    <row r="31" spans="2:15" s="120" customFormat="1" ht="35.1" customHeight="1">
      <c r="B31" s="997"/>
      <c r="C31" s="985"/>
      <c r="D31" s="149">
        <f t="shared" si="0"/>
        <v>20</v>
      </c>
      <c r="E31" s="268" t="s">
        <v>445</v>
      </c>
      <c r="F31" s="136"/>
      <c r="G31" s="150"/>
      <c r="H31" s="792"/>
      <c r="I31" s="994"/>
      <c r="J31" s="119"/>
      <c r="K31" s="119"/>
      <c r="L31" s="119"/>
      <c r="M31" s="119"/>
      <c r="N31" s="119"/>
      <c r="O31" s="119"/>
    </row>
    <row r="32" spans="2:15" s="120" customFormat="1" ht="35.1" customHeight="1">
      <c r="B32" s="117"/>
      <c r="C32" s="111"/>
      <c r="D32" s="148"/>
      <c r="E32" s="775"/>
      <c r="H32" s="53"/>
      <c r="J32" s="119"/>
      <c r="K32" s="119"/>
      <c r="L32" s="119"/>
      <c r="M32" s="119"/>
      <c r="N32" s="119"/>
      <c r="O32" s="119"/>
    </row>
    <row r="33" spans="2:15" s="166" customFormat="1" ht="35.1" customHeight="1">
      <c r="B33" s="164">
        <v>2</v>
      </c>
      <c r="C33" s="823"/>
      <c r="D33" s="824" t="s">
        <v>1636</v>
      </c>
      <c r="E33" s="824"/>
      <c r="F33" s="824"/>
      <c r="G33" s="824"/>
      <c r="H33" s="824"/>
      <c r="I33" s="825"/>
      <c r="J33" s="165"/>
      <c r="K33" s="165"/>
      <c r="L33" s="165"/>
      <c r="M33" s="165"/>
      <c r="N33" s="165"/>
      <c r="O33" s="165"/>
    </row>
    <row r="34" spans="2:15" s="120" customFormat="1" ht="35.1" customHeight="1">
      <c r="B34" s="1001"/>
      <c r="C34" s="1000" t="s">
        <v>455</v>
      </c>
      <c r="D34" s="158">
        <v>1</v>
      </c>
      <c r="E34" s="775" t="s">
        <v>163</v>
      </c>
      <c r="F34" s="136"/>
      <c r="G34" s="150"/>
      <c r="H34" s="112"/>
      <c r="I34" s="144"/>
      <c r="J34" s="119"/>
      <c r="K34" s="119"/>
      <c r="L34" s="119"/>
      <c r="M34" s="119"/>
      <c r="N34" s="119"/>
      <c r="O34" s="119"/>
    </row>
    <row r="35" spans="2:15" s="120" customFormat="1" ht="35.1" customHeight="1">
      <c r="B35" s="1001"/>
      <c r="C35" s="1000"/>
      <c r="D35" s="158">
        <f>D34+1</f>
        <v>2</v>
      </c>
      <c r="E35" s="775" t="s">
        <v>164</v>
      </c>
      <c r="F35" s="136"/>
      <c r="G35" s="150"/>
      <c r="H35" s="112"/>
      <c r="I35" s="144"/>
      <c r="J35" s="119"/>
      <c r="K35" s="119"/>
      <c r="L35" s="119"/>
      <c r="M35" s="119"/>
      <c r="N35" s="119"/>
      <c r="O35" s="119"/>
    </row>
    <row r="36" spans="2:15" s="120" customFormat="1" ht="35.1" customHeight="1">
      <c r="B36" s="1001"/>
      <c r="C36" s="1000"/>
      <c r="D36" s="158">
        <f t="shared" ref="D36:D48" si="1">D35+1</f>
        <v>3</v>
      </c>
      <c r="E36" s="907" t="s">
        <v>447</v>
      </c>
      <c r="F36" s="112">
        <v>14</v>
      </c>
      <c r="G36" s="141" t="s">
        <v>571</v>
      </c>
      <c r="H36" s="112">
        <v>14</v>
      </c>
      <c r="I36" s="141" t="s">
        <v>571</v>
      </c>
      <c r="J36" s="119"/>
      <c r="K36" s="119"/>
      <c r="L36" s="119"/>
      <c r="M36" s="119"/>
      <c r="N36" s="119"/>
      <c r="O36" s="119"/>
    </row>
    <row r="37" spans="2:15" s="120" customFormat="1" ht="35.1" customHeight="1">
      <c r="B37" s="1001"/>
      <c r="C37" s="1000"/>
      <c r="D37" s="158">
        <f t="shared" si="1"/>
        <v>4</v>
      </c>
      <c r="E37" s="826" t="s">
        <v>165</v>
      </c>
      <c r="F37" s="136"/>
      <c r="G37" s="150"/>
      <c r="H37" s="136"/>
      <c r="I37" s="150"/>
      <c r="J37" s="119"/>
      <c r="K37" s="119"/>
      <c r="L37" s="119"/>
      <c r="M37" s="119"/>
      <c r="N37" s="119"/>
      <c r="O37" s="119"/>
    </row>
    <row r="38" spans="2:15" s="120" customFormat="1" ht="35.1" customHeight="1">
      <c r="B38" s="1001"/>
      <c r="C38" s="1000"/>
      <c r="D38" s="159">
        <f t="shared" si="1"/>
        <v>5</v>
      </c>
      <c r="E38" s="907" t="s">
        <v>446</v>
      </c>
      <c r="F38" s="112">
        <v>13</v>
      </c>
      <c r="G38" s="141" t="s">
        <v>570</v>
      </c>
      <c r="H38" s="112">
        <v>13</v>
      </c>
      <c r="I38" s="141" t="s">
        <v>570</v>
      </c>
      <c r="J38" s="119"/>
      <c r="K38" s="119"/>
      <c r="L38" s="119"/>
      <c r="M38" s="119"/>
      <c r="N38" s="119"/>
      <c r="O38" s="119"/>
    </row>
    <row r="39" spans="2:15" s="120" customFormat="1" ht="35.1" customHeight="1">
      <c r="B39" s="1001"/>
      <c r="C39" s="1000"/>
      <c r="D39" s="158">
        <f t="shared" si="1"/>
        <v>6</v>
      </c>
      <c r="E39" s="775" t="s">
        <v>166</v>
      </c>
      <c r="F39" s="136"/>
      <c r="G39" s="150"/>
      <c r="H39" s="112"/>
      <c r="I39" s="144"/>
      <c r="J39" s="119"/>
      <c r="K39" s="119"/>
      <c r="L39" s="119"/>
      <c r="M39" s="119"/>
      <c r="N39" s="119"/>
      <c r="O39" s="119"/>
    </row>
    <row r="40" spans="2:15" s="120" customFormat="1" ht="35.1" customHeight="1">
      <c r="B40" s="1001"/>
      <c r="C40" s="1000"/>
      <c r="D40" s="158">
        <f t="shared" si="1"/>
        <v>7</v>
      </c>
      <c r="E40" s="775" t="s">
        <v>167</v>
      </c>
      <c r="F40" s="136"/>
      <c r="G40" s="150"/>
      <c r="H40" s="112"/>
      <c r="I40" s="144"/>
      <c r="J40" s="119"/>
      <c r="K40" s="119"/>
      <c r="L40" s="119"/>
      <c r="M40" s="119"/>
      <c r="N40" s="119"/>
      <c r="O40" s="119"/>
    </row>
    <row r="41" spans="2:15" s="120" customFormat="1" ht="35.1" customHeight="1">
      <c r="B41" s="1001"/>
      <c r="C41" s="1000"/>
      <c r="D41" s="158">
        <f t="shared" si="1"/>
        <v>8</v>
      </c>
      <c r="E41" s="775" t="s">
        <v>168</v>
      </c>
      <c r="F41" s="136"/>
      <c r="G41" s="150"/>
      <c r="H41" s="112"/>
      <c r="I41" s="144"/>
      <c r="J41" s="119"/>
      <c r="K41" s="119"/>
      <c r="L41" s="119"/>
      <c r="M41" s="119"/>
      <c r="N41" s="119"/>
      <c r="O41" s="119"/>
    </row>
    <row r="42" spans="2:15" s="120" customFormat="1" ht="35.1" customHeight="1">
      <c r="B42" s="1001"/>
      <c r="C42" s="1000"/>
      <c r="D42" s="158">
        <f t="shared" si="1"/>
        <v>9</v>
      </c>
      <c r="E42" s="775" t="s">
        <v>169</v>
      </c>
      <c r="F42" s="136"/>
      <c r="G42" s="150"/>
      <c r="H42" s="112"/>
      <c r="I42" s="144"/>
      <c r="J42" s="119"/>
      <c r="K42" s="119"/>
      <c r="L42" s="119"/>
      <c r="M42" s="119"/>
      <c r="N42" s="119"/>
      <c r="O42" s="119"/>
    </row>
    <row r="43" spans="2:15" s="120" customFormat="1" ht="35.1" customHeight="1">
      <c r="B43" s="1001"/>
      <c r="C43" s="1000"/>
      <c r="D43" s="158">
        <f t="shared" si="1"/>
        <v>10</v>
      </c>
      <c r="E43" s="775" t="s">
        <v>170</v>
      </c>
      <c r="F43" s="136"/>
      <c r="G43" s="150"/>
      <c r="H43" s="112"/>
      <c r="I43" s="144"/>
      <c r="J43" s="119"/>
      <c r="K43" s="119"/>
      <c r="L43" s="119"/>
      <c r="M43" s="119"/>
      <c r="N43" s="119"/>
      <c r="O43" s="119"/>
    </row>
    <row r="44" spans="2:15" s="120" customFormat="1" ht="35.1" customHeight="1">
      <c r="B44" s="1001"/>
      <c r="C44" s="1000"/>
      <c r="D44" s="158">
        <f t="shared" si="1"/>
        <v>11</v>
      </c>
      <c r="E44" s="775" t="s">
        <v>171</v>
      </c>
      <c r="F44" s="136"/>
      <c r="G44" s="150"/>
      <c r="H44" s="112"/>
      <c r="I44" s="144"/>
      <c r="J44" s="119"/>
      <c r="K44" s="119"/>
      <c r="L44" s="119"/>
      <c r="M44" s="119"/>
      <c r="N44" s="119"/>
      <c r="O44" s="119"/>
    </row>
    <row r="45" spans="2:15" s="120" customFormat="1" ht="35.1" customHeight="1">
      <c r="B45" s="1001"/>
      <c r="C45" s="1000"/>
      <c r="D45" s="158">
        <f t="shared" si="1"/>
        <v>12</v>
      </c>
      <c r="E45" s="775" t="s">
        <v>177</v>
      </c>
      <c r="F45" s="136"/>
      <c r="G45" s="150"/>
      <c r="H45" s="112"/>
      <c r="I45" s="144"/>
      <c r="J45" s="119"/>
      <c r="K45" s="119"/>
      <c r="L45" s="119"/>
      <c r="M45" s="119"/>
      <c r="N45" s="119"/>
      <c r="O45" s="119"/>
    </row>
    <row r="46" spans="2:15" s="120" customFormat="1" ht="35.1" customHeight="1">
      <c r="B46" s="1001"/>
      <c r="C46" s="1000"/>
      <c r="D46" s="158">
        <f t="shared" si="1"/>
        <v>13</v>
      </c>
      <c r="E46" s="775" t="s">
        <v>176</v>
      </c>
      <c r="F46" s="136"/>
      <c r="G46" s="150"/>
      <c r="H46" s="112"/>
      <c r="I46" s="144"/>
      <c r="J46" s="119"/>
      <c r="K46" s="119"/>
      <c r="L46" s="119"/>
      <c r="M46" s="119"/>
      <c r="N46" s="119"/>
      <c r="O46" s="119"/>
    </row>
    <row r="47" spans="2:15" s="120" customFormat="1" ht="35.1" customHeight="1">
      <c r="B47" s="1001"/>
      <c r="C47" s="1000"/>
      <c r="D47" s="158">
        <f t="shared" si="1"/>
        <v>14</v>
      </c>
      <c r="E47" s="775" t="s">
        <v>172</v>
      </c>
      <c r="F47" s="136"/>
      <c r="G47" s="150"/>
      <c r="H47" s="112"/>
      <c r="I47" s="144"/>
      <c r="J47" s="119"/>
      <c r="K47" s="119"/>
      <c r="L47" s="119"/>
      <c r="M47" s="119"/>
      <c r="N47" s="119"/>
      <c r="O47" s="119"/>
    </row>
    <row r="48" spans="2:15" s="120" customFormat="1" ht="35.1" customHeight="1">
      <c r="B48" s="1001"/>
      <c r="C48" s="1000"/>
      <c r="D48" s="158">
        <f t="shared" si="1"/>
        <v>15</v>
      </c>
      <c r="E48" s="775" t="s">
        <v>175</v>
      </c>
      <c r="F48" s="136"/>
      <c r="G48" s="150"/>
      <c r="H48" s="112"/>
      <c r="I48" s="144"/>
      <c r="J48" s="119"/>
      <c r="K48" s="119"/>
      <c r="L48" s="119"/>
      <c r="M48" s="119"/>
      <c r="N48" s="119"/>
      <c r="O48" s="119"/>
    </row>
    <row r="49" spans="2:15" s="120" customFormat="1" ht="35.1" customHeight="1">
      <c r="B49" s="827"/>
      <c r="C49" s="828"/>
      <c r="D49" s="989" t="s">
        <v>1635</v>
      </c>
      <c r="E49" s="989"/>
      <c r="F49" s="828"/>
      <c r="G49" s="828"/>
      <c r="H49" s="828"/>
      <c r="I49" s="267"/>
      <c r="J49" s="119"/>
      <c r="K49" s="119"/>
      <c r="L49" s="119"/>
      <c r="M49" s="119"/>
      <c r="N49" s="119"/>
      <c r="O49" s="119"/>
    </row>
    <row r="50" spans="2:15" s="120" customFormat="1" ht="35.1" customHeight="1">
      <c r="B50" s="117">
        <v>3</v>
      </c>
      <c r="C50" s="126" t="s">
        <v>92</v>
      </c>
      <c r="D50" s="149">
        <v>1</v>
      </c>
      <c r="E50" s="268" t="s">
        <v>178</v>
      </c>
      <c r="F50" s="112">
        <v>1</v>
      </c>
      <c r="G50" s="145" t="s">
        <v>479</v>
      </c>
      <c r="H50" s="112">
        <v>1</v>
      </c>
      <c r="I50" s="145" t="s">
        <v>479</v>
      </c>
      <c r="J50" s="119"/>
      <c r="K50" s="119"/>
      <c r="L50" s="119"/>
      <c r="M50" s="119"/>
      <c r="N50" s="119"/>
      <c r="O50" s="119"/>
    </row>
    <row r="51" spans="2:15" s="120" customFormat="1" ht="35.1" customHeight="1">
      <c r="B51" s="995"/>
      <c r="C51" s="983" t="s">
        <v>456</v>
      </c>
      <c r="D51" s="149">
        <v>2</v>
      </c>
      <c r="E51" s="268" t="s">
        <v>183</v>
      </c>
      <c r="F51" s="112">
        <v>2</v>
      </c>
      <c r="G51" s="145" t="s">
        <v>480</v>
      </c>
      <c r="H51" s="112">
        <v>2</v>
      </c>
      <c r="I51" s="145" t="s">
        <v>480</v>
      </c>
      <c r="J51" s="119"/>
      <c r="K51" s="119"/>
      <c r="L51" s="119"/>
      <c r="M51" s="119"/>
      <c r="N51" s="119"/>
      <c r="O51" s="119"/>
    </row>
    <row r="52" spans="2:15" s="120" customFormat="1" ht="35.1" customHeight="1">
      <c r="B52" s="996"/>
      <c r="C52" s="984"/>
      <c r="D52" s="149">
        <v>3</v>
      </c>
      <c r="E52" s="268" t="s">
        <v>184</v>
      </c>
      <c r="F52" s="112">
        <v>3</v>
      </c>
      <c r="G52" s="145" t="s">
        <v>481</v>
      </c>
      <c r="H52" s="112">
        <v>3</v>
      </c>
      <c r="I52" s="145" t="s">
        <v>481</v>
      </c>
      <c r="J52" s="119"/>
      <c r="K52" s="119"/>
      <c r="L52" s="119"/>
      <c r="M52" s="119"/>
      <c r="N52" s="119"/>
      <c r="O52" s="119"/>
    </row>
    <row r="53" spans="2:15" s="120" customFormat="1" ht="35.1" customHeight="1">
      <c r="B53" s="996"/>
      <c r="C53" s="984"/>
      <c r="D53" s="149">
        <v>4</v>
      </c>
      <c r="E53" s="268" t="s">
        <v>185</v>
      </c>
      <c r="F53" s="112">
        <v>4</v>
      </c>
      <c r="G53" s="145" t="s">
        <v>482</v>
      </c>
      <c r="H53" s="112">
        <v>4</v>
      </c>
      <c r="I53" s="145" t="s">
        <v>482</v>
      </c>
      <c r="J53" s="119"/>
      <c r="K53" s="119"/>
      <c r="L53" s="119"/>
      <c r="M53" s="119"/>
      <c r="N53" s="119"/>
      <c r="O53" s="119"/>
    </row>
    <row r="54" spans="2:15" s="120" customFormat="1" ht="35.1" customHeight="1">
      <c r="B54" s="996"/>
      <c r="C54" s="984"/>
      <c r="D54" s="149">
        <v>5</v>
      </c>
      <c r="E54" s="268" t="s">
        <v>186</v>
      </c>
      <c r="F54" s="112">
        <v>5</v>
      </c>
      <c r="G54" s="145" t="s">
        <v>483</v>
      </c>
      <c r="H54" s="112">
        <v>5</v>
      </c>
      <c r="I54" s="145" t="s">
        <v>483</v>
      </c>
      <c r="J54" s="119"/>
      <c r="K54" s="119"/>
      <c r="L54" s="119"/>
      <c r="M54" s="119"/>
      <c r="N54" s="119"/>
      <c r="O54" s="119"/>
    </row>
    <row r="55" spans="2:15" s="120" customFormat="1" ht="35.1" customHeight="1">
      <c r="B55" s="996"/>
      <c r="C55" s="984"/>
      <c r="D55" s="149">
        <v>6</v>
      </c>
      <c r="E55" s="268" t="s">
        <v>187</v>
      </c>
      <c r="F55" s="112">
        <v>6</v>
      </c>
      <c r="G55" s="145" t="s">
        <v>484</v>
      </c>
      <c r="H55" s="112">
        <v>6</v>
      </c>
      <c r="I55" s="145" t="s">
        <v>484</v>
      </c>
      <c r="J55" s="119"/>
      <c r="K55" s="119"/>
      <c r="L55" s="119"/>
      <c r="M55" s="119"/>
      <c r="N55" s="119"/>
      <c r="O55" s="119"/>
    </row>
    <row r="56" spans="2:15" s="120" customFormat="1" ht="35.1" customHeight="1">
      <c r="B56" s="996"/>
      <c r="C56" s="984"/>
      <c r="D56" s="149">
        <v>7</v>
      </c>
      <c r="E56" s="268" t="s">
        <v>188</v>
      </c>
      <c r="F56" s="112">
        <v>7</v>
      </c>
      <c r="G56" s="145" t="s">
        <v>485</v>
      </c>
      <c r="H56" s="112">
        <v>7</v>
      </c>
      <c r="I56" s="145" t="s">
        <v>485</v>
      </c>
      <c r="J56" s="119"/>
      <c r="K56" s="119"/>
      <c r="L56" s="119"/>
      <c r="M56" s="119"/>
      <c r="N56" s="119"/>
      <c r="O56" s="119"/>
    </row>
    <row r="57" spans="2:15" s="120" customFormat="1" ht="35.1" customHeight="1">
      <c r="B57" s="996"/>
      <c r="C57" s="984"/>
      <c r="D57" s="149">
        <v>8</v>
      </c>
      <c r="E57" s="268" t="s">
        <v>189</v>
      </c>
      <c r="F57" s="132">
        <v>8</v>
      </c>
      <c r="G57" s="793" t="s">
        <v>486</v>
      </c>
      <c r="H57" s="132">
        <v>8</v>
      </c>
      <c r="I57" s="793" t="s">
        <v>717</v>
      </c>
      <c r="J57" s="119"/>
      <c r="K57" s="119"/>
      <c r="L57" s="119"/>
      <c r="M57" s="119"/>
      <c r="N57" s="119"/>
      <c r="O57" s="119"/>
    </row>
    <row r="58" spans="2:15" s="120" customFormat="1" ht="35.1" customHeight="1">
      <c r="B58" s="996"/>
      <c r="C58" s="984"/>
      <c r="D58" s="149">
        <v>9</v>
      </c>
      <c r="E58" s="269" t="s">
        <v>190</v>
      </c>
      <c r="F58" s="142"/>
      <c r="G58" s="143"/>
      <c r="H58" s="794"/>
      <c r="I58" s="172"/>
      <c r="J58" s="119"/>
      <c r="K58" s="119"/>
      <c r="L58" s="119"/>
      <c r="M58" s="119"/>
      <c r="N58" s="119"/>
      <c r="O58" s="119"/>
    </row>
    <row r="59" spans="2:15" s="120" customFormat="1" ht="35.1" customHeight="1">
      <c r="B59" s="996"/>
      <c r="C59" s="984"/>
      <c r="D59" s="149">
        <v>10</v>
      </c>
      <c r="E59" s="268" t="s">
        <v>179</v>
      </c>
      <c r="F59" s="136"/>
      <c r="G59" s="143"/>
      <c r="H59" s="795">
        <v>9</v>
      </c>
      <c r="I59" s="173" t="s">
        <v>718</v>
      </c>
      <c r="J59" s="119"/>
      <c r="K59" s="119"/>
      <c r="L59" s="119"/>
      <c r="M59" s="119"/>
      <c r="N59" s="119"/>
      <c r="O59" s="119"/>
    </row>
    <row r="60" spans="2:15" s="120" customFormat="1" ht="35.1" customHeight="1">
      <c r="B60" s="996"/>
      <c r="C60" s="984"/>
      <c r="D60" s="149">
        <v>11</v>
      </c>
      <c r="E60" s="268" t="s">
        <v>180</v>
      </c>
      <c r="F60" s="136"/>
      <c r="G60" s="143"/>
      <c r="H60" s="171"/>
      <c r="I60" s="143"/>
      <c r="J60" s="119"/>
      <c r="K60" s="119"/>
      <c r="L60" s="119"/>
      <c r="M60" s="119"/>
      <c r="N60" s="119"/>
      <c r="O60" s="119"/>
    </row>
    <row r="61" spans="2:15" s="120" customFormat="1" ht="35.1" customHeight="1">
      <c r="B61" s="996"/>
      <c r="C61" s="984"/>
      <c r="D61" s="149">
        <v>12</v>
      </c>
      <c r="E61" s="268" t="s">
        <v>181</v>
      </c>
      <c r="F61" s="136"/>
      <c r="G61" s="143"/>
      <c r="H61" s="171"/>
      <c r="I61" s="143"/>
      <c r="J61" s="119"/>
      <c r="K61" s="119"/>
      <c r="L61" s="119"/>
      <c r="M61" s="119"/>
      <c r="N61" s="119"/>
      <c r="O61" s="119"/>
    </row>
    <row r="62" spans="2:15" s="120" customFormat="1" ht="35.1" customHeight="1">
      <c r="B62" s="996"/>
      <c r="C62" s="984"/>
      <c r="D62" s="149">
        <v>13</v>
      </c>
      <c r="E62" s="268" t="s">
        <v>182</v>
      </c>
      <c r="F62" s="112">
        <v>9</v>
      </c>
      <c r="G62" s="145" t="s">
        <v>487</v>
      </c>
      <c r="H62" s="112">
        <v>10</v>
      </c>
      <c r="I62" s="145" t="s">
        <v>719</v>
      </c>
      <c r="J62" s="119"/>
      <c r="K62" s="119"/>
      <c r="L62" s="119"/>
      <c r="M62" s="119"/>
      <c r="N62" s="119"/>
      <c r="O62" s="119"/>
    </row>
    <row r="63" spans="2:15" s="120" customFormat="1" ht="35.1" customHeight="1">
      <c r="B63" s="996"/>
      <c r="C63" s="984"/>
      <c r="D63" s="149">
        <v>14</v>
      </c>
      <c r="E63" s="268" t="s">
        <v>191</v>
      </c>
      <c r="F63" s="136"/>
      <c r="G63" s="150"/>
      <c r="H63" s="136"/>
      <c r="I63" s="150"/>
      <c r="J63" s="119"/>
      <c r="K63" s="119"/>
      <c r="L63" s="119"/>
      <c r="M63" s="119"/>
      <c r="N63" s="119"/>
      <c r="O63" s="119"/>
    </row>
    <row r="64" spans="2:15" s="120" customFormat="1" ht="35.1" customHeight="1">
      <c r="B64" s="996"/>
      <c r="C64" s="984"/>
      <c r="D64" s="149">
        <v>15</v>
      </c>
      <c r="E64" s="268" t="s">
        <v>192</v>
      </c>
      <c r="F64" s="112">
        <v>10</v>
      </c>
      <c r="G64" s="145" t="s">
        <v>488</v>
      </c>
      <c r="H64" s="112">
        <v>11</v>
      </c>
      <c r="I64" s="145" t="s">
        <v>488</v>
      </c>
      <c r="J64" s="119"/>
      <c r="K64" s="119"/>
      <c r="L64" s="119"/>
      <c r="M64" s="119"/>
      <c r="N64" s="119"/>
      <c r="O64" s="119"/>
    </row>
    <row r="65" spans="2:15" s="120" customFormat="1" ht="35.1" customHeight="1">
      <c r="B65" s="996"/>
      <c r="C65" s="984"/>
      <c r="D65" s="149">
        <v>16</v>
      </c>
      <c r="E65" s="268" t="s">
        <v>193</v>
      </c>
      <c r="F65" s="112">
        <v>11</v>
      </c>
      <c r="G65" s="145" t="s">
        <v>489</v>
      </c>
      <c r="H65" s="112">
        <v>12</v>
      </c>
      <c r="I65" s="145" t="s">
        <v>489</v>
      </c>
      <c r="J65" s="119"/>
      <c r="K65" s="119"/>
      <c r="L65" s="119"/>
      <c r="M65" s="119"/>
      <c r="N65" s="119"/>
      <c r="O65" s="119"/>
    </row>
    <row r="66" spans="2:15" s="120" customFormat="1" ht="35.1" customHeight="1">
      <c r="B66" s="996"/>
      <c r="C66" s="984"/>
      <c r="D66" s="149">
        <v>17</v>
      </c>
      <c r="E66" s="268" t="s">
        <v>194</v>
      </c>
      <c r="F66" s="112">
        <v>12</v>
      </c>
      <c r="G66" s="145" t="s">
        <v>490</v>
      </c>
      <c r="H66" s="112">
        <v>13</v>
      </c>
      <c r="I66" s="145" t="s">
        <v>490</v>
      </c>
      <c r="J66" s="119"/>
      <c r="K66" s="119"/>
      <c r="L66" s="119"/>
      <c r="M66" s="119"/>
      <c r="N66" s="119"/>
      <c r="O66" s="119"/>
    </row>
    <row r="67" spans="2:15" s="120" customFormat="1" ht="35.1" customHeight="1">
      <c r="B67" s="996"/>
      <c r="C67" s="984"/>
      <c r="D67" s="149">
        <v>18</v>
      </c>
      <c r="E67" s="268" t="s">
        <v>195</v>
      </c>
      <c r="F67" s="170"/>
      <c r="G67" s="170"/>
      <c r="H67" s="783"/>
      <c r="I67" s="170"/>
      <c r="J67" s="119"/>
      <c r="K67" s="119"/>
      <c r="L67" s="119"/>
      <c r="M67" s="119"/>
      <c r="N67" s="119"/>
      <c r="O67" s="119"/>
    </row>
    <row r="68" spans="2:15" s="120" customFormat="1" ht="35.1" customHeight="1">
      <c r="B68" s="996"/>
      <c r="C68" s="984"/>
      <c r="D68" s="149">
        <v>19</v>
      </c>
      <c r="E68" s="268" t="s">
        <v>196</v>
      </c>
      <c r="F68" s="112">
        <v>13</v>
      </c>
      <c r="G68" s="145" t="s">
        <v>491</v>
      </c>
      <c r="H68" s="112">
        <v>14</v>
      </c>
      <c r="I68" s="145" t="s">
        <v>491</v>
      </c>
      <c r="J68" s="119"/>
      <c r="K68" s="119"/>
      <c r="L68" s="119"/>
      <c r="M68" s="119"/>
      <c r="N68" s="119"/>
      <c r="O68" s="119"/>
    </row>
    <row r="69" spans="2:15" s="120" customFormat="1" ht="35.1" customHeight="1">
      <c r="B69" s="996"/>
      <c r="C69" s="984"/>
      <c r="D69" s="149">
        <v>20</v>
      </c>
      <c r="E69" s="268" t="s">
        <v>197</v>
      </c>
      <c r="F69" s="112">
        <v>14</v>
      </c>
      <c r="G69" s="145" t="s">
        <v>492</v>
      </c>
      <c r="H69" s="112">
        <v>15</v>
      </c>
      <c r="I69" s="145" t="s">
        <v>492</v>
      </c>
      <c r="J69" s="119"/>
      <c r="K69" s="119"/>
      <c r="L69" s="119"/>
      <c r="M69" s="119"/>
      <c r="N69" s="119"/>
      <c r="O69" s="119"/>
    </row>
    <row r="70" spans="2:15" s="120" customFormat="1" ht="35.1" customHeight="1">
      <c r="B70" s="996"/>
      <c r="C70" s="984"/>
      <c r="D70" s="149">
        <v>21</v>
      </c>
      <c r="E70" s="268" t="s">
        <v>198</v>
      </c>
      <c r="F70" s="136"/>
      <c r="G70" s="150"/>
      <c r="H70" s="136"/>
      <c r="I70" s="150"/>
      <c r="J70" s="119"/>
      <c r="K70" s="119"/>
      <c r="L70" s="119"/>
      <c r="M70" s="119"/>
      <c r="N70" s="119"/>
      <c r="O70" s="119"/>
    </row>
    <row r="71" spans="2:15" s="120" customFormat="1" ht="35.1" customHeight="1">
      <c r="B71" s="996"/>
      <c r="C71" s="984"/>
      <c r="D71" s="149">
        <v>22</v>
      </c>
      <c r="E71" s="268" t="s">
        <v>199</v>
      </c>
      <c r="F71" s="136"/>
      <c r="G71" s="150"/>
      <c r="H71" s="136"/>
      <c r="I71" s="150"/>
      <c r="J71" s="119"/>
      <c r="K71" s="119"/>
      <c r="L71" s="119"/>
      <c r="M71" s="119"/>
      <c r="N71" s="119"/>
      <c r="O71" s="119"/>
    </row>
    <row r="72" spans="2:15" s="120" customFormat="1" ht="35.1" customHeight="1">
      <c r="B72" s="996"/>
      <c r="C72" s="984"/>
      <c r="D72" s="149">
        <v>23</v>
      </c>
      <c r="E72" s="268" t="s">
        <v>200</v>
      </c>
      <c r="F72" s="136"/>
      <c r="G72" s="150"/>
      <c r="H72" s="136"/>
      <c r="I72" s="150"/>
      <c r="J72" s="119"/>
      <c r="K72" s="119"/>
      <c r="L72" s="119"/>
      <c r="M72" s="119"/>
      <c r="N72" s="119"/>
      <c r="O72" s="119"/>
    </row>
    <row r="73" spans="2:15" s="120" customFormat="1" ht="35.1" customHeight="1">
      <c r="B73" s="997"/>
      <c r="C73" s="985"/>
      <c r="D73" s="149">
        <v>24</v>
      </c>
      <c r="E73" s="268" t="s">
        <v>201</v>
      </c>
      <c r="F73" s="136"/>
      <c r="G73" s="150"/>
      <c r="H73" s="136"/>
      <c r="I73" s="150"/>
      <c r="J73" s="119"/>
      <c r="K73" s="119"/>
      <c r="L73" s="119"/>
      <c r="M73" s="119"/>
      <c r="N73" s="119"/>
      <c r="O73" s="119"/>
    </row>
    <row r="74" spans="2:15" s="166" customFormat="1" ht="35.1" customHeight="1">
      <c r="B74" s="167"/>
      <c r="C74" s="168"/>
      <c r="D74" s="980" t="s">
        <v>1638</v>
      </c>
      <c r="E74" s="981"/>
      <c r="F74" s="981"/>
      <c r="G74" s="981"/>
      <c r="H74" s="981"/>
      <c r="I74" s="982"/>
      <c r="J74" s="165"/>
      <c r="K74" s="165"/>
      <c r="L74" s="165"/>
      <c r="M74" s="165"/>
      <c r="N74" s="165"/>
      <c r="O74" s="165"/>
    </row>
    <row r="75" spans="2:15" s="120" customFormat="1" ht="35.1" customHeight="1">
      <c r="B75" s="1002">
        <v>4</v>
      </c>
      <c r="C75" s="126" t="s">
        <v>93</v>
      </c>
      <c r="D75" s="149">
        <v>1</v>
      </c>
      <c r="E75" s="775" t="s">
        <v>94</v>
      </c>
      <c r="F75" s="170"/>
      <c r="G75" s="170"/>
      <c r="H75" s="783"/>
      <c r="I75" s="170"/>
      <c r="J75" s="119"/>
      <c r="K75" s="119"/>
      <c r="L75" s="119"/>
      <c r="M75" s="119"/>
      <c r="N75" s="119"/>
      <c r="O75" s="119"/>
    </row>
    <row r="76" spans="2:15" s="120" customFormat="1" ht="35.1" customHeight="1">
      <c r="B76" s="1003"/>
      <c r="C76" s="983" t="s">
        <v>457</v>
      </c>
      <c r="D76" s="149">
        <v>2</v>
      </c>
      <c r="E76" s="775" t="s">
        <v>95</v>
      </c>
      <c r="F76" s="112">
        <v>1</v>
      </c>
      <c r="G76" s="146" t="s">
        <v>493</v>
      </c>
      <c r="H76" s="112">
        <v>1</v>
      </c>
      <c r="I76" s="146" t="s">
        <v>493</v>
      </c>
      <c r="J76" s="119"/>
      <c r="K76" s="119"/>
      <c r="L76" s="119"/>
      <c r="M76" s="119"/>
      <c r="N76" s="119"/>
      <c r="O76" s="119"/>
    </row>
    <row r="77" spans="2:15" s="120" customFormat="1" ht="35.1" customHeight="1">
      <c r="B77" s="1003"/>
      <c r="C77" s="984"/>
      <c r="D77" s="149">
        <v>3</v>
      </c>
      <c r="E77" s="775" t="s">
        <v>96</v>
      </c>
      <c r="F77" s="112">
        <v>2</v>
      </c>
      <c r="G77" s="146" t="s">
        <v>494</v>
      </c>
      <c r="H77" s="112">
        <v>2</v>
      </c>
      <c r="I77" s="146" t="s">
        <v>494</v>
      </c>
      <c r="J77" s="119"/>
      <c r="K77" s="119"/>
      <c r="L77" s="119"/>
      <c r="M77" s="119"/>
      <c r="N77" s="119"/>
      <c r="O77" s="119"/>
    </row>
    <row r="78" spans="2:15" s="120" customFormat="1" ht="35.1" customHeight="1">
      <c r="B78" s="1003"/>
      <c r="C78" s="984"/>
      <c r="D78" s="149">
        <v>4</v>
      </c>
      <c r="E78" s="775" t="s">
        <v>97</v>
      </c>
      <c r="F78" s="112">
        <v>3</v>
      </c>
      <c r="G78" s="146" t="s">
        <v>495</v>
      </c>
      <c r="H78" s="112">
        <v>3</v>
      </c>
      <c r="I78" s="146" t="s">
        <v>495</v>
      </c>
      <c r="J78" s="119"/>
      <c r="K78" s="119"/>
      <c r="L78" s="119"/>
      <c r="M78" s="119"/>
      <c r="N78" s="119"/>
      <c r="O78" s="119"/>
    </row>
    <row r="79" spans="2:15" s="120" customFormat="1" ht="35.1" customHeight="1">
      <c r="B79" s="1003"/>
      <c r="C79" s="984"/>
      <c r="D79" s="149">
        <v>5</v>
      </c>
      <c r="E79" s="775" t="s">
        <v>98</v>
      </c>
      <c r="F79" s="112">
        <v>4</v>
      </c>
      <c r="G79" s="146" t="s">
        <v>496</v>
      </c>
      <c r="H79" s="112">
        <v>4</v>
      </c>
      <c r="I79" s="146" t="s">
        <v>496</v>
      </c>
      <c r="J79" s="119"/>
      <c r="K79" s="119"/>
      <c r="L79" s="119"/>
      <c r="M79" s="119"/>
      <c r="N79" s="119"/>
      <c r="O79" s="119"/>
    </row>
    <row r="80" spans="2:15" s="120" customFormat="1" ht="35.1" customHeight="1">
      <c r="B80" s="1003"/>
      <c r="C80" s="984"/>
      <c r="D80" s="149">
        <v>6</v>
      </c>
      <c r="E80" s="775" t="s">
        <v>99</v>
      </c>
      <c r="F80" s="112">
        <v>5</v>
      </c>
      <c r="G80" s="146" t="s">
        <v>497</v>
      </c>
      <c r="H80" s="112">
        <v>5</v>
      </c>
      <c r="I80" s="146" t="s">
        <v>497</v>
      </c>
      <c r="J80" s="119"/>
      <c r="K80" s="119"/>
      <c r="L80" s="119"/>
      <c r="M80" s="119"/>
      <c r="N80" s="119"/>
      <c r="O80" s="119"/>
    </row>
    <row r="81" spans="2:15" s="120" customFormat="1" ht="35.1" customHeight="1">
      <c r="B81" s="1003"/>
      <c r="C81" s="984"/>
      <c r="D81" s="149">
        <v>7</v>
      </c>
      <c r="E81" s="775" t="s">
        <v>100</v>
      </c>
      <c r="F81" s="112">
        <v>6</v>
      </c>
      <c r="G81" s="146" t="s">
        <v>498</v>
      </c>
      <c r="H81" s="112">
        <v>6</v>
      </c>
      <c r="I81" s="146" t="s">
        <v>498</v>
      </c>
      <c r="J81" s="119"/>
      <c r="K81" s="119"/>
      <c r="L81" s="119"/>
      <c r="M81" s="119"/>
      <c r="N81" s="119"/>
      <c r="O81" s="119"/>
    </row>
    <row r="82" spans="2:15" s="120" customFormat="1" ht="35.1" customHeight="1">
      <c r="B82" s="1003"/>
      <c r="C82" s="984"/>
      <c r="D82" s="149">
        <v>8</v>
      </c>
      <c r="E82" s="775" t="s">
        <v>101</v>
      </c>
      <c r="F82" s="136"/>
      <c r="G82" s="150"/>
      <c r="H82" s="136"/>
      <c r="I82" s="150"/>
      <c r="J82" s="119"/>
      <c r="K82" s="119"/>
      <c r="L82" s="119"/>
      <c r="M82" s="119"/>
      <c r="N82" s="119"/>
      <c r="O82" s="119"/>
    </row>
    <row r="83" spans="2:15" s="120" customFormat="1" ht="35.1" customHeight="1">
      <c r="B83" s="1003"/>
      <c r="C83" s="984"/>
      <c r="D83" s="149">
        <v>9</v>
      </c>
      <c r="E83" s="775" t="s">
        <v>102</v>
      </c>
      <c r="F83" s="112">
        <v>7</v>
      </c>
      <c r="G83" s="146" t="s">
        <v>499</v>
      </c>
      <c r="H83" s="112">
        <v>7</v>
      </c>
      <c r="I83" s="146" t="s">
        <v>499</v>
      </c>
      <c r="J83" s="119"/>
      <c r="K83" s="119"/>
      <c r="L83" s="119"/>
      <c r="M83" s="119"/>
      <c r="N83" s="119"/>
      <c r="O83" s="119"/>
    </row>
    <row r="84" spans="2:15" s="120" customFormat="1" ht="35.1" customHeight="1">
      <c r="B84" s="1003"/>
      <c r="C84" s="984"/>
      <c r="D84" s="149">
        <v>10</v>
      </c>
      <c r="E84" s="775" t="s">
        <v>103</v>
      </c>
      <c r="F84" s="112">
        <v>8</v>
      </c>
      <c r="G84" s="146" t="s">
        <v>500</v>
      </c>
      <c r="H84" s="112">
        <v>8</v>
      </c>
      <c r="I84" s="146" t="s">
        <v>500</v>
      </c>
      <c r="J84" s="119"/>
      <c r="K84" s="119"/>
      <c r="L84" s="119"/>
      <c r="M84" s="119"/>
      <c r="N84" s="119"/>
      <c r="O84" s="119"/>
    </row>
    <row r="85" spans="2:15" s="120" customFormat="1" ht="35.1" customHeight="1">
      <c r="B85" s="1003"/>
      <c r="C85" s="984"/>
      <c r="D85" s="149">
        <v>11</v>
      </c>
      <c r="E85" s="775" t="s">
        <v>104</v>
      </c>
      <c r="F85" s="112">
        <v>9</v>
      </c>
      <c r="G85" s="146" t="s">
        <v>516</v>
      </c>
      <c r="H85" s="112">
        <v>9</v>
      </c>
      <c r="I85" s="146" t="s">
        <v>516</v>
      </c>
      <c r="J85" s="119"/>
      <c r="K85" s="119"/>
      <c r="L85" s="119"/>
      <c r="M85" s="119"/>
      <c r="N85" s="119"/>
      <c r="O85" s="119"/>
    </row>
    <row r="86" spans="2:15" s="120" customFormat="1" ht="35.1" customHeight="1">
      <c r="B86" s="1003"/>
      <c r="C86" s="984"/>
      <c r="D86" s="149">
        <v>12</v>
      </c>
      <c r="E86" s="775" t="s">
        <v>105</v>
      </c>
      <c r="F86" s="112">
        <v>10</v>
      </c>
      <c r="G86" s="146" t="s">
        <v>501</v>
      </c>
      <c r="H86" s="112">
        <v>10</v>
      </c>
      <c r="I86" s="146" t="s">
        <v>501</v>
      </c>
      <c r="J86" s="119"/>
      <c r="K86" s="119"/>
      <c r="L86" s="119"/>
      <c r="M86" s="119"/>
      <c r="N86" s="119"/>
      <c r="O86" s="119"/>
    </row>
    <row r="87" spans="2:15" s="120" customFormat="1" ht="35.1" customHeight="1">
      <c r="B87" s="1003"/>
      <c r="C87" s="984"/>
      <c r="D87" s="149">
        <v>13</v>
      </c>
      <c r="E87" s="775" t="s">
        <v>106</v>
      </c>
      <c r="F87" s="136"/>
      <c r="G87" s="150"/>
      <c r="H87" s="136"/>
      <c r="I87" s="150"/>
      <c r="J87" s="119"/>
      <c r="K87" s="119"/>
      <c r="L87" s="119"/>
      <c r="M87" s="119"/>
      <c r="N87" s="119"/>
      <c r="O87" s="119"/>
    </row>
    <row r="88" spans="2:15" s="120" customFormat="1" ht="35.1" customHeight="1">
      <c r="B88" s="1004"/>
      <c r="C88" s="985"/>
      <c r="D88" s="149">
        <v>14</v>
      </c>
      <c r="E88" s="775" t="s">
        <v>107</v>
      </c>
      <c r="F88" s="112">
        <v>11</v>
      </c>
      <c r="G88" s="146" t="s">
        <v>502</v>
      </c>
      <c r="H88" s="112">
        <v>11</v>
      </c>
      <c r="I88" s="146" t="s">
        <v>502</v>
      </c>
      <c r="J88" s="119"/>
      <c r="K88" s="119"/>
      <c r="L88" s="119"/>
      <c r="M88" s="119"/>
      <c r="N88" s="119"/>
      <c r="O88" s="119"/>
    </row>
    <row r="89" spans="2:15" s="166" customFormat="1" ht="35.1" customHeight="1">
      <c r="B89" s="167"/>
      <c r="C89" s="168"/>
      <c r="D89" s="990" t="s">
        <v>1639</v>
      </c>
      <c r="E89" s="989"/>
      <c r="F89" s="989"/>
      <c r="G89" s="989"/>
      <c r="H89" s="989"/>
      <c r="I89" s="991"/>
      <c r="J89" s="165"/>
      <c r="K89" s="165"/>
      <c r="L89" s="165"/>
      <c r="M89" s="165"/>
      <c r="N89" s="165"/>
      <c r="O89" s="165"/>
    </row>
    <row r="90" spans="2:15" s="120" customFormat="1" ht="35.1" customHeight="1">
      <c r="B90" s="117">
        <v>5</v>
      </c>
      <c r="C90" s="126" t="str">
        <f>'[1]Lamp_1 (Konstruksi 1-199)'!$D$531</f>
        <v>PEKERJAAN DINDING</v>
      </c>
      <c r="D90" s="149">
        <v>1</v>
      </c>
      <c r="E90" s="775" t="s">
        <v>450</v>
      </c>
      <c r="F90" s="112">
        <v>1</v>
      </c>
      <c r="G90" s="147" t="s">
        <v>503</v>
      </c>
      <c r="H90" s="112">
        <v>1</v>
      </c>
      <c r="I90" s="147" t="s">
        <v>503</v>
      </c>
      <c r="J90" s="114"/>
      <c r="K90" s="114"/>
      <c r="L90" s="114"/>
      <c r="M90" s="114"/>
      <c r="N90" s="114"/>
      <c r="O90" s="119"/>
    </row>
    <row r="91" spans="2:15" s="120" customFormat="1" ht="35.1" customHeight="1">
      <c r="B91" s="995"/>
      <c r="C91" s="983" t="s">
        <v>459</v>
      </c>
      <c r="D91" s="149">
        <v>2</v>
      </c>
      <c r="E91" s="775" t="s">
        <v>108</v>
      </c>
      <c r="F91" s="112">
        <v>2</v>
      </c>
      <c r="G91" s="147" t="s">
        <v>504</v>
      </c>
      <c r="H91" s="112">
        <v>2</v>
      </c>
      <c r="I91" s="147" t="s">
        <v>504</v>
      </c>
      <c r="J91" s="114"/>
      <c r="K91" s="114"/>
      <c r="L91" s="114"/>
      <c r="M91" s="114"/>
      <c r="N91" s="114"/>
      <c r="O91" s="119"/>
    </row>
    <row r="92" spans="2:15" s="120" customFormat="1" ht="35.1" customHeight="1">
      <c r="B92" s="996"/>
      <c r="C92" s="984"/>
      <c r="D92" s="149">
        <v>3</v>
      </c>
      <c r="E92" s="775" t="s">
        <v>109</v>
      </c>
      <c r="F92" s="112">
        <v>3</v>
      </c>
      <c r="G92" s="147" t="s">
        <v>505</v>
      </c>
      <c r="H92" s="112">
        <v>3</v>
      </c>
      <c r="I92" s="147" t="s">
        <v>505</v>
      </c>
      <c r="J92" s="114"/>
      <c r="K92" s="114"/>
      <c r="L92" s="114"/>
      <c r="M92" s="114"/>
      <c r="N92" s="114"/>
      <c r="O92" s="119"/>
    </row>
    <row r="93" spans="2:15" s="120" customFormat="1" ht="35.1" customHeight="1">
      <c r="B93" s="996"/>
      <c r="C93" s="984"/>
      <c r="D93" s="149">
        <v>4</v>
      </c>
      <c r="E93" s="775" t="s">
        <v>110</v>
      </c>
      <c r="F93" s="112">
        <v>4</v>
      </c>
      <c r="G93" s="147" t="s">
        <v>506</v>
      </c>
      <c r="H93" s="112">
        <v>4</v>
      </c>
      <c r="I93" s="147" t="s">
        <v>506</v>
      </c>
      <c r="J93" s="114"/>
      <c r="K93" s="114"/>
      <c r="L93" s="114"/>
      <c r="M93" s="114"/>
      <c r="N93" s="114"/>
      <c r="O93" s="119"/>
    </row>
    <row r="94" spans="2:15" s="120" customFormat="1" ht="35.1" customHeight="1">
      <c r="B94" s="996"/>
      <c r="C94" s="984"/>
      <c r="D94" s="149">
        <v>5</v>
      </c>
      <c r="E94" s="775" t="s">
        <v>111</v>
      </c>
      <c r="F94" s="112">
        <v>5</v>
      </c>
      <c r="G94" s="147" t="s">
        <v>507</v>
      </c>
      <c r="H94" s="112">
        <v>5</v>
      </c>
      <c r="I94" s="147" t="s">
        <v>507</v>
      </c>
      <c r="J94" s="114"/>
      <c r="K94" s="114"/>
      <c r="L94" s="114"/>
      <c r="M94" s="114"/>
      <c r="N94" s="114"/>
      <c r="O94" s="119"/>
    </row>
    <row r="95" spans="2:15" s="120" customFormat="1" ht="35.1" customHeight="1">
      <c r="B95" s="996"/>
      <c r="C95" s="984"/>
      <c r="D95" s="149">
        <v>6</v>
      </c>
      <c r="E95" s="775" t="s">
        <v>112</v>
      </c>
      <c r="F95" s="112">
        <v>6</v>
      </c>
      <c r="G95" s="796" t="s">
        <v>508</v>
      </c>
      <c r="H95" s="132">
        <v>6</v>
      </c>
      <c r="I95" s="147" t="s">
        <v>508</v>
      </c>
      <c r="J95" s="119"/>
      <c r="K95" s="119"/>
      <c r="L95" s="119"/>
      <c r="M95" s="119"/>
      <c r="N95" s="119"/>
      <c r="O95" s="119"/>
    </row>
    <row r="96" spans="2:15" s="120" customFormat="1" ht="35.1" customHeight="1">
      <c r="B96" s="996"/>
      <c r="C96" s="984"/>
      <c r="D96" s="149">
        <v>7</v>
      </c>
      <c r="E96" s="775" t="s">
        <v>113</v>
      </c>
      <c r="F96" s="112">
        <v>7</v>
      </c>
      <c r="G96" s="147" t="s">
        <v>509</v>
      </c>
      <c r="H96" s="112">
        <v>7</v>
      </c>
      <c r="I96" s="147" t="s">
        <v>509</v>
      </c>
      <c r="J96" s="119"/>
      <c r="K96" s="119"/>
      <c r="L96" s="119"/>
      <c r="M96" s="119"/>
      <c r="N96" s="119"/>
      <c r="O96" s="119"/>
    </row>
    <row r="97" spans="2:15" s="120" customFormat="1" ht="35.1" customHeight="1">
      <c r="B97" s="996"/>
      <c r="C97" s="984"/>
      <c r="D97" s="149">
        <v>8</v>
      </c>
      <c r="E97" s="775" t="s">
        <v>114</v>
      </c>
      <c r="F97" s="112">
        <v>8</v>
      </c>
      <c r="G97" s="147" t="s">
        <v>510</v>
      </c>
      <c r="H97" s="112">
        <v>8</v>
      </c>
      <c r="I97" s="147" t="s">
        <v>510</v>
      </c>
      <c r="J97" s="119"/>
      <c r="K97" s="119"/>
      <c r="L97" s="119"/>
      <c r="M97" s="119"/>
      <c r="N97" s="119"/>
      <c r="O97" s="119"/>
    </row>
    <row r="98" spans="2:15" s="120" customFormat="1" ht="35.1" customHeight="1">
      <c r="B98" s="996"/>
      <c r="C98" s="984"/>
      <c r="D98" s="149">
        <v>9</v>
      </c>
      <c r="E98" s="775" t="s">
        <v>115</v>
      </c>
      <c r="F98" s="112">
        <v>9</v>
      </c>
      <c r="G98" s="147" t="s">
        <v>511</v>
      </c>
      <c r="H98" s="112">
        <v>9</v>
      </c>
      <c r="I98" s="147" t="s">
        <v>511</v>
      </c>
      <c r="J98" s="119"/>
      <c r="K98" s="119"/>
      <c r="L98" s="119"/>
      <c r="M98" s="119"/>
      <c r="N98" s="119"/>
      <c r="O98" s="119"/>
    </row>
    <row r="99" spans="2:15" s="120" customFormat="1" ht="35.1" customHeight="1">
      <c r="B99" s="996"/>
      <c r="C99" s="984"/>
      <c r="D99" s="149">
        <v>10</v>
      </c>
      <c r="E99" s="775" t="s">
        <v>116</v>
      </c>
      <c r="F99" s="112">
        <v>10</v>
      </c>
      <c r="G99" s="147" t="s">
        <v>512</v>
      </c>
      <c r="H99" s="112">
        <v>10</v>
      </c>
      <c r="I99" s="147" t="s">
        <v>512</v>
      </c>
      <c r="J99" s="119"/>
      <c r="K99" s="119"/>
      <c r="L99" s="119"/>
      <c r="M99" s="119"/>
      <c r="N99" s="119"/>
      <c r="O99" s="119"/>
    </row>
    <row r="100" spans="2:15" s="120" customFormat="1" ht="35.1" customHeight="1">
      <c r="B100" s="996"/>
      <c r="C100" s="984"/>
      <c r="D100" s="149">
        <v>11</v>
      </c>
      <c r="E100" s="775" t="s">
        <v>117</v>
      </c>
      <c r="F100" s="112">
        <v>11</v>
      </c>
      <c r="G100" s="147" t="s">
        <v>513</v>
      </c>
      <c r="H100" s="112">
        <v>11</v>
      </c>
      <c r="I100" s="147" t="s">
        <v>513</v>
      </c>
      <c r="J100" s="119"/>
      <c r="K100" s="119"/>
      <c r="L100" s="119"/>
      <c r="M100" s="119"/>
      <c r="N100" s="119"/>
      <c r="O100" s="119"/>
    </row>
    <row r="101" spans="2:15" s="120" customFormat="1" ht="35.1" customHeight="1">
      <c r="B101" s="996"/>
      <c r="C101" s="984"/>
      <c r="D101" s="149">
        <v>12</v>
      </c>
      <c r="E101" s="775" t="s">
        <v>451</v>
      </c>
      <c r="F101" s="112">
        <v>12</v>
      </c>
      <c r="G101" s="147" t="s">
        <v>514</v>
      </c>
      <c r="H101" s="112">
        <v>12</v>
      </c>
      <c r="I101" s="147" t="s">
        <v>514</v>
      </c>
      <c r="J101" s="119"/>
      <c r="K101" s="119"/>
      <c r="L101" s="119"/>
      <c r="M101" s="119"/>
      <c r="N101" s="113"/>
      <c r="O101" s="119"/>
    </row>
    <row r="102" spans="2:15" s="120" customFormat="1" ht="35.1" customHeight="1">
      <c r="B102" s="996"/>
      <c r="C102" s="984"/>
      <c r="D102" s="149">
        <v>13</v>
      </c>
      <c r="E102" s="775" t="s">
        <v>118</v>
      </c>
      <c r="F102" s="112">
        <v>13</v>
      </c>
      <c r="G102" s="147" t="s">
        <v>515</v>
      </c>
      <c r="H102" s="112">
        <v>13</v>
      </c>
      <c r="I102" s="147" t="s">
        <v>515</v>
      </c>
      <c r="J102" s="119"/>
      <c r="K102" s="119"/>
      <c r="L102" s="119"/>
      <c r="M102" s="119"/>
      <c r="N102" s="119"/>
      <c r="O102" s="119"/>
    </row>
    <row r="103" spans="2:15" s="120" customFormat="1" ht="35.1" customHeight="1">
      <c r="B103" s="996"/>
      <c r="C103" s="984"/>
      <c r="D103" s="149">
        <v>14</v>
      </c>
      <c r="E103" s="775" t="s">
        <v>119</v>
      </c>
      <c r="F103" s="112">
        <v>14</v>
      </c>
      <c r="G103" s="147" t="s">
        <v>517</v>
      </c>
      <c r="H103" s="112">
        <v>14</v>
      </c>
      <c r="I103" s="147" t="s">
        <v>517</v>
      </c>
      <c r="J103" s="119"/>
      <c r="K103" s="119"/>
      <c r="L103" s="119"/>
      <c r="M103" s="119"/>
      <c r="N103" s="119"/>
      <c r="O103" s="119"/>
    </row>
    <row r="104" spans="2:15" s="120" customFormat="1" ht="35.1" customHeight="1">
      <c r="B104" s="996"/>
      <c r="C104" s="984"/>
      <c r="D104" s="149">
        <v>15</v>
      </c>
      <c r="E104" s="775" t="s">
        <v>120</v>
      </c>
      <c r="F104" s="112">
        <v>15</v>
      </c>
      <c r="G104" s="147" t="s">
        <v>518</v>
      </c>
      <c r="H104" s="112">
        <v>15</v>
      </c>
      <c r="I104" s="147" t="s">
        <v>518</v>
      </c>
      <c r="J104" s="119"/>
      <c r="K104" s="119"/>
      <c r="L104" s="119"/>
      <c r="M104" s="119"/>
      <c r="N104" s="119"/>
      <c r="O104" s="119"/>
    </row>
    <row r="105" spans="2:15" s="120" customFormat="1" ht="35.1" customHeight="1">
      <c r="B105" s="996"/>
      <c r="C105" s="984"/>
      <c r="D105" s="149">
        <v>16</v>
      </c>
      <c r="E105" s="775" t="s">
        <v>121</v>
      </c>
      <c r="F105" s="112">
        <v>16</v>
      </c>
      <c r="G105" s="147" t="s">
        <v>519</v>
      </c>
      <c r="H105" s="112">
        <v>16</v>
      </c>
      <c r="I105" s="147" t="s">
        <v>519</v>
      </c>
      <c r="J105" s="119"/>
      <c r="K105" s="119"/>
      <c r="L105" s="119"/>
      <c r="M105" s="119"/>
      <c r="N105" s="119"/>
      <c r="O105" s="119"/>
    </row>
    <row r="106" spans="2:15" s="120" customFormat="1" ht="35.1" customHeight="1">
      <c r="B106" s="996"/>
      <c r="C106" s="984"/>
      <c r="D106" s="149">
        <v>17</v>
      </c>
      <c r="E106" s="775" t="s">
        <v>122</v>
      </c>
      <c r="F106" s="112">
        <v>17</v>
      </c>
      <c r="G106" s="147" t="s">
        <v>520</v>
      </c>
      <c r="H106" s="112">
        <v>17</v>
      </c>
      <c r="I106" s="147" t="s">
        <v>520</v>
      </c>
      <c r="J106" s="119"/>
      <c r="K106" s="119"/>
      <c r="L106" s="119"/>
      <c r="M106" s="119"/>
      <c r="N106" s="119"/>
      <c r="O106" s="119"/>
    </row>
    <row r="107" spans="2:15" s="120" customFormat="1" ht="35.1" customHeight="1">
      <c r="B107" s="996"/>
      <c r="C107" s="984"/>
      <c r="D107" s="149">
        <v>18</v>
      </c>
      <c r="E107" s="775" t="s">
        <v>123</v>
      </c>
      <c r="F107" s="112">
        <v>18</v>
      </c>
      <c r="G107" s="147" t="s">
        <v>521</v>
      </c>
      <c r="H107" s="112">
        <v>18</v>
      </c>
      <c r="I107" s="147" t="s">
        <v>521</v>
      </c>
      <c r="J107" s="119"/>
      <c r="K107" s="119"/>
      <c r="L107" s="119"/>
      <c r="M107" s="119"/>
      <c r="N107" s="119"/>
      <c r="O107" s="119"/>
    </row>
    <row r="108" spans="2:15" s="120" customFormat="1" ht="35.1" customHeight="1">
      <c r="B108" s="996"/>
      <c r="C108" s="984"/>
      <c r="D108" s="149">
        <v>19</v>
      </c>
      <c r="E108" s="775" t="s">
        <v>124</v>
      </c>
      <c r="F108" s="112">
        <v>19</v>
      </c>
      <c r="G108" s="147" t="s">
        <v>522</v>
      </c>
      <c r="H108" s="112">
        <v>19</v>
      </c>
      <c r="I108" s="147" t="s">
        <v>522</v>
      </c>
      <c r="J108" s="119"/>
      <c r="K108" s="119"/>
      <c r="L108" s="119"/>
      <c r="M108" s="119"/>
      <c r="N108" s="119"/>
      <c r="O108" s="119"/>
    </row>
    <row r="109" spans="2:15" s="120" customFormat="1" ht="35.1" customHeight="1">
      <c r="B109" s="996"/>
      <c r="C109" s="984"/>
      <c r="D109" s="149">
        <v>20</v>
      </c>
      <c r="E109" s="775" t="s">
        <v>125</v>
      </c>
      <c r="F109" s="112">
        <v>20</v>
      </c>
      <c r="G109" s="147" t="s">
        <v>523</v>
      </c>
      <c r="H109" s="112">
        <v>20</v>
      </c>
      <c r="I109" s="147" t="s">
        <v>523</v>
      </c>
      <c r="J109" s="119"/>
      <c r="K109" s="119"/>
      <c r="L109" s="119"/>
      <c r="M109" s="119"/>
      <c r="N109" s="119"/>
      <c r="O109" s="119"/>
    </row>
    <row r="110" spans="2:15" s="120" customFormat="1" ht="35.1" customHeight="1">
      <c r="B110" s="996"/>
      <c r="C110" s="984"/>
      <c r="D110" s="149">
        <v>21</v>
      </c>
      <c r="E110" s="775" t="s">
        <v>126</v>
      </c>
      <c r="F110" s="112">
        <v>21</v>
      </c>
      <c r="G110" s="147" t="s">
        <v>524</v>
      </c>
      <c r="H110" s="112">
        <v>21</v>
      </c>
      <c r="I110" s="147" t="s">
        <v>524</v>
      </c>
      <c r="J110" s="119"/>
      <c r="K110" s="119"/>
      <c r="L110" s="119"/>
      <c r="M110" s="119"/>
      <c r="N110" s="119"/>
      <c r="O110" s="119"/>
    </row>
    <row r="111" spans="2:15" s="120" customFormat="1" ht="35.1" customHeight="1">
      <c r="B111" s="996"/>
      <c r="C111" s="984"/>
      <c r="D111" s="149">
        <v>22</v>
      </c>
      <c r="E111" s="775" t="s">
        <v>127</v>
      </c>
      <c r="F111" s="136"/>
      <c r="G111" s="150"/>
      <c r="H111" s="136"/>
      <c r="I111" s="150"/>
      <c r="J111" s="119"/>
      <c r="K111" s="119"/>
      <c r="L111" s="119"/>
      <c r="M111" s="119"/>
      <c r="N111" s="119"/>
      <c r="O111" s="119"/>
    </row>
    <row r="112" spans="2:15" s="120" customFormat="1" ht="35.1" customHeight="1">
      <c r="B112" s="996"/>
      <c r="C112" s="984"/>
      <c r="D112" s="149">
        <v>23</v>
      </c>
      <c r="E112" s="775" t="s">
        <v>128</v>
      </c>
      <c r="F112" s="132">
        <v>22</v>
      </c>
      <c r="G112" s="147" t="s">
        <v>525</v>
      </c>
      <c r="H112" s="132">
        <v>22</v>
      </c>
      <c r="I112" s="147" t="s">
        <v>525</v>
      </c>
      <c r="J112" s="119"/>
      <c r="K112" s="119"/>
      <c r="L112" s="119"/>
      <c r="M112" s="119"/>
      <c r="N112" s="119"/>
      <c r="O112" s="119"/>
    </row>
    <row r="113" spans="2:15" s="120" customFormat="1" ht="35.1" customHeight="1">
      <c r="B113" s="996"/>
      <c r="C113" s="984"/>
      <c r="D113" s="149">
        <v>24</v>
      </c>
      <c r="E113" s="775" t="s">
        <v>129</v>
      </c>
      <c r="F113" s="171"/>
      <c r="G113" s="143"/>
      <c r="H113" s="171"/>
      <c r="I113" s="150"/>
      <c r="J113" s="119"/>
      <c r="K113" s="119"/>
      <c r="L113" s="119"/>
      <c r="M113" s="119"/>
      <c r="N113" s="119"/>
      <c r="O113" s="119"/>
    </row>
    <row r="114" spans="2:15" s="120" customFormat="1" ht="35.1" customHeight="1">
      <c r="B114" s="996"/>
      <c r="C114" s="984"/>
      <c r="D114" s="149">
        <v>25</v>
      </c>
      <c r="E114" s="775" t="s">
        <v>130</v>
      </c>
      <c r="F114" s="171"/>
      <c r="G114" s="143"/>
      <c r="H114" s="171"/>
      <c r="I114" s="150"/>
      <c r="J114" s="119"/>
      <c r="K114" s="119"/>
      <c r="L114" s="119"/>
      <c r="M114" s="119"/>
      <c r="N114" s="119"/>
      <c r="O114" s="119"/>
    </row>
    <row r="115" spans="2:15" s="120" customFormat="1" ht="35.1" customHeight="1">
      <c r="B115" s="996"/>
      <c r="C115" s="984"/>
      <c r="D115" s="149">
        <v>26</v>
      </c>
      <c r="E115" s="775" t="s">
        <v>131</v>
      </c>
      <c r="F115" s="132">
        <v>23</v>
      </c>
      <c r="G115" s="147" t="s">
        <v>526</v>
      </c>
      <c r="H115" s="132">
        <v>23</v>
      </c>
      <c r="I115" s="147" t="s">
        <v>526</v>
      </c>
      <c r="J115" s="119"/>
      <c r="K115" s="119"/>
      <c r="L115" s="119"/>
      <c r="M115" s="119"/>
      <c r="N115" s="119"/>
      <c r="O115" s="119"/>
    </row>
    <row r="116" spans="2:15" s="120" customFormat="1" ht="35.1" customHeight="1">
      <c r="B116" s="996"/>
      <c r="C116" s="984"/>
      <c r="D116" s="149">
        <v>27</v>
      </c>
      <c r="E116" s="775" t="s">
        <v>132</v>
      </c>
      <c r="F116" s="112">
        <v>24</v>
      </c>
      <c r="G116" s="147" t="s">
        <v>527</v>
      </c>
      <c r="H116" s="112">
        <v>24</v>
      </c>
      <c r="I116" s="147" t="s">
        <v>527</v>
      </c>
      <c r="J116" s="119"/>
      <c r="K116" s="119"/>
      <c r="L116" s="119"/>
      <c r="M116" s="119"/>
      <c r="N116" s="119"/>
      <c r="O116" s="119"/>
    </row>
    <row r="117" spans="2:15" s="120" customFormat="1" ht="35.1" customHeight="1">
      <c r="B117" s="997"/>
      <c r="C117" s="985"/>
      <c r="D117" s="149">
        <v>28</v>
      </c>
      <c r="E117" s="775" t="s">
        <v>133</v>
      </c>
      <c r="F117" s="136"/>
      <c r="G117" s="150"/>
      <c r="H117" s="136"/>
      <c r="I117" s="150"/>
      <c r="J117" s="119"/>
      <c r="K117" s="119"/>
      <c r="L117" s="119"/>
      <c r="M117" s="119"/>
      <c r="N117" s="119"/>
      <c r="O117" s="119"/>
    </row>
    <row r="118" spans="2:15" s="120" customFormat="1" ht="35.1" customHeight="1">
      <c r="B118" s="130"/>
      <c r="C118" s="131"/>
      <c r="D118" s="149"/>
      <c r="E118" s="775"/>
      <c r="F118" s="112">
        <v>25</v>
      </c>
      <c r="G118" s="147" t="s">
        <v>528</v>
      </c>
      <c r="H118" s="132"/>
      <c r="I118" s="147"/>
      <c r="J118" s="119"/>
      <c r="K118" s="119"/>
      <c r="L118" s="119"/>
      <c r="M118" s="119"/>
      <c r="N118" s="119"/>
      <c r="O118" s="119"/>
    </row>
    <row r="119" spans="2:15" s="120" customFormat="1" ht="35.1" customHeight="1">
      <c r="B119" s="130"/>
      <c r="C119" s="131"/>
      <c r="D119" s="149"/>
      <c r="E119" s="775"/>
      <c r="F119" s="112">
        <v>26</v>
      </c>
      <c r="G119" s="147" t="s">
        <v>529</v>
      </c>
      <c r="H119" s="132"/>
      <c r="I119" s="147"/>
      <c r="J119" s="119"/>
      <c r="K119" s="119"/>
      <c r="L119" s="119"/>
      <c r="M119" s="119"/>
      <c r="N119" s="119"/>
      <c r="O119" s="119"/>
    </row>
    <row r="120" spans="2:15" s="166" customFormat="1" ht="35.1" customHeight="1">
      <c r="B120" s="167"/>
      <c r="C120" s="168"/>
      <c r="D120" s="990" t="s">
        <v>1640</v>
      </c>
      <c r="E120" s="989"/>
      <c r="F120" s="989"/>
      <c r="G120" s="989"/>
      <c r="H120" s="989"/>
      <c r="I120" s="991"/>
      <c r="J120" s="165"/>
      <c r="K120" s="165"/>
      <c r="L120" s="165"/>
      <c r="M120" s="165"/>
      <c r="N120" s="165"/>
      <c r="O120" s="165"/>
    </row>
    <row r="121" spans="2:15" s="120" customFormat="1" ht="35.1" customHeight="1">
      <c r="B121" s="117">
        <v>6</v>
      </c>
      <c r="C121" s="127" t="str">
        <f>'[1]Lamp_1 (Konstruksi 1-199)'!$D$815</f>
        <v>PEKERJAAN BETON</v>
      </c>
      <c r="D121" s="149">
        <v>1</v>
      </c>
      <c r="E121" s="775" t="s">
        <v>218</v>
      </c>
      <c r="F121" s="112">
        <v>1</v>
      </c>
      <c r="G121" s="118" t="s">
        <v>530</v>
      </c>
      <c r="H121" s="112">
        <v>1</v>
      </c>
      <c r="I121" s="118" t="s">
        <v>530</v>
      </c>
      <c r="J121" s="119"/>
      <c r="K121" s="119"/>
      <c r="L121" s="119"/>
      <c r="M121" s="119"/>
      <c r="N121" s="119"/>
      <c r="O121" s="119"/>
    </row>
    <row r="122" spans="2:15" s="120" customFormat="1" ht="35.1" customHeight="1">
      <c r="B122" s="995"/>
      <c r="C122" s="983" t="s">
        <v>463</v>
      </c>
      <c r="D122" s="149">
        <v>2</v>
      </c>
      <c r="E122" s="775" t="s">
        <v>219</v>
      </c>
      <c r="F122" s="112">
        <v>2</v>
      </c>
      <c r="G122" s="118" t="s">
        <v>531</v>
      </c>
      <c r="H122" s="112">
        <v>2</v>
      </c>
      <c r="I122" s="118" t="s">
        <v>531</v>
      </c>
      <c r="J122" s="119"/>
      <c r="K122" s="119"/>
      <c r="L122" s="119"/>
      <c r="M122" s="119"/>
      <c r="N122" s="119"/>
      <c r="O122" s="119"/>
    </row>
    <row r="123" spans="2:15" s="120" customFormat="1" ht="35.1" customHeight="1">
      <c r="B123" s="996"/>
      <c r="C123" s="984"/>
      <c r="D123" s="149">
        <v>3</v>
      </c>
      <c r="E123" s="775" t="s">
        <v>220</v>
      </c>
      <c r="F123" s="112">
        <v>3</v>
      </c>
      <c r="G123" s="118" t="s">
        <v>532</v>
      </c>
      <c r="H123" s="112">
        <v>3</v>
      </c>
      <c r="I123" s="118" t="s">
        <v>532</v>
      </c>
      <c r="J123" s="119"/>
      <c r="K123" s="119"/>
      <c r="L123" s="119"/>
      <c r="M123" s="119"/>
      <c r="N123" s="119"/>
      <c r="O123" s="119"/>
    </row>
    <row r="124" spans="2:15" s="120" customFormat="1" ht="35.1" customHeight="1">
      <c r="B124" s="996"/>
      <c r="C124" s="984"/>
      <c r="D124" s="149">
        <v>4</v>
      </c>
      <c r="E124" s="775" t="s">
        <v>221</v>
      </c>
      <c r="F124" s="112">
        <v>4</v>
      </c>
      <c r="G124" s="118" t="s">
        <v>533</v>
      </c>
      <c r="H124" s="112">
        <v>4</v>
      </c>
      <c r="I124" s="118" t="s">
        <v>533</v>
      </c>
      <c r="J124" s="119"/>
      <c r="K124" s="119"/>
      <c r="L124" s="119"/>
      <c r="M124" s="119"/>
      <c r="N124" s="119"/>
      <c r="O124" s="119"/>
    </row>
    <row r="125" spans="2:15" s="120" customFormat="1" ht="35.1" customHeight="1">
      <c r="B125" s="996"/>
      <c r="C125" s="984"/>
      <c r="D125" s="149">
        <v>5</v>
      </c>
      <c r="E125" s="775" t="s">
        <v>222</v>
      </c>
      <c r="F125" s="112">
        <v>5</v>
      </c>
      <c r="G125" s="118" t="s">
        <v>534</v>
      </c>
      <c r="H125" s="112">
        <v>5</v>
      </c>
      <c r="I125" s="118" t="s">
        <v>534</v>
      </c>
      <c r="J125" s="119"/>
      <c r="K125" s="119"/>
      <c r="L125" s="119"/>
      <c r="M125" s="119"/>
      <c r="N125" s="119"/>
      <c r="O125" s="119"/>
    </row>
    <row r="126" spans="2:15" s="120" customFormat="1" ht="35.1" customHeight="1">
      <c r="B126" s="996"/>
      <c r="C126" s="984"/>
      <c r="D126" s="149">
        <v>6</v>
      </c>
      <c r="E126" s="775" t="s">
        <v>223</v>
      </c>
      <c r="F126" s="112">
        <v>6</v>
      </c>
      <c r="G126" s="118" t="s">
        <v>535</v>
      </c>
      <c r="H126" s="112">
        <v>6</v>
      </c>
      <c r="I126" s="118" t="s">
        <v>535</v>
      </c>
      <c r="J126" s="119"/>
      <c r="K126" s="119"/>
      <c r="L126" s="119"/>
      <c r="M126" s="119"/>
      <c r="N126" s="119"/>
      <c r="O126" s="119"/>
    </row>
    <row r="127" spans="2:15" s="120" customFormat="1" ht="35.1" customHeight="1">
      <c r="B127" s="996"/>
      <c r="C127" s="984"/>
      <c r="D127" s="149">
        <v>7</v>
      </c>
      <c r="E127" s="775" t="s">
        <v>224</v>
      </c>
      <c r="F127" s="112">
        <v>7</v>
      </c>
      <c r="G127" s="118" t="s">
        <v>536</v>
      </c>
      <c r="H127" s="112">
        <v>7</v>
      </c>
      <c r="I127" s="118" t="s">
        <v>536</v>
      </c>
      <c r="J127" s="119"/>
      <c r="K127" s="119"/>
      <c r="L127" s="119"/>
      <c r="M127" s="119"/>
      <c r="N127" s="119"/>
      <c r="O127" s="119"/>
    </row>
    <row r="128" spans="2:15" s="120" customFormat="1" ht="35.1" customHeight="1">
      <c r="B128" s="996"/>
      <c r="C128" s="984"/>
      <c r="D128" s="149">
        <v>8</v>
      </c>
      <c r="E128" s="775" t="s">
        <v>225</v>
      </c>
      <c r="F128" s="112">
        <v>8</v>
      </c>
      <c r="G128" s="118" t="s">
        <v>537</v>
      </c>
      <c r="H128" s="112">
        <v>8</v>
      </c>
      <c r="I128" s="118" t="s">
        <v>537</v>
      </c>
      <c r="J128" s="119"/>
      <c r="K128" s="119"/>
      <c r="L128" s="119"/>
      <c r="M128" s="119"/>
      <c r="N128" s="119"/>
      <c r="O128" s="119"/>
    </row>
    <row r="129" spans="2:15" s="120" customFormat="1" ht="35.1" customHeight="1">
      <c r="B129" s="996"/>
      <c r="C129" s="984"/>
      <c r="D129" s="149">
        <v>9</v>
      </c>
      <c r="E129" s="775" t="s">
        <v>226</v>
      </c>
      <c r="F129" s="112">
        <v>9</v>
      </c>
      <c r="G129" s="118" t="s">
        <v>538</v>
      </c>
      <c r="H129" s="112">
        <v>9</v>
      </c>
      <c r="I129" s="118" t="s">
        <v>538</v>
      </c>
      <c r="J129" s="119"/>
      <c r="K129" s="119"/>
      <c r="L129" s="119"/>
      <c r="M129" s="119"/>
      <c r="N129" s="119"/>
      <c r="O129" s="119"/>
    </row>
    <row r="130" spans="2:15" s="120" customFormat="1" ht="35.1" customHeight="1">
      <c r="B130" s="996"/>
      <c r="C130" s="984"/>
      <c r="D130" s="149">
        <v>10</v>
      </c>
      <c r="E130" s="775" t="s">
        <v>227</v>
      </c>
      <c r="F130" s="112">
        <v>10</v>
      </c>
      <c r="G130" s="118" t="s">
        <v>539</v>
      </c>
      <c r="H130" s="112">
        <v>10</v>
      </c>
      <c r="I130" s="118" t="s">
        <v>539</v>
      </c>
      <c r="J130" s="119"/>
      <c r="K130" s="119"/>
      <c r="L130" s="119"/>
      <c r="M130" s="119"/>
      <c r="N130" s="119"/>
      <c r="O130" s="119"/>
    </row>
    <row r="131" spans="2:15" s="120" customFormat="1" ht="35.1" customHeight="1">
      <c r="B131" s="996"/>
      <c r="C131" s="984"/>
      <c r="D131" s="149">
        <v>11</v>
      </c>
      <c r="E131" s="775" t="s">
        <v>228</v>
      </c>
      <c r="F131" s="112">
        <v>11</v>
      </c>
      <c r="G131" s="118" t="s">
        <v>540</v>
      </c>
      <c r="H131" s="112">
        <v>11</v>
      </c>
      <c r="I131" s="118" t="s">
        <v>540</v>
      </c>
      <c r="J131" s="119"/>
      <c r="K131" s="119"/>
      <c r="L131" s="119"/>
      <c r="M131" s="119"/>
      <c r="N131" s="119"/>
      <c r="O131" s="119"/>
    </row>
    <row r="132" spans="2:15" s="120" customFormat="1" ht="35.1" customHeight="1">
      <c r="B132" s="996"/>
      <c r="C132" s="984"/>
      <c r="D132" s="149">
        <v>12</v>
      </c>
      <c r="E132" s="775" t="s">
        <v>229</v>
      </c>
      <c r="F132" s="112">
        <v>12</v>
      </c>
      <c r="G132" s="118" t="s">
        <v>541</v>
      </c>
      <c r="H132" s="112">
        <v>12</v>
      </c>
      <c r="I132" s="118" t="s">
        <v>541</v>
      </c>
      <c r="J132" s="119"/>
      <c r="K132" s="119"/>
      <c r="L132" s="119"/>
      <c r="M132" s="119"/>
      <c r="N132" s="119"/>
      <c r="O132" s="119"/>
    </row>
    <row r="133" spans="2:15" s="120" customFormat="1" ht="35.1" customHeight="1">
      <c r="B133" s="996"/>
      <c r="C133" s="984"/>
      <c r="D133" s="149">
        <v>13</v>
      </c>
      <c r="E133" s="775" t="s">
        <v>230</v>
      </c>
      <c r="F133" s="112">
        <v>13</v>
      </c>
      <c r="G133" s="118" t="s">
        <v>542</v>
      </c>
      <c r="H133" s="112">
        <v>13</v>
      </c>
      <c r="I133" s="118" t="s">
        <v>542</v>
      </c>
      <c r="J133" s="119"/>
      <c r="K133" s="119"/>
      <c r="L133" s="119"/>
      <c r="M133" s="119"/>
      <c r="N133" s="119"/>
      <c r="O133" s="119"/>
    </row>
    <row r="134" spans="2:15" s="120" customFormat="1" ht="35.1" customHeight="1">
      <c r="B134" s="996"/>
      <c r="C134" s="984"/>
      <c r="D134" s="149">
        <v>14</v>
      </c>
      <c r="E134" s="775" t="s">
        <v>231</v>
      </c>
      <c r="F134" s="112">
        <v>14</v>
      </c>
      <c r="G134" s="118" t="s">
        <v>543</v>
      </c>
      <c r="H134" s="112">
        <v>14</v>
      </c>
      <c r="I134" s="118" t="s">
        <v>543</v>
      </c>
      <c r="J134" s="119"/>
      <c r="K134" s="119"/>
      <c r="L134" s="119"/>
      <c r="M134" s="119"/>
      <c r="N134" s="119"/>
      <c r="O134" s="119"/>
    </row>
    <row r="135" spans="2:15" s="120" customFormat="1" ht="35.1" customHeight="1">
      <c r="B135" s="996"/>
      <c r="C135" s="984"/>
      <c r="D135" s="149">
        <v>15</v>
      </c>
      <c r="E135" s="775" t="s">
        <v>232</v>
      </c>
      <c r="F135" s="112">
        <v>15</v>
      </c>
      <c r="G135" s="118" t="s">
        <v>544</v>
      </c>
      <c r="H135" s="112">
        <v>15</v>
      </c>
      <c r="I135" s="118" t="s">
        <v>544</v>
      </c>
      <c r="J135" s="119"/>
      <c r="K135" s="119"/>
      <c r="L135" s="119"/>
      <c r="M135" s="119"/>
      <c r="N135" s="119"/>
      <c r="O135" s="119"/>
    </row>
    <row r="136" spans="2:15" s="120" customFormat="1" ht="35.1" customHeight="1">
      <c r="B136" s="996"/>
      <c r="C136" s="984"/>
      <c r="D136" s="149">
        <v>16</v>
      </c>
      <c r="E136" s="775" t="s">
        <v>233</v>
      </c>
      <c r="F136" s="112">
        <v>16</v>
      </c>
      <c r="G136" s="118" t="s">
        <v>545</v>
      </c>
      <c r="H136" s="112">
        <v>16</v>
      </c>
      <c r="I136" s="118" t="s">
        <v>545</v>
      </c>
      <c r="J136" s="119"/>
      <c r="K136" s="119"/>
      <c r="L136" s="119"/>
      <c r="M136" s="119"/>
      <c r="N136" s="119"/>
      <c r="O136" s="119"/>
    </row>
    <row r="137" spans="2:15" s="120" customFormat="1" ht="35.1" customHeight="1">
      <c r="B137" s="996"/>
      <c r="C137" s="984"/>
      <c r="D137" s="149">
        <v>17</v>
      </c>
      <c r="E137" s="775" t="s">
        <v>234</v>
      </c>
      <c r="F137" s="132">
        <v>17</v>
      </c>
      <c r="G137" s="172" t="s">
        <v>546</v>
      </c>
      <c r="H137" s="132">
        <v>17</v>
      </c>
      <c r="I137" s="172" t="s">
        <v>546</v>
      </c>
      <c r="J137" s="119"/>
      <c r="K137" s="119"/>
      <c r="L137" s="119"/>
      <c r="M137" s="119"/>
      <c r="N137" s="119"/>
      <c r="O137" s="119"/>
    </row>
    <row r="138" spans="2:15" s="120" customFormat="1" ht="35.1" customHeight="1">
      <c r="B138" s="996"/>
      <c r="C138" s="984"/>
      <c r="D138" s="149">
        <v>18</v>
      </c>
      <c r="E138" s="775" t="s">
        <v>235</v>
      </c>
      <c r="F138" s="171"/>
      <c r="G138" s="143"/>
      <c r="H138" s="171"/>
      <c r="I138" s="143"/>
      <c r="J138" s="119"/>
      <c r="K138" s="119"/>
      <c r="L138" s="119"/>
      <c r="M138" s="119"/>
      <c r="N138" s="119"/>
      <c r="O138" s="119"/>
    </row>
    <row r="139" spans="2:15" s="120" customFormat="1" ht="35.1" customHeight="1">
      <c r="B139" s="996"/>
      <c r="C139" s="984"/>
      <c r="D139" s="149">
        <v>19</v>
      </c>
      <c r="E139" s="775" t="s">
        <v>236</v>
      </c>
      <c r="F139" s="112">
        <v>18</v>
      </c>
      <c r="G139" s="118" t="s">
        <v>547</v>
      </c>
      <c r="H139" s="112">
        <v>18</v>
      </c>
      <c r="I139" s="118" t="s">
        <v>547</v>
      </c>
      <c r="J139" s="119"/>
      <c r="K139" s="119"/>
      <c r="L139" s="119"/>
      <c r="M139" s="119"/>
      <c r="N139" s="119"/>
      <c r="O139" s="119"/>
    </row>
    <row r="140" spans="2:15" s="120" customFormat="1" ht="35.1" customHeight="1">
      <c r="B140" s="996"/>
      <c r="C140" s="984"/>
      <c r="D140" s="149">
        <v>20</v>
      </c>
      <c r="E140" s="775" t="s">
        <v>237</v>
      </c>
      <c r="F140" s="112">
        <v>19</v>
      </c>
      <c r="G140" s="118" t="s">
        <v>548</v>
      </c>
      <c r="H140" s="112">
        <v>19</v>
      </c>
      <c r="I140" s="118" t="s">
        <v>548</v>
      </c>
      <c r="J140" s="119"/>
      <c r="K140" s="119"/>
      <c r="L140" s="119"/>
      <c r="M140" s="119"/>
      <c r="N140" s="119"/>
      <c r="O140" s="119"/>
    </row>
    <row r="141" spans="2:15" s="120" customFormat="1" ht="35.1" customHeight="1">
      <c r="B141" s="996"/>
      <c r="C141" s="984"/>
      <c r="D141" s="149">
        <v>21</v>
      </c>
      <c r="E141" s="775" t="s">
        <v>238</v>
      </c>
      <c r="F141" s="136"/>
      <c r="G141" s="150"/>
      <c r="H141" s="136"/>
      <c r="I141" s="150"/>
      <c r="J141" s="119"/>
      <c r="K141" s="119"/>
      <c r="L141" s="119"/>
      <c r="M141" s="119"/>
      <c r="N141" s="119"/>
      <c r="O141" s="119"/>
    </row>
    <row r="142" spans="2:15" s="120" customFormat="1" ht="35.1" customHeight="1">
      <c r="B142" s="996"/>
      <c r="C142" s="984"/>
      <c r="D142" s="149">
        <v>22</v>
      </c>
      <c r="E142" s="775" t="s">
        <v>239</v>
      </c>
      <c r="F142" s="136"/>
      <c r="G142" s="150"/>
      <c r="H142" s="136"/>
      <c r="I142" s="150"/>
      <c r="J142" s="119"/>
      <c r="K142" s="119"/>
      <c r="L142" s="119"/>
      <c r="M142" s="119"/>
      <c r="N142" s="119"/>
      <c r="O142" s="119"/>
    </row>
    <row r="143" spans="2:15" s="120" customFormat="1" ht="35.1" customHeight="1">
      <c r="B143" s="996"/>
      <c r="C143" s="984"/>
      <c r="D143" s="149">
        <v>23</v>
      </c>
      <c r="E143" s="775" t="s">
        <v>240</v>
      </c>
      <c r="F143" s="136"/>
      <c r="G143" s="150"/>
      <c r="H143" s="136"/>
      <c r="I143" s="150"/>
      <c r="J143" s="119"/>
      <c r="K143" s="119"/>
      <c r="L143" s="119"/>
      <c r="M143" s="119"/>
      <c r="N143" s="119"/>
      <c r="O143" s="119"/>
    </row>
    <row r="144" spans="2:15" s="120" customFormat="1" ht="35.1" customHeight="1">
      <c r="B144" s="996"/>
      <c r="C144" s="984"/>
      <c r="D144" s="149">
        <v>24</v>
      </c>
      <c r="E144" s="775" t="s">
        <v>241</v>
      </c>
      <c r="F144" s="136"/>
      <c r="G144" s="150"/>
      <c r="H144" s="136"/>
      <c r="I144" s="150"/>
      <c r="J144" s="119"/>
      <c r="K144" s="119"/>
      <c r="L144" s="119"/>
      <c r="M144" s="119"/>
      <c r="N144" s="119"/>
      <c r="O144" s="119"/>
    </row>
    <row r="145" spans="2:15" s="120" customFormat="1" ht="35.1" customHeight="1">
      <c r="B145" s="996"/>
      <c r="C145" s="984"/>
      <c r="D145" s="149">
        <v>25</v>
      </c>
      <c r="E145" s="775" t="s">
        <v>242</v>
      </c>
      <c r="F145" s="136"/>
      <c r="G145" s="150"/>
      <c r="H145" s="136"/>
      <c r="I145" s="150"/>
      <c r="J145" s="119"/>
      <c r="K145" s="119"/>
      <c r="L145" s="119"/>
      <c r="M145" s="119"/>
      <c r="N145" s="119"/>
      <c r="O145" s="119"/>
    </row>
    <row r="146" spans="2:15" s="120" customFormat="1" ht="35.1" customHeight="1">
      <c r="B146" s="996"/>
      <c r="C146" s="984"/>
      <c r="D146" s="149">
        <v>26</v>
      </c>
      <c r="E146" s="775" t="s">
        <v>243</v>
      </c>
      <c r="F146" s="136"/>
      <c r="G146" s="150"/>
      <c r="H146" s="136"/>
      <c r="I146" s="150"/>
      <c r="J146" s="119"/>
      <c r="K146" s="119"/>
      <c r="L146" s="119"/>
      <c r="M146" s="119"/>
      <c r="N146" s="119"/>
      <c r="O146" s="119"/>
    </row>
    <row r="147" spans="2:15" s="120" customFormat="1" ht="35.1" customHeight="1">
      <c r="B147" s="996"/>
      <c r="C147" s="984"/>
      <c r="D147" s="149">
        <v>27</v>
      </c>
      <c r="E147" s="775" t="s">
        <v>244</v>
      </c>
      <c r="F147" s="136"/>
      <c r="G147" s="150"/>
      <c r="H147" s="136"/>
      <c r="I147" s="150"/>
      <c r="J147" s="119"/>
      <c r="K147" s="119"/>
      <c r="L147" s="119"/>
      <c r="M147" s="119"/>
      <c r="N147" s="119"/>
      <c r="O147" s="119"/>
    </row>
    <row r="148" spans="2:15" s="120" customFormat="1" ht="35.1" customHeight="1">
      <c r="B148" s="996"/>
      <c r="C148" s="984"/>
      <c r="D148" s="149">
        <v>28</v>
      </c>
      <c r="E148" s="775" t="s">
        <v>245</v>
      </c>
      <c r="F148" s="136"/>
      <c r="G148" s="150"/>
      <c r="H148" s="136"/>
      <c r="I148" s="150"/>
      <c r="J148" s="119"/>
      <c r="K148" s="119"/>
      <c r="L148" s="119"/>
      <c r="M148" s="119"/>
      <c r="N148" s="119"/>
      <c r="O148" s="119"/>
    </row>
    <row r="149" spans="2:15" s="120" customFormat="1" ht="35.1" customHeight="1">
      <c r="B149" s="996"/>
      <c r="C149" s="984"/>
      <c r="D149" s="149">
        <v>29</v>
      </c>
      <c r="E149" s="775" t="s">
        <v>246</v>
      </c>
      <c r="F149" s="136"/>
      <c r="G149" s="150"/>
      <c r="H149" s="136"/>
      <c r="I149" s="150"/>
      <c r="J149" s="119"/>
      <c r="K149" s="119"/>
      <c r="L149" s="119"/>
      <c r="M149" s="119"/>
      <c r="N149" s="119"/>
      <c r="O149" s="119"/>
    </row>
    <row r="150" spans="2:15" s="120" customFormat="1" ht="35.1" customHeight="1">
      <c r="B150" s="996"/>
      <c r="C150" s="984"/>
      <c r="D150" s="149">
        <v>30</v>
      </c>
      <c r="E150" s="775" t="s">
        <v>247</v>
      </c>
      <c r="F150" s="136"/>
      <c r="G150" s="150"/>
      <c r="H150" s="136"/>
      <c r="I150" s="150"/>
      <c r="J150" s="119"/>
      <c r="K150" s="119"/>
      <c r="L150" s="119"/>
      <c r="M150" s="119"/>
      <c r="N150" s="119"/>
      <c r="O150" s="119"/>
    </row>
    <row r="151" spans="2:15" s="120" customFormat="1" ht="35.1" customHeight="1">
      <c r="B151" s="996"/>
      <c r="C151" s="984"/>
      <c r="D151" s="149">
        <v>31</v>
      </c>
      <c r="E151" s="775" t="s">
        <v>248</v>
      </c>
      <c r="F151" s="112">
        <v>20</v>
      </c>
      <c r="G151" s="118" t="s">
        <v>549</v>
      </c>
      <c r="H151" s="112">
        <v>20</v>
      </c>
      <c r="I151" s="118" t="s">
        <v>702</v>
      </c>
      <c r="J151" s="119"/>
      <c r="K151" s="119"/>
      <c r="L151" s="119"/>
      <c r="M151" s="119"/>
      <c r="N151" s="119"/>
      <c r="O151" s="119"/>
    </row>
    <row r="152" spans="2:15" s="120" customFormat="1" ht="35.1" customHeight="1">
      <c r="B152" s="996"/>
      <c r="C152" s="984"/>
      <c r="D152" s="149">
        <v>32</v>
      </c>
      <c r="E152" s="775" t="s">
        <v>249</v>
      </c>
      <c r="F152" s="112">
        <v>21</v>
      </c>
      <c r="G152" s="118" t="s">
        <v>550</v>
      </c>
      <c r="H152" s="112">
        <v>21</v>
      </c>
      <c r="I152" s="118" t="s">
        <v>703</v>
      </c>
      <c r="J152" s="119"/>
      <c r="K152" s="119"/>
      <c r="L152" s="119"/>
      <c r="M152" s="119"/>
      <c r="N152" s="119"/>
      <c r="O152" s="119"/>
    </row>
    <row r="153" spans="2:15" s="120" customFormat="1" ht="35.1" customHeight="1">
      <c r="B153" s="996"/>
      <c r="C153" s="984"/>
      <c r="D153" s="149">
        <v>33</v>
      </c>
      <c r="E153" s="775" t="s">
        <v>250</v>
      </c>
      <c r="F153" s="112">
        <v>22</v>
      </c>
      <c r="G153" s="118" t="s">
        <v>551</v>
      </c>
      <c r="H153" s="112">
        <v>22</v>
      </c>
      <c r="I153" s="118" t="s">
        <v>704</v>
      </c>
      <c r="J153" s="119"/>
      <c r="K153" s="119"/>
      <c r="L153" s="119"/>
      <c r="M153" s="119"/>
      <c r="N153" s="119"/>
      <c r="O153" s="119"/>
    </row>
    <row r="154" spans="2:15" s="120" customFormat="1" ht="35.1" customHeight="1">
      <c r="B154" s="996"/>
      <c r="C154" s="984"/>
      <c r="D154" s="149">
        <v>34</v>
      </c>
      <c r="E154" s="775" t="s">
        <v>251</v>
      </c>
      <c r="F154" s="112">
        <v>23</v>
      </c>
      <c r="G154" s="118" t="s">
        <v>552</v>
      </c>
      <c r="H154" s="112">
        <v>23</v>
      </c>
      <c r="I154" s="118" t="s">
        <v>705</v>
      </c>
      <c r="J154" s="119"/>
      <c r="K154" s="119"/>
      <c r="L154" s="119"/>
      <c r="M154" s="119"/>
      <c r="N154" s="119"/>
      <c r="O154" s="119"/>
    </row>
    <row r="155" spans="2:15" s="120" customFormat="1" ht="35.1" customHeight="1">
      <c r="B155" s="996"/>
      <c r="C155" s="984"/>
      <c r="D155" s="149">
        <v>35</v>
      </c>
      <c r="E155" s="775" t="s">
        <v>252</v>
      </c>
      <c r="F155" s="112">
        <v>24</v>
      </c>
      <c r="G155" s="118" t="s">
        <v>553</v>
      </c>
      <c r="H155" s="112">
        <v>24</v>
      </c>
      <c r="I155" s="118" t="s">
        <v>706</v>
      </c>
      <c r="J155" s="119"/>
      <c r="K155" s="119"/>
      <c r="L155" s="119"/>
      <c r="M155" s="119"/>
      <c r="N155" s="119"/>
      <c r="O155" s="119"/>
    </row>
    <row r="156" spans="2:15" s="120" customFormat="1" ht="35.1" customHeight="1">
      <c r="B156" s="996"/>
      <c r="C156" s="984"/>
      <c r="D156" s="149">
        <v>36</v>
      </c>
      <c r="E156" s="775" t="s">
        <v>253</v>
      </c>
      <c r="F156" s="112">
        <v>25</v>
      </c>
      <c r="G156" s="118" t="s">
        <v>554</v>
      </c>
      <c r="H156" s="112">
        <v>25</v>
      </c>
      <c r="I156" s="118" t="s">
        <v>707</v>
      </c>
      <c r="J156" s="119"/>
      <c r="K156" s="119"/>
      <c r="L156" s="119"/>
      <c r="M156" s="119"/>
      <c r="N156" s="119"/>
      <c r="O156" s="119"/>
    </row>
    <row r="157" spans="2:15" s="120" customFormat="1" ht="35.1" customHeight="1">
      <c r="B157" s="996"/>
      <c r="C157" s="984"/>
      <c r="D157" s="149">
        <v>37</v>
      </c>
      <c r="E157" s="775" t="s">
        <v>254</v>
      </c>
      <c r="F157" s="112">
        <v>26</v>
      </c>
      <c r="G157" s="118" t="s">
        <v>555</v>
      </c>
      <c r="H157" s="112">
        <v>26</v>
      </c>
      <c r="I157" s="118" t="s">
        <v>708</v>
      </c>
      <c r="J157" s="119"/>
      <c r="K157" s="119"/>
      <c r="L157" s="119"/>
      <c r="M157" s="119"/>
      <c r="N157" s="119"/>
      <c r="O157" s="119"/>
    </row>
    <row r="158" spans="2:15" s="120" customFormat="1" ht="35.1" customHeight="1">
      <c r="B158" s="996"/>
      <c r="C158" s="984"/>
      <c r="D158" s="149">
        <v>38</v>
      </c>
      <c r="E158" s="775" t="s">
        <v>255</v>
      </c>
      <c r="F158" s="112">
        <v>27</v>
      </c>
      <c r="G158" s="118" t="s">
        <v>556</v>
      </c>
      <c r="H158" s="112">
        <v>27</v>
      </c>
      <c r="I158" s="118" t="s">
        <v>709</v>
      </c>
      <c r="J158" s="119"/>
      <c r="K158" s="119"/>
      <c r="L158" s="119"/>
      <c r="M158" s="119"/>
      <c r="N158" s="119"/>
      <c r="O158" s="119"/>
    </row>
    <row r="159" spans="2:15" s="120" customFormat="1" ht="35.1" customHeight="1">
      <c r="B159" s="996"/>
      <c r="C159" s="984"/>
      <c r="D159" s="149">
        <v>39</v>
      </c>
      <c r="E159" s="775" t="s">
        <v>256</v>
      </c>
      <c r="F159" s="136"/>
      <c r="G159" s="150"/>
      <c r="H159" s="148">
        <v>28</v>
      </c>
      <c r="I159" s="173" t="s">
        <v>710</v>
      </c>
      <c r="J159" s="119"/>
      <c r="K159" s="119"/>
      <c r="L159" s="119"/>
      <c r="M159" s="119"/>
      <c r="N159" s="119"/>
      <c r="O159" s="119"/>
    </row>
    <row r="160" spans="2:15" s="120" customFormat="1" ht="35.1" customHeight="1">
      <c r="B160" s="996"/>
      <c r="C160" s="984"/>
      <c r="D160" s="149">
        <v>40</v>
      </c>
      <c r="E160" s="775" t="s">
        <v>257</v>
      </c>
      <c r="F160" s="136"/>
      <c r="G160" s="150"/>
      <c r="H160" s="148">
        <v>29</v>
      </c>
      <c r="I160" s="173" t="s">
        <v>711</v>
      </c>
      <c r="J160" s="119"/>
      <c r="K160" s="119"/>
      <c r="L160" s="119"/>
      <c r="M160" s="119"/>
      <c r="N160" s="119"/>
      <c r="O160" s="119"/>
    </row>
    <row r="161" spans="2:15" s="120" customFormat="1" ht="35.1" customHeight="1">
      <c r="B161" s="996"/>
      <c r="C161" s="984"/>
      <c r="D161" s="149">
        <v>41</v>
      </c>
      <c r="E161" s="775" t="s">
        <v>258</v>
      </c>
      <c r="F161" s="148"/>
      <c r="G161" s="118"/>
      <c r="H161" s="148">
        <v>30</v>
      </c>
      <c r="I161" s="173" t="s">
        <v>712</v>
      </c>
      <c r="J161" s="119"/>
      <c r="K161" s="119"/>
      <c r="L161" s="119"/>
      <c r="M161" s="119"/>
      <c r="N161" s="119"/>
      <c r="O161" s="119"/>
    </row>
    <row r="162" spans="2:15" s="120" customFormat="1" ht="35.1" customHeight="1">
      <c r="B162" s="996"/>
      <c r="C162" s="984"/>
      <c r="D162" s="149">
        <v>42</v>
      </c>
      <c r="E162" s="775" t="s">
        <v>259</v>
      </c>
      <c r="F162" s="148"/>
      <c r="G162" s="118"/>
      <c r="H162" s="148">
        <v>31</v>
      </c>
      <c r="I162" s="173" t="s">
        <v>713</v>
      </c>
      <c r="J162" s="119"/>
      <c r="K162" s="119"/>
      <c r="L162" s="119"/>
      <c r="M162" s="119"/>
      <c r="N162" s="119"/>
      <c r="O162" s="119"/>
    </row>
    <row r="163" spans="2:15" s="120" customFormat="1" ht="35.1" customHeight="1">
      <c r="B163" s="996"/>
      <c r="C163" s="984"/>
      <c r="D163" s="149">
        <v>43</v>
      </c>
      <c r="E163" s="775" t="s">
        <v>260</v>
      </c>
      <c r="F163" s="136"/>
      <c r="G163" s="150"/>
      <c r="H163" s="148">
        <v>32</v>
      </c>
      <c r="I163" s="173" t="s">
        <v>714</v>
      </c>
      <c r="J163" s="119"/>
      <c r="K163" s="119"/>
      <c r="L163" s="119"/>
      <c r="M163" s="119"/>
      <c r="N163" s="119"/>
      <c r="O163" s="119"/>
    </row>
    <row r="164" spans="2:15" s="120" customFormat="1" ht="35.1" customHeight="1">
      <c r="B164" s="996"/>
      <c r="C164" s="984"/>
      <c r="D164" s="149">
        <v>44</v>
      </c>
      <c r="E164" s="775" t="s">
        <v>261</v>
      </c>
      <c r="F164" s="136"/>
      <c r="G164" s="150"/>
      <c r="H164" s="148">
        <v>33</v>
      </c>
      <c r="I164" s="173" t="s">
        <v>715</v>
      </c>
      <c r="J164" s="119"/>
      <c r="K164" s="119"/>
      <c r="L164" s="119"/>
      <c r="M164" s="119"/>
      <c r="N164" s="119"/>
      <c r="O164" s="119"/>
    </row>
    <row r="165" spans="2:15" s="120" customFormat="1" ht="35.1" customHeight="1">
      <c r="B165" s="996"/>
      <c r="C165" s="984"/>
      <c r="D165" s="149">
        <v>45</v>
      </c>
      <c r="E165" s="775" t="s">
        <v>262</v>
      </c>
      <c r="F165" s="136"/>
      <c r="G165" s="150"/>
      <c r="H165" s="148">
        <v>34</v>
      </c>
      <c r="I165" s="173" t="s">
        <v>716</v>
      </c>
      <c r="J165" s="119"/>
      <c r="K165" s="119"/>
      <c r="L165" s="119"/>
      <c r="M165" s="119"/>
      <c r="N165" s="119"/>
      <c r="O165" s="119"/>
    </row>
    <row r="166" spans="2:15" s="120" customFormat="1" ht="35.1" customHeight="1">
      <c r="B166" s="996"/>
      <c r="C166" s="984"/>
      <c r="D166" s="149">
        <v>46</v>
      </c>
      <c r="E166" s="775"/>
      <c r="F166" s="112">
        <v>28</v>
      </c>
      <c r="G166" s="118" t="s">
        <v>557</v>
      </c>
      <c r="H166" s="112">
        <v>35</v>
      </c>
      <c r="I166" s="118" t="s">
        <v>557</v>
      </c>
      <c r="J166" s="119"/>
      <c r="K166" s="119"/>
      <c r="L166" s="119"/>
      <c r="M166" s="119"/>
      <c r="N166" s="119"/>
      <c r="O166" s="119"/>
    </row>
    <row r="167" spans="2:15" s="120" customFormat="1" ht="35.1" customHeight="1">
      <c r="B167" s="996"/>
      <c r="C167" s="984"/>
      <c r="D167" s="149">
        <v>47</v>
      </c>
      <c r="E167" s="775"/>
      <c r="F167" s="112">
        <v>29</v>
      </c>
      <c r="G167" s="118" t="s">
        <v>558</v>
      </c>
      <c r="H167" s="112">
        <v>36</v>
      </c>
      <c r="I167" s="118" t="s">
        <v>558</v>
      </c>
      <c r="J167" s="119"/>
      <c r="K167" s="119"/>
      <c r="L167" s="119"/>
      <c r="M167" s="119"/>
      <c r="N167" s="119"/>
      <c r="O167" s="119"/>
    </row>
    <row r="168" spans="2:15" s="120" customFormat="1" ht="35.1" customHeight="1">
      <c r="B168" s="996"/>
      <c r="C168" s="984"/>
      <c r="D168" s="149">
        <v>48</v>
      </c>
      <c r="E168" s="775" t="s">
        <v>265</v>
      </c>
      <c r="F168" s="136"/>
      <c r="G168" s="150"/>
      <c r="H168" s="148"/>
      <c r="I168" s="118"/>
      <c r="J168" s="119"/>
      <c r="K168" s="119"/>
      <c r="L168" s="119"/>
      <c r="M168" s="119"/>
      <c r="N168" s="119"/>
      <c r="O168" s="119"/>
    </row>
    <row r="169" spans="2:15" s="120" customFormat="1" ht="35.1" customHeight="1">
      <c r="B169" s="996"/>
      <c r="C169" s="984"/>
      <c r="D169" s="149">
        <v>49</v>
      </c>
      <c r="E169" s="775" t="s">
        <v>266</v>
      </c>
      <c r="F169" s="136"/>
      <c r="G169" s="150"/>
      <c r="H169" s="148"/>
      <c r="I169" s="118"/>
      <c r="J169" s="119"/>
      <c r="K169" s="119"/>
      <c r="L169" s="119"/>
      <c r="M169" s="119"/>
      <c r="N169" s="119"/>
      <c r="O169" s="119"/>
    </row>
    <row r="170" spans="2:15" s="120" customFormat="1" ht="35.1" customHeight="1">
      <c r="B170" s="996"/>
      <c r="C170" s="984"/>
      <c r="D170" s="149">
        <v>50</v>
      </c>
      <c r="E170" s="775" t="s">
        <v>267</v>
      </c>
      <c r="F170" s="136"/>
      <c r="G170" s="150"/>
      <c r="H170" s="148"/>
      <c r="I170" s="118"/>
      <c r="J170" s="119"/>
      <c r="K170" s="119"/>
      <c r="L170" s="119"/>
      <c r="M170" s="119"/>
      <c r="N170" s="119"/>
      <c r="O170" s="119"/>
    </row>
    <row r="171" spans="2:15" s="120" customFormat="1" ht="35.1" customHeight="1">
      <c r="B171" s="996"/>
      <c r="C171" s="984"/>
      <c r="D171" s="149">
        <v>51</v>
      </c>
      <c r="E171" s="775" t="s">
        <v>268</v>
      </c>
      <c r="F171" s="136"/>
      <c r="G171" s="150"/>
      <c r="H171" s="136"/>
      <c r="I171" s="150"/>
      <c r="J171" s="119"/>
      <c r="K171" s="119"/>
      <c r="L171" s="119"/>
      <c r="M171" s="119"/>
      <c r="N171" s="119"/>
      <c r="O171" s="119"/>
    </row>
    <row r="172" spans="2:15" s="120" customFormat="1" ht="35.1" customHeight="1">
      <c r="B172" s="996"/>
      <c r="C172" s="984"/>
      <c r="D172" s="149">
        <v>52</v>
      </c>
      <c r="E172" s="775" t="s">
        <v>269</v>
      </c>
      <c r="F172" s="170"/>
      <c r="G172" s="170"/>
      <c r="H172" s="783"/>
      <c r="I172" s="170"/>
      <c r="J172" s="119"/>
      <c r="K172" s="119"/>
      <c r="L172" s="119"/>
      <c r="M172" s="119"/>
      <c r="N172" s="119"/>
      <c r="O172" s="119"/>
    </row>
    <row r="173" spans="2:15" s="120" customFormat="1" ht="35.1" customHeight="1">
      <c r="B173" s="996"/>
      <c r="C173" s="984"/>
      <c r="D173" s="149">
        <v>53</v>
      </c>
      <c r="E173" s="775" t="s">
        <v>270</v>
      </c>
      <c r="F173" s="170"/>
      <c r="G173" s="170"/>
      <c r="H173" s="783"/>
      <c r="I173" s="170"/>
      <c r="J173" s="119"/>
      <c r="K173" s="119"/>
      <c r="L173" s="119"/>
      <c r="M173" s="119"/>
      <c r="N173" s="119"/>
      <c r="O173" s="119"/>
    </row>
    <row r="174" spans="2:15" s="120" customFormat="1" ht="35.1" customHeight="1">
      <c r="B174" s="996"/>
      <c r="C174" s="984"/>
      <c r="D174" s="149">
        <v>54</v>
      </c>
      <c r="E174" s="775" t="s">
        <v>271</v>
      </c>
      <c r="F174" s="136"/>
      <c r="G174" s="150"/>
      <c r="H174" s="136"/>
      <c r="I174" s="150"/>
      <c r="J174" s="119"/>
      <c r="K174" s="119"/>
      <c r="L174" s="119"/>
      <c r="M174" s="119"/>
      <c r="N174" s="119"/>
      <c r="O174" s="119"/>
    </row>
    <row r="175" spans="2:15" s="120" customFormat="1" ht="35.1" customHeight="1">
      <c r="B175" s="996"/>
      <c r="C175" s="984"/>
      <c r="D175" s="149">
        <v>55</v>
      </c>
      <c r="E175" s="775" t="s">
        <v>272</v>
      </c>
      <c r="F175" s="136"/>
      <c r="G175" s="150"/>
      <c r="H175" s="136"/>
      <c r="I175" s="150"/>
      <c r="J175" s="119"/>
      <c r="K175" s="119"/>
      <c r="L175" s="119"/>
      <c r="M175" s="119"/>
      <c r="N175" s="119"/>
      <c r="O175" s="119"/>
    </row>
    <row r="176" spans="2:15" s="120" customFormat="1" ht="35.1" customHeight="1">
      <c r="B176" s="997"/>
      <c r="C176" s="985"/>
      <c r="D176" s="149">
        <v>56</v>
      </c>
      <c r="E176" s="775" t="s">
        <v>273</v>
      </c>
      <c r="F176" s="136"/>
      <c r="G176" s="150"/>
      <c r="H176" s="136"/>
      <c r="I176" s="150"/>
      <c r="J176" s="119"/>
      <c r="K176" s="119"/>
      <c r="L176" s="119"/>
      <c r="M176" s="119"/>
      <c r="N176" s="119"/>
      <c r="O176" s="119"/>
    </row>
    <row r="177" spans="2:15" s="120" customFormat="1" ht="35.1" customHeight="1">
      <c r="B177" s="121"/>
      <c r="C177" s="125"/>
      <c r="D177" s="986" t="s">
        <v>1641</v>
      </c>
      <c r="E177" s="987"/>
      <c r="F177" s="987"/>
      <c r="G177" s="987"/>
      <c r="H177" s="987"/>
      <c r="I177" s="988"/>
      <c r="J177" s="119"/>
      <c r="K177" s="119"/>
      <c r="L177" s="119"/>
      <c r="M177" s="119"/>
      <c r="N177" s="119"/>
      <c r="O177" s="119"/>
    </row>
    <row r="178" spans="2:15" s="120" customFormat="1" ht="35.1" customHeight="1">
      <c r="B178" s="995"/>
      <c r="C178" s="1005"/>
      <c r="D178" s="1007"/>
      <c r="E178" s="1008"/>
      <c r="F178" s="112">
        <v>1</v>
      </c>
      <c r="G178" s="151" t="s">
        <v>574</v>
      </c>
      <c r="H178" s="112">
        <v>1</v>
      </c>
      <c r="I178" s="152" t="s">
        <v>720</v>
      </c>
      <c r="J178" s="119"/>
      <c r="K178" s="119"/>
      <c r="L178" s="119"/>
      <c r="M178" s="119"/>
      <c r="N178" s="119"/>
      <c r="O178" s="119"/>
    </row>
    <row r="179" spans="2:15" s="120" customFormat="1" ht="35.1" customHeight="1">
      <c r="B179" s="996"/>
      <c r="C179" s="1006"/>
      <c r="D179" s="1007"/>
      <c r="E179" s="1008"/>
      <c r="F179" s="112">
        <v>2</v>
      </c>
      <c r="G179" s="151" t="s">
        <v>575</v>
      </c>
      <c r="H179" s="112">
        <v>2</v>
      </c>
      <c r="I179" s="152" t="s">
        <v>721</v>
      </c>
      <c r="J179" s="119"/>
      <c r="K179" s="119"/>
      <c r="L179" s="119"/>
      <c r="M179" s="119"/>
      <c r="N179" s="119"/>
      <c r="O179" s="119"/>
    </row>
    <row r="180" spans="2:15" s="120" customFormat="1" ht="35.1" customHeight="1">
      <c r="B180" s="996"/>
      <c r="C180" s="1006"/>
      <c r="D180" s="1007"/>
      <c r="E180" s="1008"/>
      <c r="F180" s="112">
        <v>3</v>
      </c>
      <c r="G180" s="151" t="s">
        <v>576</v>
      </c>
      <c r="H180" s="112">
        <v>3</v>
      </c>
      <c r="I180" s="152" t="s">
        <v>722</v>
      </c>
      <c r="J180" s="119"/>
      <c r="K180" s="119"/>
      <c r="L180" s="119"/>
      <c r="M180" s="119"/>
      <c r="N180" s="119"/>
      <c r="O180" s="119"/>
    </row>
    <row r="181" spans="2:15" s="120" customFormat="1" ht="35.1" customHeight="1">
      <c r="B181" s="996"/>
      <c r="C181" s="1006"/>
      <c r="D181" s="1007"/>
      <c r="E181" s="1008"/>
      <c r="F181" s="112">
        <v>4</v>
      </c>
      <c r="G181" s="151" t="s">
        <v>577</v>
      </c>
      <c r="H181" s="112">
        <v>4</v>
      </c>
      <c r="I181" s="152" t="s">
        <v>723</v>
      </c>
      <c r="J181" s="119"/>
      <c r="K181" s="119"/>
      <c r="L181" s="119"/>
      <c r="M181" s="119"/>
      <c r="N181" s="119"/>
      <c r="O181" s="119"/>
    </row>
    <row r="182" spans="2:15" s="120" customFormat="1" ht="35.1" customHeight="1">
      <c r="B182" s="996"/>
      <c r="C182" s="1006"/>
      <c r="D182" s="1007"/>
      <c r="E182" s="1008"/>
      <c r="F182" s="112">
        <v>5</v>
      </c>
      <c r="G182" s="151" t="s">
        <v>578</v>
      </c>
      <c r="H182" s="112">
        <v>5</v>
      </c>
      <c r="I182" s="151" t="s">
        <v>578</v>
      </c>
      <c r="J182" s="119"/>
      <c r="K182" s="119"/>
      <c r="L182" s="119"/>
      <c r="M182" s="119"/>
      <c r="N182" s="119"/>
      <c r="O182" s="119"/>
    </row>
    <row r="183" spans="2:15" s="120" customFormat="1" ht="35.1" customHeight="1">
      <c r="B183" s="996"/>
      <c r="C183" s="1006"/>
      <c r="D183" s="1007"/>
      <c r="E183" s="1008"/>
      <c r="F183" s="112">
        <v>6</v>
      </c>
      <c r="G183" s="151" t="s">
        <v>579</v>
      </c>
      <c r="H183" s="112">
        <v>6</v>
      </c>
      <c r="I183" s="151" t="s">
        <v>579</v>
      </c>
      <c r="J183" s="119"/>
      <c r="K183" s="119"/>
      <c r="L183" s="119"/>
      <c r="M183" s="119"/>
      <c r="N183" s="119"/>
      <c r="O183" s="119"/>
    </row>
    <row r="184" spans="2:15" s="120" customFormat="1" ht="35.1" customHeight="1">
      <c r="B184" s="996"/>
      <c r="C184" s="1006"/>
      <c r="D184" s="1007"/>
      <c r="E184" s="1008"/>
      <c r="F184" s="112">
        <v>7</v>
      </c>
      <c r="G184" s="151" t="s">
        <v>580</v>
      </c>
      <c r="H184" s="112">
        <v>7</v>
      </c>
      <c r="I184" s="151" t="s">
        <v>580</v>
      </c>
      <c r="J184" s="119"/>
      <c r="K184" s="119"/>
      <c r="L184" s="119"/>
      <c r="M184" s="119"/>
      <c r="N184" s="119"/>
      <c r="O184" s="119"/>
    </row>
    <row r="185" spans="2:15" s="120" customFormat="1" ht="35.1" customHeight="1">
      <c r="B185" s="996"/>
      <c r="C185" s="1006"/>
      <c r="D185" s="1007"/>
      <c r="E185" s="1008"/>
      <c r="F185" s="112">
        <v>8</v>
      </c>
      <c r="G185" s="151" t="s">
        <v>581</v>
      </c>
      <c r="H185" s="112">
        <v>8</v>
      </c>
      <c r="I185" s="151" t="s">
        <v>581</v>
      </c>
      <c r="J185" s="119"/>
      <c r="K185" s="119"/>
      <c r="L185" s="119"/>
      <c r="M185" s="119"/>
      <c r="N185" s="119"/>
      <c r="O185" s="119"/>
    </row>
    <row r="186" spans="2:15" s="120" customFormat="1" ht="35.1" customHeight="1">
      <c r="B186" s="996"/>
      <c r="C186" s="1006"/>
      <c r="D186" s="1007"/>
      <c r="E186" s="1008"/>
      <c r="F186" s="112">
        <v>9</v>
      </c>
      <c r="G186" s="151" t="s">
        <v>582</v>
      </c>
      <c r="H186" s="112">
        <v>9</v>
      </c>
      <c r="I186" s="151" t="s">
        <v>582</v>
      </c>
      <c r="J186" s="119"/>
      <c r="K186" s="119"/>
      <c r="L186" s="119"/>
      <c r="M186" s="119"/>
      <c r="N186" s="119"/>
      <c r="O186" s="119"/>
    </row>
    <row r="187" spans="2:15" s="120" customFormat="1" ht="35.1" customHeight="1">
      <c r="B187" s="996"/>
      <c r="C187" s="1006"/>
      <c r="D187" s="1007"/>
      <c r="E187" s="1008"/>
      <c r="F187" s="112">
        <v>10</v>
      </c>
      <c r="G187" s="151" t="s">
        <v>583</v>
      </c>
      <c r="H187" s="112">
        <v>10</v>
      </c>
      <c r="I187" s="151" t="s">
        <v>583</v>
      </c>
      <c r="J187" s="119"/>
      <c r="K187" s="119"/>
      <c r="L187" s="119"/>
      <c r="M187" s="119"/>
      <c r="N187" s="119"/>
      <c r="O187" s="119"/>
    </row>
    <row r="188" spans="2:15" s="120" customFormat="1" ht="35.1" customHeight="1">
      <c r="B188" s="996"/>
      <c r="C188" s="1006"/>
      <c r="D188" s="1007"/>
      <c r="E188" s="1008"/>
      <c r="F188" s="112">
        <v>11</v>
      </c>
      <c r="G188" s="151" t="s">
        <v>584</v>
      </c>
      <c r="H188" s="112">
        <v>11</v>
      </c>
      <c r="I188" s="151" t="s">
        <v>584</v>
      </c>
      <c r="J188" s="119"/>
      <c r="K188" s="119"/>
      <c r="L188" s="119"/>
      <c r="M188" s="119"/>
      <c r="N188" s="119"/>
      <c r="O188" s="119"/>
    </row>
    <row r="189" spans="2:15" s="120" customFormat="1" ht="35.1" customHeight="1">
      <c r="B189" s="996"/>
      <c r="C189" s="1006"/>
      <c r="D189" s="1007"/>
      <c r="E189" s="1008"/>
      <c r="F189" s="112">
        <v>12</v>
      </c>
      <c r="G189" s="151" t="s">
        <v>585</v>
      </c>
      <c r="H189" s="112">
        <v>12</v>
      </c>
      <c r="I189" s="151" t="s">
        <v>585</v>
      </c>
      <c r="J189" s="119"/>
      <c r="K189" s="119"/>
      <c r="L189" s="119"/>
      <c r="M189" s="119"/>
      <c r="N189" s="119"/>
      <c r="O189" s="119"/>
    </row>
    <row r="190" spans="2:15" s="120" customFormat="1" ht="35.1" customHeight="1">
      <c r="B190" s="996"/>
      <c r="C190" s="1006"/>
      <c r="D190" s="1007"/>
      <c r="E190" s="1008"/>
      <c r="F190" s="112">
        <v>13</v>
      </c>
      <c r="G190" s="151" t="s">
        <v>586</v>
      </c>
      <c r="H190" s="112">
        <v>13</v>
      </c>
      <c r="I190" s="151" t="s">
        <v>586</v>
      </c>
      <c r="J190" s="119"/>
      <c r="K190" s="119"/>
      <c r="L190" s="119"/>
      <c r="M190" s="119"/>
      <c r="N190" s="119"/>
      <c r="O190" s="119"/>
    </row>
    <row r="191" spans="2:15" s="120" customFormat="1" ht="35.1" customHeight="1">
      <c r="B191" s="996"/>
      <c r="C191" s="1006"/>
      <c r="D191" s="1007"/>
      <c r="E191" s="1008"/>
      <c r="F191" s="112">
        <v>14</v>
      </c>
      <c r="G191" s="151" t="s">
        <v>587</v>
      </c>
      <c r="H191" s="112">
        <v>14</v>
      </c>
      <c r="I191" s="151" t="s">
        <v>587</v>
      </c>
      <c r="J191" s="119"/>
      <c r="K191" s="119"/>
      <c r="L191" s="119"/>
      <c r="M191" s="119"/>
      <c r="N191" s="119"/>
      <c r="O191" s="119"/>
    </row>
    <row r="192" spans="2:15" s="120" customFormat="1" ht="35.1" customHeight="1">
      <c r="B192" s="996"/>
      <c r="C192" s="1006"/>
      <c r="D192" s="1007"/>
      <c r="E192" s="1008"/>
      <c r="F192" s="112">
        <v>15</v>
      </c>
      <c r="G192" s="151" t="s">
        <v>588</v>
      </c>
      <c r="H192" s="112">
        <v>15</v>
      </c>
      <c r="I192" s="151" t="s">
        <v>588</v>
      </c>
      <c r="J192" s="119"/>
      <c r="K192" s="119"/>
      <c r="L192" s="119"/>
      <c r="M192" s="119"/>
      <c r="N192" s="119"/>
      <c r="O192" s="119"/>
    </row>
    <row r="193" spans="2:15" s="120" customFormat="1" ht="35.1" customHeight="1">
      <c r="B193" s="996"/>
      <c r="C193" s="1006"/>
      <c r="D193" s="1007"/>
      <c r="E193" s="1008"/>
      <c r="F193" s="112">
        <v>16</v>
      </c>
      <c r="G193" s="147" t="s">
        <v>589</v>
      </c>
      <c r="H193" s="112">
        <v>16</v>
      </c>
      <c r="I193" s="147" t="s">
        <v>589</v>
      </c>
      <c r="J193" s="114"/>
      <c r="K193" s="114"/>
      <c r="L193" s="114"/>
      <c r="M193" s="114"/>
      <c r="N193" s="114"/>
      <c r="O193" s="119"/>
    </row>
    <row r="194" spans="2:15" s="120" customFormat="1" ht="35.1" customHeight="1">
      <c r="B194" s="996"/>
      <c r="C194" s="1006"/>
      <c r="D194" s="1007"/>
      <c r="E194" s="1008"/>
      <c r="F194" s="112">
        <v>17</v>
      </c>
      <c r="G194" s="147" t="s">
        <v>590</v>
      </c>
      <c r="H194" s="112">
        <v>17</v>
      </c>
      <c r="I194" s="147" t="s">
        <v>590</v>
      </c>
      <c r="J194" s="114"/>
      <c r="K194" s="114"/>
      <c r="L194" s="114"/>
      <c r="M194" s="114"/>
      <c r="N194" s="114"/>
      <c r="O194" s="119"/>
    </row>
    <row r="195" spans="2:15" s="120" customFormat="1" ht="35.1" customHeight="1">
      <c r="B195" s="996"/>
      <c r="C195" s="1006"/>
      <c r="D195" s="1007"/>
      <c r="E195" s="1008"/>
      <c r="F195" s="112">
        <v>18</v>
      </c>
      <c r="G195" s="147" t="s">
        <v>591</v>
      </c>
      <c r="H195" s="112">
        <v>18</v>
      </c>
      <c r="I195" s="147" t="s">
        <v>591</v>
      </c>
      <c r="J195" s="114"/>
      <c r="K195" s="114"/>
      <c r="L195" s="114"/>
      <c r="M195" s="114"/>
      <c r="N195" s="114"/>
      <c r="O195" s="119"/>
    </row>
    <row r="196" spans="2:15" s="120" customFormat="1" ht="35.1" customHeight="1">
      <c r="B196" s="996"/>
      <c r="C196" s="1006"/>
      <c r="D196" s="1007"/>
      <c r="E196" s="1008"/>
      <c r="F196" s="112">
        <v>19</v>
      </c>
      <c r="G196" s="147" t="s">
        <v>592</v>
      </c>
      <c r="H196" s="112">
        <v>19</v>
      </c>
      <c r="I196" s="147" t="s">
        <v>592</v>
      </c>
      <c r="J196" s="114"/>
      <c r="K196" s="114"/>
      <c r="L196" s="114"/>
      <c r="M196" s="114"/>
      <c r="N196" s="114"/>
      <c r="O196" s="119"/>
    </row>
    <row r="197" spans="2:15" s="120" customFormat="1" ht="35.1" customHeight="1">
      <c r="B197" s="996"/>
      <c r="C197" s="1006"/>
      <c r="D197" s="1007"/>
      <c r="E197" s="1008"/>
      <c r="F197" s="112">
        <v>20</v>
      </c>
      <c r="G197" s="147" t="s">
        <v>593</v>
      </c>
      <c r="H197" s="112">
        <v>20</v>
      </c>
      <c r="I197" s="147" t="s">
        <v>593</v>
      </c>
      <c r="J197" s="122"/>
      <c r="K197" s="122"/>
      <c r="L197" s="122"/>
      <c r="M197" s="122"/>
      <c r="N197" s="122"/>
      <c r="O197" s="119"/>
    </row>
    <row r="198" spans="2:15" s="120" customFormat="1" ht="35.1" customHeight="1">
      <c r="B198" s="996"/>
      <c r="C198" s="1006"/>
      <c r="D198" s="1007"/>
      <c r="E198" s="1008"/>
      <c r="F198" s="112">
        <v>21</v>
      </c>
      <c r="G198" s="147" t="s">
        <v>594</v>
      </c>
      <c r="H198" s="112">
        <v>21</v>
      </c>
      <c r="I198" s="147" t="s">
        <v>594</v>
      </c>
      <c r="J198" s="122"/>
      <c r="K198" s="122"/>
      <c r="L198" s="122"/>
      <c r="M198" s="122"/>
      <c r="N198" s="122"/>
      <c r="O198" s="119"/>
    </row>
    <row r="199" spans="2:15" s="120" customFormat="1" ht="35.1" customHeight="1">
      <c r="B199" s="996"/>
      <c r="C199" s="1006"/>
      <c r="D199" s="1007"/>
      <c r="E199" s="1008"/>
      <c r="F199" s="112">
        <v>22</v>
      </c>
      <c r="G199" s="147" t="s">
        <v>595</v>
      </c>
      <c r="H199" s="112">
        <v>22</v>
      </c>
      <c r="I199" s="147" t="s">
        <v>595</v>
      </c>
      <c r="J199" s="122"/>
      <c r="K199" s="122"/>
      <c r="L199" s="122"/>
      <c r="M199" s="122"/>
      <c r="N199" s="122"/>
      <c r="O199" s="119"/>
    </row>
    <row r="200" spans="2:15" s="120" customFormat="1" ht="35.1" customHeight="1">
      <c r="B200" s="996"/>
      <c r="C200" s="1006"/>
      <c r="D200" s="1007"/>
      <c r="E200" s="1008"/>
      <c r="F200" s="112">
        <v>23</v>
      </c>
      <c r="G200" s="147" t="s">
        <v>596</v>
      </c>
      <c r="H200" s="112">
        <v>23</v>
      </c>
      <c r="I200" s="147" t="s">
        <v>596</v>
      </c>
      <c r="J200" s="122"/>
      <c r="K200" s="122"/>
      <c r="L200" s="122"/>
      <c r="M200" s="122"/>
      <c r="N200" s="122"/>
      <c r="O200" s="119"/>
    </row>
    <row r="201" spans="2:15" s="120" customFormat="1" ht="35.1" customHeight="1">
      <c r="B201" s="996"/>
      <c r="C201" s="1006"/>
      <c r="D201" s="1007"/>
      <c r="E201" s="1008"/>
      <c r="F201" s="112">
        <v>24</v>
      </c>
      <c r="G201" s="147" t="s">
        <v>597</v>
      </c>
      <c r="H201" s="112">
        <v>24</v>
      </c>
      <c r="I201" s="147" t="s">
        <v>597</v>
      </c>
      <c r="J201" s="122"/>
      <c r="K201" s="122"/>
      <c r="L201" s="122"/>
      <c r="M201" s="122"/>
      <c r="N201" s="122"/>
      <c r="O201" s="119"/>
    </row>
    <row r="202" spans="2:15" s="166" customFormat="1" ht="35.1" customHeight="1">
      <c r="B202" s="167"/>
      <c r="C202" s="168"/>
      <c r="D202" s="990" t="s">
        <v>1642</v>
      </c>
      <c r="E202" s="989"/>
      <c r="F202" s="989"/>
      <c r="G202" s="989"/>
      <c r="H202" s="989"/>
      <c r="I202" s="991"/>
      <c r="J202" s="165"/>
      <c r="K202" s="165"/>
      <c r="L202" s="165"/>
      <c r="M202" s="165"/>
      <c r="N202" s="165"/>
      <c r="O202" s="165"/>
    </row>
    <row r="203" spans="2:15" s="120" customFormat="1" ht="35.1" customHeight="1">
      <c r="B203" s="130">
        <v>7</v>
      </c>
      <c r="C203" s="128" t="str">
        <f>'[1]Lamp_1 (Konstruksi 1-199)'!$D$1432</f>
        <v>PEKERJAAN PLESTERAN</v>
      </c>
      <c r="D203" s="149">
        <v>1</v>
      </c>
      <c r="E203" s="775" t="s">
        <v>298</v>
      </c>
      <c r="F203" s="112">
        <v>1</v>
      </c>
      <c r="G203" s="147" t="s">
        <v>598</v>
      </c>
      <c r="H203" s="112">
        <v>1</v>
      </c>
      <c r="I203" s="147" t="s">
        <v>598</v>
      </c>
      <c r="J203" s="119"/>
      <c r="K203" s="119"/>
      <c r="L203" s="119"/>
      <c r="M203" s="119"/>
      <c r="N203" s="119"/>
      <c r="O203" s="119"/>
    </row>
    <row r="204" spans="2:15" s="120" customFormat="1" ht="35.1" customHeight="1">
      <c r="B204" s="995"/>
      <c r="C204" s="983" t="s">
        <v>460</v>
      </c>
      <c r="D204" s="149">
        <v>2</v>
      </c>
      <c r="E204" s="775" t="s">
        <v>299</v>
      </c>
      <c r="F204" s="112">
        <v>2</v>
      </c>
      <c r="G204" s="147" t="s">
        <v>599</v>
      </c>
      <c r="H204" s="112">
        <v>2</v>
      </c>
      <c r="I204" s="147" t="s">
        <v>599</v>
      </c>
      <c r="J204" s="119"/>
      <c r="K204" s="119"/>
      <c r="L204" s="119"/>
      <c r="M204" s="119"/>
      <c r="N204" s="119"/>
      <c r="O204" s="119"/>
    </row>
    <row r="205" spans="2:15" s="120" customFormat="1" ht="35.1" customHeight="1">
      <c r="B205" s="996"/>
      <c r="C205" s="984"/>
      <c r="D205" s="149">
        <v>3</v>
      </c>
      <c r="E205" s="775" t="s">
        <v>300</v>
      </c>
      <c r="F205" s="112">
        <v>3</v>
      </c>
      <c r="G205" s="147" t="s">
        <v>600</v>
      </c>
      <c r="H205" s="112">
        <v>3</v>
      </c>
      <c r="I205" s="147" t="s">
        <v>600</v>
      </c>
      <c r="J205" s="119"/>
      <c r="K205" s="119"/>
      <c r="L205" s="119"/>
      <c r="M205" s="119"/>
      <c r="N205" s="119"/>
      <c r="O205" s="119"/>
    </row>
    <row r="206" spans="2:15" s="120" customFormat="1" ht="35.1" customHeight="1">
      <c r="B206" s="996"/>
      <c r="C206" s="984"/>
      <c r="D206" s="149">
        <v>4</v>
      </c>
      <c r="E206" s="775" t="s">
        <v>301</v>
      </c>
      <c r="F206" s="112">
        <v>4</v>
      </c>
      <c r="G206" s="147" t="s">
        <v>601</v>
      </c>
      <c r="H206" s="112">
        <v>4</v>
      </c>
      <c r="I206" s="147" t="s">
        <v>601</v>
      </c>
      <c r="J206" s="119"/>
      <c r="K206" s="119"/>
      <c r="L206" s="119"/>
      <c r="M206" s="119"/>
      <c r="N206" s="119"/>
      <c r="O206" s="119"/>
    </row>
    <row r="207" spans="2:15" s="120" customFormat="1" ht="35.1" customHeight="1">
      <c r="B207" s="996"/>
      <c r="C207" s="984"/>
      <c r="D207" s="149">
        <v>5</v>
      </c>
      <c r="E207" s="775" t="s">
        <v>302</v>
      </c>
      <c r="F207" s="112">
        <v>5</v>
      </c>
      <c r="G207" s="147" t="s">
        <v>602</v>
      </c>
      <c r="H207" s="112">
        <v>5</v>
      </c>
      <c r="I207" s="147" t="s">
        <v>602</v>
      </c>
      <c r="J207" s="119"/>
      <c r="K207" s="119"/>
      <c r="L207" s="119"/>
      <c r="M207" s="119"/>
      <c r="N207" s="119"/>
      <c r="O207" s="119"/>
    </row>
    <row r="208" spans="2:15" s="120" customFormat="1" ht="35.1" customHeight="1">
      <c r="B208" s="996"/>
      <c r="C208" s="984"/>
      <c r="D208" s="149">
        <v>6</v>
      </c>
      <c r="E208" s="775" t="s">
        <v>303</v>
      </c>
      <c r="F208" s="112">
        <v>6</v>
      </c>
      <c r="G208" s="147" t="s">
        <v>603</v>
      </c>
      <c r="H208" s="112">
        <v>6</v>
      </c>
      <c r="I208" s="147" t="s">
        <v>603</v>
      </c>
      <c r="J208" s="119"/>
      <c r="K208" s="119"/>
      <c r="L208" s="119"/>
      <c r="M208" s="119"/>
      <c r="N208" s="119"/>
      <c r="O208" s="119"/>
    </row>
    <row r="209" spans="2:15" s="120" customFormat="1" ht="35.1" customHeight="1">
      <c r="B209" s="996"/>
      <c r="C209" s="984"/>
      <c r="D209" s="149">
        <v>7</v>
      </c>
      <c r="E209" s="775" t="s">
        <v>304</v>
      </c>
      <c r="F209" s="112">
        <v>7</v>
      </c>
      <c r="G209" s="147" t="s">
        <v>604</v>
      </c>
      <c r="H209" s="112">
        <v>7</v>
      </c>
      <c r="I209" s="147" t="s">
        <v>604</v>
      </c>
      <c r="J209" s="119"/>
      <c r="K209" s="119"/>
      <c r="L209" s="119"/>
      <c r="M209" s="119"/>
      <c r="N209" s="119"/>
      <c r="O209" s="119"/>
    </row>
    <row r="210" spans="2:15" s="120" customFormat="1" ht="35.1" customHeight="1">
      <c r="B210" s="996"/>
      <c r="C210" s="984"/>
      <c r="D210" s="149">
        <v>8</v>
      </c>
      <c r="E210" s="775" t="s">
        <v>305</v>
      </c>
      <c r="F210" s="112">
        <v>8</v>
      </c>
      <c r="G210" s="147" t="s">
        <v>605</v>
      </c>
      <c r="H210" s="112">
        <v>8</v>
      </c>
      <c r="I210" s="147" t="s">
        <v>605</v>
      </c>
      <c r="J210" s="119"/>
      <c r="K210" s="119"/>
      <c r="L210" s="119"/>
      <c r="M210" s="119"/>
      <c r="N210" s="119"/>
      <c r="O210" s="119"/>
    </row>
    <row r="211" spans="2:15" s="120" customFormat="1" ht="35.1" customHeight="1">
      <c r="B211" s="996"/>
      <c r="C211" s="984"/>
      <c r="D211" s="149">
        <v>9</v>
      </c>
      <c r="E211" s="775" t="s">
        <v>306</v>
      </c>
      <c r="F211" s="112">
        <v>9</v>
      </c>
      <c r="G211" s="147" t="s">
        <v>606</v>
      </c>
      <c r="H211" s="112">
        <v>9</v>
      </c>
      <c r="I211" s="147" t="s">
        <v>606</v>
      </c>
      <c r="J211" s="119"/>
      <c r="K211" s="119"/>
      <c r="L211" s="119"/>
      <c r="M211" s="119"/>
      <c r="N211" s="119"/>
      <c r="O211" s="119"/>
    </row>
    <row r="212" spans="2:15" s="120" customFormat="1" ht="35.1" customHeight="1">
      <c r="B212" s="996"/>
      <c r="C212" s="984"/>
      <c r="D212" s="149">
        <v>10</v>
      </c>
      <c r="E212" s="775" t="s">
        <v>307</v>
      </c>
      <c r="F212" s="112">
        <v>10</v>
      </c>
      <c r="G212" s="147" t="s">
        <v>607</v>
      </c>
      <c r="H212" s="112">
        <v>10</v>
      </c>
      <c r="I212" s="147" t="s">
        <v>607</v>
      </c>
      <c r="J212" s="119"/>
      <c r="K212" s="119"/>
      <c r="L212" s="119"/>
      <c r="M212" s="119"/>
      <c r="N212" s="119"/>
      <c r="O212" s="119"/>
    </row>
    <row r="213" spans="2:15" s="120" customFormat="1" ht="35.1" customHeight="1">
      <c r="B213" s="996"/>
      <c r="C213" s="984"/>
      <c r="D213" s="149">
        <v>11</v>
      </c>
      <c r="E213" s="775" t="s">
        <v>308</v>
      </c>
      <c r="F213" s="112">
        <v>11</v>
      </c>
      <c r="G213" s="147" t="s">
        <v>608</v>
      </c>
      <c r="H213" s="112">
        <v>11</v>
      </c>
      <c r="I213" s="147" t="s">
        <v>608</v>
      </c>
      <c r="J213" s="119"/>
      <c r="K213" s="119"/>
      <c r="L213" s="119"/>
      <c r="M213" s="119"/>
      <c r="N213" s="119"/>
      <c r="O213" s="119"/>
    </row>
    <row r="214" spans="2:15" s="120" customFormat="1" ht="35.1" customHeight="1">
      <c r="B214" s="996"/>
      <c r="C214" s="984"/>
      <c r="D214" s="149">
        <v>12</v>
      </c>
      <c r="E214" s="775" t="s">
        <v>309</v>
      </c>
      <c r="F214" s="112">
        <v>12</v>
      </c>
      <c r="G214" s="147" t="s">
        <v>609</v>
      </c>
      <c r="H214" s="112">
        <v>12</v>
      </c>
      <c r="I214" s="147" t="s">
        <v>609</v>
      </c>
      <c r="J214" s="119"/>
      <c r="K214" s="119"/>
      <c r="L214" s="119"/>
      <c r="M214" s="119"/>
      <c r="N214" s="119"/>
      <c r="O214" s="119"/>
    </row>
    <row r="215" spans="2:15" s="120" customFormat="1" ht="35.1" customHeight="1">
      <c r="B215" s="996"/>
      <c r="C215" s="984"/>
      <c r="D215" s="149">
        <v>13</v>
      </c>
      <c r="E215" s="775" t="s">
        <v>310</v>
      </c>
      <c r="F215" s="136"/>
      <c r="G215" s="150"/>
      <c r="H215" s="136"/>
      <c r="I215" s="150"/>
      <c r="J215" s="119"/>
      <c r="K215" s="119"/>
      <c r="L215" s="119"/>
      <c r="M215" s="119"/>
      <c r="N215" s="119"/>
      <c r="O215" s="119"/>
    </row>
    <row r="216" spans="2:15" s="120" customFormat="1" ht="35.1" customHeight="1">
      <c r="B216" s="996"/>
      <c r="C216" s="984"/>
      <c r="D216" s="149">
        <v>14</v>
      </c>
      <c r="E216" s="775" t="s">
        <v>311</v>
      </c>
      <c r="F216" s="112">
        <v>13</v>
      </c>
      <c r="G216" s="147" t="s">
        <v>610</v>
      </c>
      <c r="H216" s="112">
        <v>13</v>
      </c>
      <c r="I216" s="147" t="s">
        <v>610</v>
      </c>
      <c r="J216" s="119"/>
      <c r="K216" s="119"/>
      <c r="L216" s="119"/>
      <c r="M216" s="119"/>
      <c r="N216" s="119"/>
      <c r="O216" s="119"/>
    </row>
    <row r="217" spans="2:15" s="120" customFormat="1" ht="35.1" customHeight="1">
      <c r="B217" s="996"/>
      <c r="C217" s="984"/>
      <c r="D217" s="149">
        <v>15</v>
      </c>
      <c r="E217" s="775" t="s">
        <v>312</v>
      </c>
      <c r="F217" s="112">
        <v>14</v>
      </c>
      <c r="G217" s="147" t="s">
        <v>611</v>
      </c>
      <c r="H217" s="112">
        <v>14</v>
      </c>
      <c r="I217" s="147" t="s">
        <v>611</v>
      </c>
      <c r="J217" s="119"/>
      <c r="K217" s="119"/>
      <c r="L217" s="119"/>
      <c r="M217" s="119"/>
      <c r="N217" s="119"/>
      <c r="O217" s="119"/>
    </row>
    <row r="218" spans="2:15" s="120" customFormat="1" ht="35.1" customHeight="1">
      <c r="B218" s="996"/>
      <c r="C218" s="984"/>
      <c r="D218" s="149">
        <v>16</v>
      </c>
      <c r="E218" s="775" t="s">
        <v>313</v>
      </c>
      <c r="F218" s="112">
        <v>15</v>
      </c>
      <c r="G218" s="147" t="s">
        <v>612</v>
      </c>
      <c r="H218" s="112">
        <v>15</v>
      </c>
      <c r="I218" s="147" t="s">
        <v>612</v>
      </c>
      <c r="J218" s="119"/>
      <c r="K218" s="119"/>
      <c r="L218" s="119"/>
      <c r="M218" s="119"/>
      <c r="N218" s="119"/>
      <c r="O218" s="119"/>
    </row>
    <row r="219" spans="2:15" s="120" customFormat="1" ht="35.1" customHeight="1">
      <c r="B219" s="996"/>
      <c r="C219" s="984"/>
      <c r="D219" s="149">
        <v>17</v>
      </c>
      <c r="E219" s="775" t="s">
        <v>314</v>
      </c>
      <c r="F219" s="112">
        <v>16</v>
      </c>
      <c r="G219" s="147" t="s">
        <v>613</v>
      </c>
      <c r="H219" s="112">
        <v>16</v>
      </c>
      <c r="I219" s="147" t="s">
        <v>613</v>
      </c>
      <c r="J219" s="119"/>
      <c r="K219" s="119"/>
      <c r="L219" s="119"/>
      <c r="M219" s="119"/>
      <c r="N219" s="119"/>
      <c r="O219" s="119"/>
    </row>
    <row r="220" spans="2:15" s="120" customFormat="1" ht="35.1" customHeight="1">
      <c r="B220" s="996"/>
      <c r="C220" s="984"/>
      <c r="D220" s="149">
        <v>18</v>
      </c>
      <c r="E220" s="775" t="s">
        <v>315</v>
      </c>
      <c r="F220" s="112">
        <v>17</v>
      </c>
      <c r="G220" s="147" t="s">
        <v>614</v>
      </c>
      <c r="H220" s="112">
        <v>17</v>
      </c>
      <c r="I220" s="147" t="s">
        <v>614</v>
      </c>
      <c r="J220" s="119"/>
      <c r="K220" s="119"/>
      <c r="L220" s="119"/>
      <c r="M220" s="119"/>
      <c r="N220" s="119"/>
      <c r="O220" s="119"/>
    </row>
    <row r="221" spans="2:15" s="120" customFormat="1" ht="35.1" customHeight="1">
      <c r="B221" s="996"/>
      <c r="C221" s="984"/>
      <c r="D221" s="149">
        <v>19</v>
      </c>
      <c r="E221" s="775" t="s">
        <v>316</v>
      </c>
      <c r="F221" s="112">
        <v>18</v>
      </c>
      <c r="G221" s="147" t="s">
        <v>615</v>
      </c>
      <c r="H221" s="112">
        <v>18</v>
      </c>
      <c r="I221" s="147" t="s">
        <v>615</v>
      </c>
      <c r="J221" s="119"/>
      <c r="K221" s="119"/>
      <c r="L221" s="119"/>
      <c r="M221" s="119"/>
      <c r="N221" s="119"/>
      <c r="O221" s="119"/>
    </row>
    <row r="222" spans="2:15" s="120" customFormat="1" ht="35.1" customHeight="1">
      <c r="B222" s="996"/>
      <c r="C222" s="984"/>
      <c r="D222" s="149">
        <v>20</v>
      </c>
      <c r="E222" s="775" t="s">
        <v>317</v>
      </c>
      <c r="F222" s="112">
        <v>19</v>
      </c>
      <c r="G222" s="147" t="s">
        <v>616</v>
      </c>
      <c r="H222" s="112">
        <v>19</v>
      </c>
      <c r="I222" s="147" t="s">
        <v>616</v>
      </c>
      <c r="J222" s="119"/>
      <c r="K222" s="119"/>
      <c r="L222" s="119"/>
      <c r="M222" s="119"/>
      <c r="N222" s="119"/>
      <c r="O222" s="119"/>
    </row>
    <row r="223" spans="2:15" s="120" customFormat="1" ht="35.1" customHeight="1">
      <c r="B223" s="996"/>
      <c r="C223" s="984"/>
      <c r="D223" s="149">
        <v>21</v>
      </c>
      <c r="E223" s="775" t="s">
        <v>318</v>
      </c>
      <c r="F223" s="112">
        <v>20</v>
      </c>
      <c r="G223" s="147" t="s">
        <v>617</v>
      </c>
      <c r="H223" s="112">
        <v>20</v>
      </c>
      <c r="I223" s="147" t="s">
        <v>617</v>
      </c>
      <c r="J223" s="119"/>
      <c r="K223" s="119"/>
      <c r="L223" s="119"/>
      <c r="M223" s="119"/>
      <c r="N223" s="119"/>
      <c r="O223" s="119"/>
    </row>
    <row r="224" spans="2:15" s="120" customFormat="1" ht="35.1" customHeight="1">
      <c r="B224" s="996"/>
      <c r="C224" s="984"/>
      <c r="D224" s="149">
        <v>22</v>
      </c>
      <c r="E224" s="775" t="s">
        <v>319</v>
      </c>
      <c r="F224" s="136"/>
      <c r="G224" s="150"/>
      <c r="H224" s="136"/>
      <c r="I224" s="150"/>
      <c r="J224" s="119"/>
      <c r="K224" s="119"/>
      <c r="L224" s="119"/>
      <c r="M224" s="119"/>
      <c r="N224" s="119"/>
      <c r="O224" s="119"/>
    </row>
    <row r="225" spans="2:15" s="120" customFormat="1" ht="35.1" customHeight="1">
      <c r="B225" s="996"/>
      <c r="C225" s="984"/>
      <c r="D225" s="149">
        <v>23</v>
      </c>
      <c r="E225" s="775" t="s">
        <v>320</v>
      </c>
      <c r="F225" s="112">
        <v>21</v>
      </c>
      <c r="G225" s="147" t="s">
        <v>618</v>
      </c>
      <c r="H225" s="112">
        <v>21</v>
      </c>
      <c r="I225" s="147" t="s">
        <v>618</v>
      </c>
      <c r="J225" s="119"/>
      <c r="K225" s="119"/>
      <c r="L225" s="119"/>
      <c r="M225" s="119"/>
      <c r="N225" s="119"/>
      <c r="O225" s="119"/>
    </row>
    <row r="226" spans="2:15" s="120" customFormat="1" ht="35.1" customHeight="1">
      <c r="B226" s="996"/>
      <c r="C226" s="984"/>
      <c r="D226" s="149">
        <v>24</v>
      </c>
      <c r="E226" s="775" t="s">
        <v>321</v>
      </c>
      <c r="F226" s="112">
        <v>22</v>
      </c>
      <c r="G226" s="147" t="s">
        <v>619</v>
      </c>
      <c r="H226" s="112">
        <v>22</v>
      </c>
      <c r="I226" s="147" t="s">
        <v>619</v>
      </c>
      <c r="J226" s="119"/>
      <c r="K226" s="119"/>
      <c r="L226" s="119"/>
      <c r="M226" s="119"/>
      <c r="N226" s="119"/>
      <c r="O226" s="119"/>
    </row>
    <row r="227" spans="2:15" s="120" customFormat="1" ht="35.1" customHeight="1">
      <c r="B227" s="996"/>
      <c r="C227" s="984"/>
      <c r="D227" s="149">
        <v>25</v>
      </c>
      <c r="E227" s="775" t="s">
        <v>322</v>
      </c>
      <c r="F227" s="112">
        <v>23</v>
      </c>
      <c r="G227" s="147" t="s">
        <v>620</v>
      </c>
      <c r="H227" s="112">
        <v>23</v>
      </c>
      <c r="I227" s="147" t="s">
        <v>620</v>
      </c>
      <c r="J227" s="119"/>
      <c r="K227" s="119"/>
      <c r="L227" s="119"/>
      <c r="M227" s="119"/>
      <c r="N227" s="119"/>
      <c r="O227" s="119"/>
    </row>
    <row r="228" spans="2:15" s="120" customFormat="1" ht="35.1" customHeight="1">
      <c r="B228" s="996"/>
      <c r="C228" s="984"/>
      <c r="D228" s="149">
        <v>26</v>
      </c>
      <c r="E228" s="775" t="s">
        <v>323</v>
      </c>
      <c r="F228" s="112">
        <v>24</v>
      </c>
      <c r="G228" s="147" t="s">
        <v>621</v>
      </c>
      <c r="H228" s="112">
        <v>24</v>
      </c>
      <c r="I228" s="147" t="s">
        <v>621</v>
      </c>
      <c r="J228" s="119"/>
      <c r="K228" s="119"/>
      <c r="L228" s="119"/>
      <c r="M228" s="119"/>
      <c r="N228" s="119"/>
      <c r="O228" s="119"/>
    </row>
    <row r="229" spans="2:15" s="120" customFormat="1" ht="35.1" customHeight="1">
      <c r="B229" s="996"/>
      <c r="C229" s="984"/>
      <c r="D229" s="149">
        <v>27</v>
      </c>
      <c r="E229" s="775" t="s">
        <v>324</v>
      </c>
      <c r="F229" s="112">
        <v>25</v>
      </c>
      <c r="G229" s="147" t="s">
        <v>622</v>
      </c>
      <c r="H229" s="112">
        <v>25</v>
      </c>
      <c r="I229" s="147" t="s">
        <v>622</v>
      </c>
      <c r="J229" s="119"/>
      <c r="K229" s="119"/>
      <c r="L229" s="119"/>
      <c r="M229" s="119"/>
      <c r="N229" s="119"/>
      <c r="O229" s="119"/>
    </row>
    <row r="230" spans="2:15" s="120" customFormat="1" ht="35.1" customHeight="1">
      <c r="B230" s="996"/>
      <c r="C230" s="984"/>
      <c r="D230" s="149">
        <v>28</v>
      </c>
      <c r="E230" s="775" t="s">
        <v>325</v>
      </c>
      <c r="F230" s="112">
        <v>26</v>
      </c>
      <c r="G230" s="147" t="s">
        <v>624</v>
      </c>
      <c r="H230" s="112">
        <v>26</v>
      </c>
      <c r="I230" s="147" t="s">
        <v>624</v>
      </c>
      <c r="J230" s="119"/>
      <c r="K230" s="119"/>
      <c r="L230" s="119"/>
      <c r="M230" s="119"/>
      <c r="N230" s="119"/>
      <c r="O230" s="119"/>
    </row>
    <row r="231" spans="2:15" s="120" customFormat="1" ht="35.1" customHeight="1">
      <c r="B231" s="996"/>
      <c r="C231" s="984"/>
      <c r="D231" s="149">
        <v>29</v>
      </c>
      <c r="E231" s="775" t="s">
        <v>326</v>
      </c>
      <c r="F231" s="112">
        <v>27</v>
      </c>
      <c r="G231" s="147" t="s">
        <v>623</v>
      </c>
      <c r="H231" s="112">
        <v>27</v>
      </c>
      <c r="I231" s="147" t="s">
        <v>623</v>
      </c>
      <c r="J231" s="119"/>
      <c r="K231" s="119"/>
      <c r="L231" s="119"/>
      <c r="M231" s="119"/>
      <c r="N231" s="119"/>
      <c r="O231" s="119"/>
    </row>
    <row r="232" spans="2:15" s="120" customFormat="1" ht="35.1" customHeight="1">
      <c r="B232" s="996"/>
      <c r="C232" s="984"/>
      <c r="D232" s="149">
        <v>30</v>
      </c>
      <c r="E232" s="775" t="s">
        <v>327</v>
      </c>
      <c r="F232" s="136"/>
      <c r="G232" s="150"/>
      <c r="H232" s="136"/>
      <c r="I232" s="150"/>
      <c r="J232" s="119"/>
      <c r="K232" s="119"/>
      <c r="L232" s="119"/>
      <c r="M232" s="119"/>
      <c r="N232" s="119"/>
      <c r="O232" s="119"/>
    </row>
    <row r="233" spans="2:15" s="120" customFormat="1" ht="35.1" customHeight="1">
      <c r="B233" s="996"/>
      <c r="C233" s="984"/>
      <c r="D233" s="149">
        <v>31</v>
      </c>
      <c r="E233" s="775" t="s">
        <v>328</v>
      </c>
      <c r="F233" s="136"/>
      <c r="G233" s="150"/>
      <c r="H233" s="136"/>
      <c r="I233" s="150"/>
      <c r="J233" s="119"/>
      <c r="K233" s="119"/>
      <c r="L233" s="119"/>
      <c r="M233" s="119"/>
      <c r="N233" s="119"/>
      <c r="O233" s="119"/>
    </row>
    <row r="234" spans="2:15" s="120" customFormat="1" ht="35.1" customHeight="1">
      <c r="B234" s="996"/>
      <c r="C234" s="984"/>
      <c r="D234" s="149">
        <v>32</v>
      </c>
      <c r="E234" s="775" t="s">
        <v>329</v>
      </c>
      <c r="F234" s="136"/>
      <c r="G234" s="150"/>
      <c r="H234" s="136"/>
      <c r="I234" s="150"/>
      <c r="J234" s="119"/>
      <c r="K234" s="119"/>
      <c r="L234" s="119"/>
      <c r="M234" s="119"/>
      <c r="N234" s="119"/>
      <c r="O234" s="119"/>
    </row>
    <row r="235" spans="2:15" s="120" customFormat="1" ht="35.1" customHeight="1">
      <c r="B235" s="996"/>
      <c r="C235" s="984"/>
      <c r="D235" s="149">
        <v>33</v>
      </c>
      <c r="E235" s="775" t="s">
        <v>330</v>
      </c>
      <c r="F235" s="136"/>
      <c r="G235" s="143"/>
      <c r="H235" s="136"/>
      <c r="I235" s="176"/>
      <c r="J235" s="119"/>
      <c r="K235" s="119"/>
      <c r="L235" s="119"/>
      <c r="M235" s="119"/>
      <c r="N235" s="119"/>
      <c r="O235" s="119"/>
    </row>
    <row r="236" spans="2:15" s="120" customFormat="1" ht="35.1" customHeight="1">
      <c r="B236" s="996"/>
      <c r="C236" s="984"/>
      <c r="D236" s="175"/>
      <c r="E236" s="775"/>
      <c r="F236" s="136">
        <v>28</v>
      </c>
      <c r="G236" s="787" t="s">
        <v>808</v>
      </c>
      <c r="H236" s="136"/>
      <c r="I236" s="176"/>
      <c r="J236" s="119"/>
      <c r="K236" s="119"/>
      <c r="L236" s="119"/>
      <c r="M236" s="119"/>
      <c r="N236" s="119"/>
      <c r="O236" s="119"/>
    </row>
    <row r="237" spans="2:15" s="120" customFormat="1" ht="35.1" customHeight="1">
      <c r="B237" s="997"/>
      <c r="C237" s="985"/>
      <c r="E237" s="118"/>
      <c r="F237" s="136">
        <v>29</v>
      </c>
      <c r="G237" s="788" t="s">
        <v>809</v>
      </c>
      <c r="H237" s="136"/>
      <c r="I237" s="150"/>
      <c r="J237" s="119"/>
      <c r="K237" s="119"/>
      <c r="L237" s="119"/>
      <c r="M237" s="119"/>
      <c r="N237" s="119"/>
      <c r="O237" s="119"/>
    </row>
    <row r="238" spans="2:15" s="166" customFormat="1" ht="35.1" customHeight="1">
      <c r="B238" s="167"/>
      <c r="C238" s="168"/>
      <c r="D238" s="980" t="s">
        <v>1643</v>
      </c>
      <c r="E238" s="981"/>
      <c r="F238" s="981"/>
      <c r="G238" s="981"/>
      <c r="H238" s="981"/>
      <c r="I238" s="982"/>
      <c r="J238" s="165"/>
      <c r="K238" s="165"/>
      <c r="L238" s="165"/>
      <c r="M238" s="165"/>
      <c r="N238" s="165"/>
      <c r="O238" s="165"/>
    </row>
    <row r="239" spans="2:15" s="120" customFormat="1" ht="35.1" customHeight="1">
      <c r="B239" s="117">
        <v>8</v>
      </c>
      <c r="C239" s="129" t="str">
        <f>'[1]Lamp_1 (Konstruksi 1-199)'!$D$1703</f>
        <v>PEKERJAAN PENUTUP LANTAI DAN DINDING</v>
      </c>
      <c r="D239" s="153">
        <v>1</v>
      </c>
      <c r="E239" s="775" t="s">
        <v>331</v>
      </c>
      <c r="F239" s="112">
        <v>1</v>
      </c>
      <c r="G239" s="154" t="s">
        <v>625</v>
      </c>
      <c r="H239" s="112">
        <v>1</v>
      </c>
      <c r="I239" s="154" t="s">
        <v>625</v>
      </c>
      <c r="J239" s="119"/>
      <c r="K239" s="119"/>
      <c r="L239" s="119"/>
      <c r="M239" s="119"/>
      <c r="N239" s="119"/>
      <c r="O239" s="119"/>
    </row>
    <row r="240" spans="2:15" s="120" customFormat="1" ht="35.1" customHeight="1">
      <c r="B240" s="995"/>
      <c r="C240" s="1009" t="s">
        <v>461</v>
      </c>
      <c r="D240" s="149">
        <v>2</v>
      </c>
      <c r="E240" s="775" t="s">
        <v>332</v>
      </c>
      <c r="F240" s="112">
        <v>2</v>
      </c>
      <c r="G240" s="154" t="s">
        <v>626</v>
      </c>
      <c r="H240" s="112">
        <v>2</v>
      </c>
      <c r="I240" s="154" t="s">
        <v>626</v>
      </c>
      <c r="J240" s="119"/>
      <c r="K240" s="119"/>
      <c r="L240" s="119"/>
      <c r="M240" s="119"/>
      <c r="N240" s="119"/>
      <c r="O240" s="119"/>
    </row>
    <row r="241" spans="2:15" s="120" customFormat="1" ht="35.1" customHeight="1">
      <c r="B241" s="996"/>
      <c r="C241" s="1010"/>
      <c r="D241" s="149">
        <v>3</v>
      </c>
      <c r="E241" s="775" t="s">
        <v>333</v>
      </c>
      <c r="F241" s="112">
        <v>3</v>
      </c>
      <c r="G241" s="154" t="s">
        <v>627</v>
      </c>
      <c r="H241" s="112">
        <v>3</v>
      </c>
      <c r="I241" s="154" t="s">
        <v>627</v>
      </c>
      <c r="J241" s="119"/>
      <c r="K241" s="119"/>
      <c r="L241" s="119"/>
      <c r="M241" s="119"/>
      <c r="N241" s="119"/>
      <c r="O241" s="119"/>
    </row>
    <row r="242" spans="2:15" s="120" customFormat="1" ht="35.1" customHeight="1">
      <c r="B242" s="996"/>
      <c r="C242" s="1010"/>
      <c r="D242" s="149">
        <v>4</v>
      </c>
      <c r="E242" s="775" t="s">
        <v>334</v>
      </c>
      <c r="F242" s="112">
        <v>4</v>
      </c>
      <c r="G242" s="154" t="s">
        <v>628</v>
      </c>
      <c r="H242" s="112">
        <v>4</v>
      </c>
      <c r="I242" s="154" t="s">
        <v>628</v>
      </c>
      <c r="J242" s="119"/>
      <c r="K242" s="119"/>
      <c r="L242" s="119"/>
      <c r="M242" s="119"/>
      <c r="N242" s="119"/>
      <c r="O242" s="119"/>
    </row>
    <row r="243" spans="2:15" s="120" customFormat="1" ht="35.1" customHeight="1">
      <c r="B243" s="996"/>
      <c r="C243" s="1010"/>
      <c r="D243" s="149">
        <v>5</v>
      </c>
      <c r="E243" s="775" t="s">
        <v>335</v>
      </c>
      <c r="F243" s="112">
        <v>5</v>
      </c>
      <c r="G243" s="154" t="s">
        <v>629</v>
      </c>
      <c r="H243" s="112">
        <v>5</v>
      </c>
      <c r="I243" s="154" t="s">
        <v>629</v>
      </c>
      <c r="J243" s="119"/>
      <c r="K243" s="119"/>
      <c r="L243" s="119"/>
      <c r="M243" s="119"/>
      <c r="N243" s="119"/>
      <c r="O243" s="119"/>
    </row>
    <row r="244" spans="2:15" s="120" customFormat="1" ht="35.1" customHeight="1">
      <c r="B244" s="996"/>
      <c r="C244" s="1010"/>
      <c r="D244" s="149">
        <v>6</v>
      </c>
      <c r="E244" s="775" t="s">
        <v>336</v>
      </c>
      <c r="F244" s="112">
        <v>6</v>
      </c>
      <c r="G244" s="154" t="s">
        <v>630</v>
      </c>
      <c r="H244" s="112">
        <v>6</v>
      </c>
      <c r="I244" s="154" t="s">
        <v>630</v>
      </c>
      <c r="J244" s="119"/>
      <c r="K244" s="119"/>
      <c r="L244" s="119"/>
      <c r="M244" s="119"/>
      <c r="N244" s="119"/>
      <c r="O244" s="119"/>
    </row>
    <row r="245" spans="2:15" s="120" customFormat="1" ht="35.1" customHeight="1">
      <c r="B245" s="996"/>
      <c r="C245" s="1010"/>
      <c r="D245" s="149">
        <v>7</v>
      </c>
      <c r="E245" s="775" t="s">
        <v>337</v>
      </c>
      <c r="F245" s="112">
        <v>7</v>
      </c>
      <c r="G245" s="154" t="s">
        <v>631</v>
      </c>
      <c r="H245" s="112">
        <v>7</v>
      </c>
      <c r="I245" s="154" t="s">
        <v>631</v>
      </c>
      <c r="J245" s="119"/>
      <c r="K245" s="119"/>
      <c r="L245" s="119"/>
      <c r="M245" s="119"/>
      <c r="N245" s="119"/>
      <c r="O245" s="119"/>
    </row>
    <row r="246" spans="2:15" s="120" customFormat="1" ht="35.1" customHeight="1">
      <c r="B246" s="996"/>
      <c r="C246" s="1010"/>
      <c r="D246" s="149">
        <v>8</v>
      </c>
      <c r="E246" s="775" t="s">
        <v>338</v>
      </c>
      <c r="F246" s="112">
        <v>8</v>
      </c>
      <c r="G246" s="154" t="s">
        <v>632</v>
      </c>
      <c r="H246" s="112">
        <v>8</v>
      </c>
      <c r="I246" s="154" t="s">
        <v>632</v>
      </c>
      <c r="J246" s="119"/>
      <c r="K246" s="119"/>
      <c r="L246" s="119"/>
      <c r="M246" s="119"/>
      <c r="N246" s="119"/>
      <c r="O246" s="119"/>
    </row>
    <row r="247" spans="2:15" s="120" customFormat="1" ht="35.1" customHeight="1">
      <c r="B247" s="996"/>
      <c r="C247" s="1010"/>
      <c r="D247" s="149">
        <v>9</v>
      </c>
      <c r="E247" s="775" t="s">
        <v>339</v>
      </c>
      <c r="F247" s="112">
        <v>9</v>
      </c>
      <c r="G247" s="154" t="s">
        <v>633</v>
      </c>
      <c r="H247" s="112">
        <v>9</v>
      </c>
      <c r="I247" s="154" t="s">
        <v>633</v>
      </c>
      <c r="J247" s="119"/>
      <c r="K247" s="119"/>
      <c r="L247" s="119"/>
      <c r="M247" s="119"/>
      <c r="N247" s="119"/>
      <c r="O247" s="119"/>
    </row>
    <row r="248" spans="2:15" s="120" customFormat="1" ht="35.1" customHeight="1">
      <c r="B248" s="996"/>
      <c r="C248" s="1010"/>
      <c r="D248" s="149">
        <v>10</v>
      </c>
      <c r="E248" s="775" t="s">
        <v>340</v>
      </c>
      <c r="F248" s="112">
        <v>10</v>
      </c>
      <c r="G248" s="154" t="s">
        <v>634</v>
      </c>
      <c r="H248" s="112">
        <v>10</v>
      </c>
      <c r="I248" s="154" t="s">
        <v>634</v>
      </c>
      <c r="J248" s="119"/>
      <c r="K248" s="119"/>
      <c r="L248" s="119"/>
      <c r="M248" s="119"/>
      <c r="N248" s="119"/>
      <c r="O248" s="119"/>
    </row>
    <row r="249" spans="2:15" s="120" customFormat="1" ht="35.1" customHeight="1">
      <c r="B249" s="996"/>
      <c r="C249" s="1010"/>
      <c r="D249" s="149">
        <v>11</v>
      </c>
      <c r="E249" s="775" t="s">
        <v>341</v>
      </c>
      <c r="F249" s="112">
        <v>11</v>
      </c>
      <c r="G249" s="154" t="s">
        <v>635</v>
      </c>
      <c r="H249" s="112">
        <v>11</v>
      </c>
      <c r="I249" s="154" t="s">
        <v>635</v>
      </c>
      <c r="J249" s="119"/>
      <c r="K249" s="119"/>
      <c r="L249" s="119"/>
      <c r="M249" s="119"/>
      <c r="N249" s="119"/>
      <c r="O249" s="119"/>
    </row>
    <row r="250" spans="2:15" s="120" customFormat="1" ht="35.1" customHeight="1">
      <c r="B250" s="996"/>
      <c r="C250" s="1010"/>
      <c r="D250" s="149">
        <v>12</v>
      </c>
      <c r="E250" s="775" t="s">
        <v>342</v>
      </c>
      <c r="F250" s="112">
        <v>12</v>
      </c>
      <c r="G250" s="154" t="s">
        <v>636</v>
      </c>
      <c r="H250" s="112">
        <v>12</v>
      </c>
      <c r="I250" s="154" t="s">
        <v>636</v>
      </c>
      <c r="J250" s="119"/>
      <c r="K250" s="119"/>
      <c r="L250" s="119"/>
      <c r="M250" s="119"/>
      <c r="N250" s="119"/>
      <c r="O250" s="119"/>
    </row>
    <row r="251" spans="2:15" s="120" customFormat="1" ht="35.1" customHeight="1">
      <c r="B251" s="996"/>
      <c r="C251" s="1010"/>
      <c r="D251" s="149">
        <v>13</v>
      </c>
      <c r="E251" s="775" t="s">
        <v>343</v>
      </c>
      <c r="F251" s="112">
        <v>13</v>
      </c>
      <c r="G251" s="154" t="s">
        <v>637</v>
      </c>
      <c r="H251" s="112">
        <v>13</v>
      </c>
      <c r="I251" s="154" t="s">
        <v>637</v>
      </c>
      <c r="J251" s="119"/>
      <c r="K251" s="119"/>
      <c r="L251" s="119"/>
      <c r="M251" s="119"/>
      <c r="N251" s="119"/>
      <c r="O251" s="119"/>
    </row>
    <row r="252" spans="2:15" s="120" customFormat="1" ht="35.1" customHeight="1">
      <c r="B252" s="996"/>
      <c r="C252" s="1010"/>
      <c r="D252" s="149">
        <v>14</v>
      </c>
      <c r="E252" s="775" t="s">
        <v>344</v>
      </c>
      <c r="F252" s="112">
        <v>14</v>
      </c>
      <c r="G252" s="154" t="s">
        <v>638</v>
      </c>
      <c r="H252" s="112">
        <v>14</v>
      </c>
      <c r="I252" s="154" t="s">
        <v>638</v>
      </c>
      <c r="J252" s="119"/>
      <c r="K252" s="119"/>
      <c r="L252" s="119"/>
      <c r="M252" s="119"/>
      <c r="N252" s="119"/>
      <c r="O252" s="119"/>
    </row>
    <row r="253" spans="2:15" s="120" customFormat="1" ht="35.1" customHeight="1">
      <c r="B253" s="996"/>
      <c r="C253" s="1010"/>
      <c r="D253" s="149">
        <v>15</v>
      </c>
      <c r="E253" s="775" t="s">
        <v>345</v>
      </c>
      <c r="F253" s="112">
        <v>15</v>
      </c>
      <c r="G253" s="154" t="s">
        <v>639</v>
      </c>
      <c r="H253" s="112">
        <v>15</v>
      </c>
      <c r="I253" s="154" t="s">
        <v>639</v>
      </c>
      <c r="J253" s="119"/>
      <c r="K253" s="119"/>
      <c r="L253" s="119"/>
      <c r="M253" s="119"/>
      <c r="N253" s="119"/>
      <c r="O253" s="119"/>
    </row>
    <row r="254" spans="2:15" s="120" customFormat="1" ht="35.1" customHeight="1">
      <c r="B254" s="996"/>
      <c r="C254" s="1010"/>
      <c r="D254" s="149">
        <v>16</v>
      </c>
      <c r="E254" s="775" t="s">
        <v>346</v>
      </c>
      <c r="F254" s="112">
        <v>16</v>
      </c>
      <c r="G254" s="154" t="s">
        <v>640</v>
      </c>
      <c r="H254" s="112">
        <v>16</v>
      </c>
      <c r="I254" s="154" t="s">
        <v>640</v>
      </c>
      <c r="J254" s="119"/>
      <c r="K254" s="119"/>
      <c r="L254" s="119"/>
      <c r="M254" s="119"/>
      <c r="N254" s="119"/>
      <c r="O254" s="119"/>
    </row>
    <row r="255" spans="2:15" s="120" customFormat="1" ht="35.1" customHeight="1">
      <c r="B255" s="996"/>
      <c r="C255" s="1010"/>
      <c r="D255" s="149">
        <v>17</v>
      </c>
      <c r="E255" s="775" t="s">
        <v>347</v>
      </c>
      <c r="F255" s="112">
        <v>17</v>
      </c>
      <c r="G255" s="154" t="s">
        <v>641</v>
      </c>
      <c r="H255" s="112">
        <v>17</v>
      </c>
      <c r="I255" s="154" t="s">
        <v>641</v>
      </c>
      <c r="J255" s="119"/>
      <c r="K255" s="119"/>
      <c r="L255" s="119"/>
      <c r="M255" s="119"/>
      <c r="N255" s="119"/>
      <c r="O255" s="119"/>
    </row>
    <row r="256" spans="2:15" s="120" customFormat="1" ht="35.1" customHeight="1">
      <c r="B256" s="996"/>
      <c r="C256" s="1010"/>
      <c r="D256" s="149">
        <v>18</v>
      </c>
      <c r="E256" s="775" t="s">
        <v>348</v>
      </c>
      <c r="F256" s="112">
        <v>18</v>
      </c>
      <c r="G256" s="154" t="s">
        <v>642</v>
      </c>
      <c r="H256" s="112">
        <v>18</v>
      </c>
      <c r="I256" s="154" t="s">
        <v>642</v>
      </c>
      <c r="J256" s="119"/>
      <c r="K256" s="119"/>
      <c r="L256" s="119"/>
      <c r="M256" s="119"/>
      <c r="N256" s="119"/>
      <c r="O256" s="119"/>
    </row>
    <row r="257" spans="2:15" s="120" customFormat="1" ht="35.1" customHeight="1">
      <c r="B257" s="996"/>
      <c r="C257" s="1010"/>
      <c r="D257" s="149">
        <v>19</v>
      </c>
      <c r="E257" s="775" t="s">
        <v>349</v>
      </c>
      <c r="F257" s="136"/>
      <c r="G257" s="150"/>
      <c r="H257" s="136"/>
      <c r="I257" s="150"/>
      <c r="J257" s="119"/>
      <c r="K257" s="119"/>
      <c r="L257" s="119"/>
      <c r="M257" s="119"/>
      <c r="N257" s="119"/>
      <c r="O257" s="119"/>
    </row>
    <row r="258" spans="2:15" s="120" customFormat="1" ht="35.1" customHeight="1">
      <c r="B258" s="996"/>
      <c r="C258" s="1010"/>
      <c r="D258" s="149">
        <v>20</v>
      </c>
      <c r="E258" s="775" t="s">
        <v>350</v>
      </c>
      <c r="F258" s="112">
        <v>19</v>
      </c>
      <c r="G258" s="154" t="s">
        <v>643</v>
      </c>
      <c r="H258" s="112">
        <v>19</v>
      </c>
      <c r="I258" s="154" t="s">
        <v>643</v>
      </c>
      <c r="J258" s="119"/>
      <c r="K258" s="119"/>
      <c r="L258" s="119"/>
      <c r="M258" s="119"/>
      <c r="N258" s="119"/>
      <c r="O258" s="119"/>
    </row>
    <row r="259" spans="2:15" s="120" customFormat="1" ht="35.1" customHeight="1">
      <c r="B259" s="996"/>
      <c r="C259" s="1010"/>
      <c r="D259" s="149">
        <v>21</v>
      </c>
      <c r="E259" s="775" t="s">
        <v>351</v>
      </c>
      <c r="F259" s="112">
        <v>20</v>
      </c>
      <c r="G259" s="154" t="s">
        <v>644</v>
      </c>
      <c r="H259" s="112">
        <v>20</v>
      </c>
      <c r="I259" s="154" t="s">
        <v>644</v>
      </c>
      <c r="J259" s="119"/>
      <c r="K259" s="119"/>
      <c r="L259" s="119"/>
      <c r="M259" s="119"/>
      <c r="N259" s="119"/>
      <c r="O259" s="119"/>
    </row>
    <row r="260" spans="2:15" s="120" customFormat="1" ht="35.1" customHeight="1">
      <c r="B260" s="996"/>
      <c r="C260" s="1010"/>
      <c r="D260" s="149">
        <v>22</v>
      </c>
      <c r="E260" s="775" t="s">
        <v>352</v>
      </c>
      <c r="F260" s="112">
        <v>21</v>
      </c>
      <c r="G260" s="154" t="s">
        <v>645</v>
      </c>
      <c r="H260" s="112">
        <v>21</v>
      </c>
      <c r="I260" s="154" t="s">
        <v>645</v>
      </c>
      <c r="J260" s="119"/>
      <c r="K260" s="119"/>
      <c r="L260" s="119"/>
      <c r="M260" s="119"/>
      <c r="N260" s="119"/>
      <c r="O260" s="119"/>
    </row>
    <row r="261" spans="2:15" s="120" customFormat="1" ht="35.1" customHeight="1">
      <c r="B261" s="996"/>
      <c r="C261" s="1010"/>
      <c r="D261" s="149">
        <v>23</v>
      </c>
      <c r="E261" s="775" t="s">
        <v>353</v>
      </c>
      <c r="F261" s="112">
        <v>22</v>
      </c>
      <c r="G261" s="154" t="s">
        <v>646</v>
      </c>
      <c r="H261" s="112">
        <v>22</v>
      </c>
      <c r="I261" s="154" t="s">
        <v>646</v>
      </c>
      <c r="J261" s="119"/>
      <c r="K261" s="119"/>
      <c r="L261" s="119"/>
      <c r="M261" s="119"/>
      <c r="N261" s="119"/>
      <c r="O261" s="119"/>
    </row>
    <row r="262" spans="2:15" s="120" customFormat="1" ht="35.1" customHeight="1">
      <c r="B262" s="996"/>
      <c r="C262" s="1010"/>
      <c r="D262" s="149">
        <v>24</v>
      </c>
      <c r="E262" s="775" t="s">
        <v>354</v>
      </c>
      <c r="F262" s="112">
        <v>23</v>
      </c>
      <c r="G262" s="154" t="s">
        <v>647</v>
      </c>
      <c r="H262" s="112">
        <v>23</v>
      </c>
      <c r="I262" s="154" t="s">
        <v>647</v>
      </c>
      <c r="J262" s="119"/>
      <c r="K262" s="119"/>
      <c r="L262" s="119"/>
      <c r="M262" s="119"/>
      <c r="N262" s="119"/>
      <c r="O262" s="119"/>
    </row>
    <row r="263" spans="2:15" s="120" customFormat="1" ht="35.1" customHeight="1">
      <c r="B263" s="996"/>
      <c r="C263" s="1010"/>
      <c r="D263" s="149">
        <v>25</v>
      </c>
      <c r="E263" s="775" t="s">
        <v>355</v>
      </c>
      <c r="F263" s="112">
        <v>24</v>
      </c>
      <c r="G263" s="154" t="s">
        <v>648</v>
      </c>
      <c r="H263" s="112">
        <v>24</v>
      </c>
      <c r="I263" s="154" t="s">
        <v>648</v>
      </c>
      <c r="J263" s="119"/>
      <c r="K263" s="119"/>
      <c r="L263" s="119"/>
      <c r="M263" s="119"/>
      <c r="N263" s="119"/>
      <c r="O263" s="119"/>
    </row>
    <row r="264" spans="2:15" s="120" customFormat="1" ht="35.1" customHeight="1">
      <c r="B264" s="996"/>
      <c r="C264" s="1010"/>
      <c r="D264" s="149">
        <v>26</v>
      </c>
      <c r="E264" s="775" t="s">
        <v>356</v>
      </c>
      <c r="F264" s="112">
        <v>25</v>
      </c>
      <c r="G264" s="154" t="s">
        <v>649</v>
      </c>
      <c r="H264" s="112">
        <v>25</v>
      </c>
      <c r="I264" s="154" t="s">
        <v>649</v>
      </c>
      <c r="J264" s="119"/>
      <c r="K264" s="119"/>
      <c r="L264" s="119"/>
      <c r="M264" s="119"/>
      <c r="N264" s="119"/>
      <c r="O264" s="119"/>
    </row>
    <row r="265" spans="2:15" s="120" customFormat="1" ht="35.1" customHeight="1">
      <c r="B265" s="996"/>
      <c r="C265" s="1010"/>
      <c r="D265" s="149">
        <v>27</v>
      </c>
      <c r="E265" s="775" t="s">
        <v>357</v>
      </c>
      <c r="F265" s="112">
        <v>26</v>
      </c>
      <c r="G265" s="154" t="s">
        <v>650</v>
      </c>
      <c r="H265" s="112">
        <v>26</v>
      </c>
      <c r="I265" s="154" t="s">
        <v>650</v>
      </c>
      <c r="J265" s="119"/>
      <c r="K265" s="119"/>
      <c r="L265" s="119"/>
      <c r="M265" s="119"/>
      <c r="N265" s="119"/>
      <c r="O265" s="119"/>
    </row>
    <row r="266" spans="2:15" s="120" customFormat="1" ht="35.1" customHeight="1">
      <c r="B266" s="996"/>
      <c r="C266" s="1010"/>
      <c r="D266" s="149">
        <v>28</v>
      </c>
      <c r="E266" s="775" t="s">
        <v>358</v>
      </c>
      <c r="F266" s="112">
        <v>27</v>
      </c>
      <c r="G266" s="154" t="s">
        <v>651</v>
      </c>
      <c r="H266" s="112">
        <v>27</v>
      </c>
      <c r="I266" s="154" t="s">
        <v>651</v>
      </c>
      <c r="J266" s="119"/>
      <c r="K266" s="119"/>
      <c r="L266" s="119"/>
      <c r="M266" s="119"/>
      <c r="N266" s="119"/>
      <c r="O266" s="119"/>
    </row>
    <row r="267" spans="2:15" s="120" customFormat="1" ht="35.1" customHeight="1">
      <c r="B267" s="996"/>
      <c r="C267" s="1010"/>
      <c r="D267" s="149">
        <v>29</v>
      </c>
      <c r="E267" s="775" t="s">
        <v>359</v>
      </c>
      <c r="F267" s="112">
        <v>28</v>
      </c>
      <c r="G267" s="154" t="s">
        <v>652</v>
      </c>
      <c r="H267" s="112">
        <v>28</v>
      </c>
      <c r="I267" s="154" t="s">
        <v>652</v>
      </c>
      <c r="J267" s="119"/>
      <c r="K267" s="119"/>
      <c r="L267" s="119"/>
      <c r="M267" s="119"/>
      <c r="N267" s="119"/>
      <c r="O267" s="119"/>
    </row>
    <row r="268" spans="2:15" s="120" customFormat="1" ht="35.1" customHeight="1">
      <c r="B268" s="996"/>
      <c r="C268" s="1010"/>
      <c r="D268" s="149">
        <v>30</v>
      </c>
      <c r="E268" s="775" t="s">
        <v>360</v>
      </c>
      <c r="F268" s="112">
        <v>29</v>
      </c>
      <c r="G268" s="154" t="s">
        <v>653</v>
      </c>
      <c r="H268" s="112">
        <v>29</v>
      </c>
      <c r="I268" s="154" t="s">
        <v>653</v>
      </c>
      <c r="J268" s="119"/>
      <c r="K268" s="119"/>
      <c r="L268" s="119"/>
      <c r="M268" s="119"/>
      <c r="N268" s="119"/>
      <c r="O268" s="119"/>
    </row>
    <row r="269" spans="2:15" s="120" customFormat="1" ht="35.1" customHeight="1">
      <c r="B269" s="996"/>
      <c r="C269" s="1010"/>
      <c r="D269" s="149">
        <v>31</v>
      </c>
      <c r="E269" s="775" t="s">
        <v>361</v>
      </c>
      <c r="F269" s="112">
        <v>30</v>
      </c>
      <c r="G269" s="154" t="s">
        <v>654</v>
      </c>
      <c r="H269" s="112">
        <v>30</v>
      </c>
      <c r="I269" s="154" t="s">
        <v>654</v>
      </c>
      <c r="J269" s="119"/>
      <c r="K269" s="119"/>
      <c r="L269" s="119"/>
      <c r="M269" s="119"/>
      <c r="N269" s="119"/>
      <c r="O269" s="119"/>
    </row>
    <row r="270" spans="2:15" s="120" customFormat="1" ht="35.1" customHeight="1">
      <c r="B270" s="996"/>
      <c r="C270" s="1010"/>
      <c r="D270" s="149">
        <v>32</v>
      </c>
      <c r="E270" s="775" t="s">
        <v>362</v>
      </c>
      <c r="F270" s="112">
        <v>31</v>
      </c>
      <c r="G270" s="154" t="s">
        <v>655</v>
      </c>
      <c r="H270" s="112">
        <v>31</v>
      </c>
      <c r="I270" s="154" t="s">
        <v>655</v>
      </c>
      <c r="J270" s="119"/>
      <c r="K270" s="119"/>
      <c r="L270" s="119"/>
      <c r="M270" s="119"/>
      <c r="N270" s="119"/>
      <c r="O270" s="119"/>
    </row>
    <row r="271" spans="2:15" s="120" customFormat="1" ht="35.1" customHeight="1">
      <c r="B271" s="996"/>
      <c r="C271" s="1010"/>
      <c r="D271" s="149">
        <v>33</v>
      </c>
      <c r="E271" s="775" t="s">
        <v>363</v>
      </c>
      <c r="F271" s="112">
        <v>32</v>
      </c>
      <c r="G271" s="154" t="s">
        <v>656</v>
      </c>
      <c r="H271" s="112">
        <v>32</v>
      </c>
      <c r="I271" s="154" t="s">
        <v>656</v>
      </c>
      <c r="J271" s="119"/>
      <c r="K271" s="119"/>
      <c r="L271" s="119"/>
      <c r="M271" s="119"/>
      <c r="N271" s="119"/>
      <c r="O271" s="119"/>
    </row>
    <row r="272" spans="2:15" s="120" customFormat="1" ht="35.1" customHeight="1">
      <c r="B272" s="996"/>
      <c r="C272" s="1010"/>
      <c r="D272" s="149">
        <v>34</v>
      </c>
      <c r="E272" s="775" t="s">
        <v>364</v>
      </c>
      <c r="F272" s="112">
        <v>33</v>
      </c>
      <c r="G272" s="154" t="s">
        <v>657</v>
      </c>
      <c r="H272" s="112">
        <v>33</v>
      </c>
      <c r="I272" s="154" t="s">
        <v>657</v>
      </c>
      <c r="J272" s="119"/>
      <c r="K272" s="119"/>
      <c r="L272" s="119"/>
      <c r="M272" s="119"/>
      <c r="N272" s="119"/>
      <c r="O272" s="119"/>
    </row>
    <row r="273" spans="2:15" s="120" customFormat="1" ht="35.1" customHeight="1">
      <c r="B273" s="996"/>
      <c r="C273" s="1010"/>
      <c r="D273" s="149">
        <v>35</v>
      </c>
      <c r="E273" s="775" t="s">
        <v>365</v>
      </c>
      <c r="F273" s="136"/>
      <c r="G273" s="150"/>
      <c r="H273" s="136"/>
      <c r="I273" s="150"/>
      <c r="J273" s="119"/>
      <c r="K273" s="119"/>
      <c r="L273" s="119"/>
      <c r="M273" s="119"/>
      <c r="N273" s="119"/>
      <c r="O273" s="119"/>
    </row>
    <row r="274" spans="2:15" s="120" customFormat="1" ht="35.1" customHeight="1">
      <c r="B274" s="996"/>
      <c r="C274" s="1010"/>
      <c r="D274" s="149">
        <v>36</v>
      </c>
      <c r="E274" s="775" t="s">
        <v>366</v>
      </c>
      <c r="F274" s="112">
        <v>34</v>
      </c>
      <c r="G274" s="154" t="s">
        <v>658</v>
      </c>
      <c r="H274" s="112">
        <v>34</v>
      </c>
      <c r="I274" s="154" t="s">
        <v>658</v>
      </c>
      <c r="J274" s="119"/>
      <c r="K274" s="119"/>
      <c r="L274" s="119"/>
      <c r="M274" s="119"/>
      <c r="N274" s="119"/>
      <c r="O274" s="119"/>
    </row>
    <row r="275" spans="2:15" s="120" customFormat="1" ht="35.1" customHeight="1">
      <c r="B275" s="996"/>
      <c r="C275" s="1010"/>
      <c r="D275" s="149">
        <v>37</v>
      </c>
      <c r="E275" s="775" t="s">
        <v>367</v>
      </c>
      <c r="F275" s="112">
        <v>35</v>
      </c>
      <c r="G275" s="154" t="s">
        <v>659</v>
      </c>
      <c r="H275" s="112">
        <v>35</v>
      </c>
      <c r="I275" s="154" t="s">
        <v>659</v>
      </c>
      <c r="J275" s="119"/>
      <c r="K275" s="119"/>
      <c r="L275" s="119"/>
      <c r="M275" s="119"/>
      <c r="N275" s="119"/>
      <c r="O275" s="119"/>
    </row>
    <row r="276" spans="2:15" s="120" customFormat="1" ht="35.1" customHeight="1">
      <c r="B276" s="996"/>
      <c r="C276" s="1010"/>
      <c r="D276" s="149">
        <v>38</v>
      </c>
      <c r="E276" s="775" t="s">
        <v>368</v>
      </c>
      <c r="F276" s="112">
        <v>36</v>
      </c>
      <c r="G276" s="154" t="s">
        <v>660</v>
      </c>
      <c r="H276" s="112">
        <v>36</v>
      </c>
      <c r="I276" s="154" t="s">
        <v>660</v>
      </c>
      <c r="J276" s="119"/>
      <c r="K276" s="119"/>
      <c r="L276" s="119"/>
      <c r="M276" s="119"/>
      <c r="N276" s="119"/>
      <c r="O276" s="119"/>
    </row>
    <row r="277" spans="2:15" s="120" customFormat="1" ht="35.1" customHeight="1">
      <c r="B277" s="996"/>
      <c r="C277" s="1010"/>
      <c r="D277" s="149">
        <v>39</v>
      </c>
      <c r="E277" s="775" t="s">
        <v>369</v>
      </c>
      <c r="F277" s="136"/>
      <c r="G277" s="150"/>
      <c r="H277" s="136"/>
      <c r="I277" s="150"/>
      <c r="J277" s="119"/>
      <c r="K277" s="119"/>
      <c r="L277" s="119"/>
      <c r="M277" s="119"/>
      <c r="N277" s="119"/>
      <c r="O277" s="119"/>
    </row>
    <row r="278" spans="2:15" s="120" customFormat="1" ht="35.1" customHeight="1">
      <c r="B278" s="996"/>
      <c r="C278" s="1010"/>
      <c r="D278" s="149">
        <v>40</v>
      </c>
      <c r="E278" s="775" t="s">
        <v>370</v>
      </c>
      <c r="F278" s="136"/>
      <c r="G278" s="150"/>
      <c r="H278" s="136"/>
      <c r="I278" s="150"/>
      <c r="J278" s="119"/>
      <c r="K278" s="119"/>
      <c r="L278" s="119"/>
      <c r="M278" s="119"/>
      <c r="N278" s="119"/>
      <c r="O278" s="119"/>
    </row>
    <row r="279" spans="2:15" s="120" customFormat="1" ht="35.1" customHeight="1">
      <c r="B279" s="996"/>
      <c r="C279" s="1010"/>
      <c r="D279" s="149">
        <v>41</v>
      </c>
      <c r="E279" s="775" t="s">
        <v>371</v>
      </c>
      <c r="F279" s="136"/>
      <c r="G279" s="150"/>
      <c r="H279" s="148">
        <v>37</v>
      </c>
      <c r="I279" s="789" t="s">
        <v>724</v>
      </c>
      <c r="J279" s="119"/>
      <c r="K279" s="119"/>
      <c r="L279" s="119"/>
      <c r="M279" s="119"/>
      <c r="N279" s="119"/>
      <c r="O279" s="119"/>
    </row>
    <row r="280" spans="2:15" s="120" customFormat="1" ht="35.1" customHeight="1">
      <c r="B280" s="996"/>
      <c r="C280" s="1010"/>
      <c r="D280" s="149">
        <v>42</v>
      </c>
      <c r="E280" s="775" t="s">
        <v>372</v>
      </c>
      <c r="F280" s="112">
        <v>37</v>
      </c>
      <c r="G280" s="154" t="s">
        <v>661</v>
      </c>
      <c r="H280" s="112">
        <v>38</v>
      </c>
      <c r="I280" s="154" t="s">
        <v>661</v>
      </c>
      <c r="J280" s="119"/>
      <c r="K280" s="119"/>
      <c r="L280" s="119"/>
      <c r="M280" s="119"/>
      <c r="N280" s="119"/>
      <c r="O280" s="119"/>
    </row>
    <row r="281" spans="2:15" s="120" customFormat="1" ht="35.1" customHeight="1">
      <c r="B281" s="996"/>
      <c r="C281" s="1010"/>
      <c r="D281" s="149">
        <v>43</v>
      </c>
      <c r="E281" s="775" t="s">
        <v>373</v>
      </c>
      <c r="F281" s="112">
        <v>38</v>
      </c>
      <c r="G281" s="154" t="s">
        <v>662</v>
      </c>
      <c r="H281" s="112">
        <v>39</v>
      </c>
      <c r="I281" s="154" t="s">
        <v>662</v>
      </c>
      <c r="J281" s="119"/>
      <c r="K281" s="119"/>
      <c r="L281" s="119"/>
      <c r="M281" s="119"/>
      <c r="N281" s="119"/>
      <c r="O281" s="119"/>
    </row>
    <row r="282" spans="2:15" s="120" customFormat="1" ht="35.1" customHeight="1">
      <c r="B282" s="996"/>
      <c r="C282" s="1010"/>
      <c r="D282" s="149">
        <v>44</v>
      </c>
      <c r="E282" s="775" t="s">
        <v>374</v>
      </c>
      <c r="F282" s="112">
        <v>39</v>
      </c>
      <c r="G282" s="154" t="s">
        <v>663</v>
      </c>
      <c r="H282" s="112">
        <v>40</v>
      </c>
      <c r="I282" s="154" t="s">
        <v>663</v>
      </c>
      <c r="J282" s="119"/>
      <c r="K282" s="119"/>
      <c r="L282" s="119"/>
      <c r="M282" s="119"/>
      <c r="N282" s="119"/>
      <c r="O282" s="119"/>
    </row>
    <row r="283" spans="2:15" s="120" customFormat="1" ht="35.1" customHeight="1">
      <c r="B283" s="996"/>
      <c r="C283" s="1010"/>
      <c r="D283" s="149">
        <v>45</v>
      </c>
      <c r="E283" s="775" t="s">
        <v>375</v>
      </c>
      <c r="F283" s="112">
        <v>40</v>
      </c>
      <c r="G283" s="154" t="s">
        <v>664</v>
      </c>
      <c r="H283" s="112">
        <v>41</v>
      </c>
      <c r="I283" s="154" t="s">
        <v>664</v>
      </c>
      <c r="J283" s="119"/>
      <c r="K283" s="119"/>
      <c r="L283" s="119"/>
      <c r="M283" s="119"/>
      <c r="N283" s="119"/>
      <c r="O283" s="119"/>
    </row>
    <row r="284" spans="2:15" s="120" customFormat="1" ht="35.1" customHeight="1">
      <c r="B284" s="996"/>
      <c r="C284" s="1010"/>
      <c r="D284" s="149">
        <v>46</v>
      </c>
      <c r="E284" s="775" t="s">
        <v>376</v>
      </c>
      <c r="F284" s="136"/>
      <c r="G284" s="150"/>
      <c r="H284" s="136"/>
      <c r="I284" s="150"/>
      <c r="J284" s="119"/>
      <c r="K284" s="119"/>
      <c r="L284" s="119"/>
      <c r="M284" s="119"/>
      <c r="N284" s="119"/>
      <c r="O284" s="119"/>
    </row>
    <row r="285" spans="2:15" s="120" customFormat="1" ht="35.1" customHeight="1">
      <c r="B285" s="996"/>
      <c r="C285" s="1010"/>
      <c r="D285" s="149">
        <v>47</v>
      </c>
      <c r="E285" s="775" t="s">
        <v>377</v>
      </c>
      <c r="F285" s="136"/>
      <c r="G285" s="150"/>
      <c r="H285" s="136"/>
      <c r="I285" s="150"/>
      <c r="J285" s="119"/>
      <c r="K285" s="119"/>
      <c r="L285" s="119"/>
      <c r="M285" s="119"/>
      <c r="N285" s="119"/>
      <c r="O285" s="119"/>
    </row>
    <row r="286" spans="2:15" s="120" customFormat="1" ht="35.1" customHeight="1">
      <c r="B286" s="996"/>
      <c r="C286" s="1010"/>
      <c r="D286" s="149">
        <v>48</v>
      </c>
      <c r="E286" s="775" t="s">
        <v>378</v>
      </c>
      <c r="F286" s="112">
        <v>41</v>
      </c>
      <c r="G286" s="154" t="s">
        <v>665</v>
      </c>
      <c r="H286" s="112">
        <v>42</v>
      </c>
      <c r="I286" s="154" t="s">
        <v>665</v>
      </c>
      <c r="J286" s="119"/>
      <c r="K286" s="119"/>
      <c r="L286" s="119"/>
      <c r="M286" s="119"/>
      <c r="N286" s="119"/>
      <c r="O286" s="119"/>
    </row>
    <row r="287" spans="2:15" s="120" customFormat="1" ht="35.1" customHeight="1">
      <c r="B287" s="996"/>
      <c r="C287" s="1010"/>
      <c r="D287" s="149">
        <v>49</v>
      </c>
      <c r="E287" s="775" t="s">
        <v>379</v>
      </c>
      <c r="F287" s="112">
        <v>42</v>
      </c>
      <c r="G287" s="154" t="s">
        <v>666</v>
      </c>
      <c r="H287" s="112">
        <v>43</v>
      </c>
      <c r="I287" s="154" t="s">
        <v>666</v>
      </c>
      <c r="J287" s="119"/>
      <c r="K287" s="119"/>
      <c r="L287" s="119"/>
      <c r="M287" s="119"/>
      <c r="N287" s="119"/>
      <c r="O287" s="119"/>
    </row>
    <row r="288" spans="2:15" s="120" customFormat="1" ht="35.1" customHeight="1">
      <c r="B288" s="996"/>
      <c r="C288" s="1010"/>
      <c r="D288" s="149">
        <v>50</v>
      </c>
      <c r="E288" s="775" t="s">
        <v>380</v>
      </c>
      <c r="F288" s="112">
        <v>43</v>
      </c>
      <c r="G288" s="154" t="s">
        <v>667</v>
      </c>
      <c r="H288" s="112">
        <v>44</v>
      </c>
      <c r="I288" s="154" t="s">
        <v>667</v>
      </c>
      <c r="J288" s="119"/>
      <c r="K288" s="119"/>
      <c r="L288" s="119"/>
      <c r="M288" s="119"/>
      <c r="N288" s="119"/>
      <c r="O288" s="119"/>
    </row>
    <row r="289" spans="2:15" s="120" customFormat="1" ht="35.1" customHeight="1">
      <c r="B289" s="996"/>
      <c r="C289" s="1010"/>
      <c r="D289" s="149">
        <v>51</v>
      </c>
      <c r="E289" s="775" t="s">
        <v>381</v>
      </c>
      <c r="F289" s="112">
        <v>44</v>
      </c>
      <c r="G289" s="154" t="s">
        <v>668</v>
      </c>
      <c r="H289" s="112">
        <v>45</v>
      </c>
      <c r="I289" s="154" t="s">
        <v>668</v>
      </c>
      <c r="J289" s="119"/>
      <c r="K289" s="119"/>
      <c r="L289" s="119"/>
      <c r="M289" s="119"/>
      <c r="N289" s="119"/>
      <c r="O289" s="119"/>
    </row>
    <row r="290" spans="2:15" s="120" customFormat="1" ht="35.1" customHeight="1">
      <c r="B290" s="996"/>
      <c r="C290" s="1010"/>
      <c r="D290" s="149">
        <v>52</v>
      </c>
      <c r="E290" s="775" t="s">
        <v>382</v>
      </c>
      <c r="F290" s="112">
        <v>45</v>
      </c>
      <c r="G290" s="154" t="s">
        <v>669</v>
      </c>
      <c r="H290" s="112">
        <v>46</v>
      </c>
      <c r="I290" s="154" t="s">
        <v>669</v>
      </c>
      <c r="J290" s="119"/>
      <c r="K290" s="119"/>
      <c r="L290" s="119"/>
      <c r="M290" s="119"/>
      <c r="N290" s="119"/>
      <c r="O290" s="119"/>
    </row>
    <row r="291" spans="2:15" s="120" customFormat="1" ht="35.1" customHeight="1">
      <c r="B291" s="996"/>
      <c r="C291" s="1010"/>
      <c r="D291" s="149">
        <v>53</v>
      </c>
      <c r="E291" s="775" t="s">
        <v>383</v>
      </c>
      <c r="F291" s="112">
        <v>46</v>
      </c>
      <c r="G291" s="154" t="s">
        <v>670</v>
      </c>
      <c r="H291" s="112">
        <v>47</v>
      </c>
      <c r="I291" s="154" t="s">
        <v>670</v>
      </c>
      <c r="J291" s="119"/>
      <c r="K291" s="119"/>
      <c r="L291" s="119"/>
      <c r="M291" s="119"/>
      <c r="N291" s="119"/>
      <c r="O291" s="119"/>
    </row>
    <row r="292" spans="2:15" s="120" customFormat="1" ht="35.1" customHeight="1">
      <c r="B292" s="996"/>
      <c r="C292" s="1010"/>
      <c r="D292" s="149">
        <v>54</v>
      </c>
      <c r="E292" s="775" t="s">
        <v>384</v>
      </c>
      <c r="F292" s="112">
        <v>47</v>
      </c>
      <c r="G292" s="154" t="s">
        <v>671</v>
      </c>
      <c r="H292" s="112">
        <v>48</v>
      </c>
      <c r="I292" s="154" t="s">
        <v>671</v>
      </c>
      <c r="J292" s="119"/>
      <c r="K292" s="119"/>
      <c r="L292" s="119"/>
      <c r="M292" s="119"/>
      <c r="N292" s="119"/>
      <c r="O292" s="119"/>
    </row>
    <row r="293" spans="2:15" s="120" customFormat="1" ht="35.1" customHeight="1">
      <c r="B293" s="996"/>
      <c r="C293" s="1010"/>
      <c r="D293" s="149">
        <v>55</v>
      </c>
      <c r="E293" s="775" t="s">
        <v>385</v>
      </c>
      <c r="F293" s="112">
        <v>48</v>
      </c>
      <c r="G293" s="154" t="s">
        <v>672</v>
      </c>
      <c r="H293" s="112">
        <v>49</v>
      </c>
      <c r="I293" s="154" t="s">
        <v>672</v>
      </c>
      <c r="J293" s="122"/>
      <c r="K293" s="119"/>
      <c r="L293" s="119"/>
      <c r="M293" s="119"/>
      <c r="N293" s="119"/>
      <c r="O293" s="119"/>
    </row>
    <row r="294" spans="2:15" s="120" customFormat="1" ht="35.1" customHeight="1">
      <c r="B294" s="996"/>
      <c r="C294" s="1010"/>
      <c r="D294" s="149">
        <v>56</v>
      </c>
      <c r="E294" s="775" t="s">
        <v>386</v>
      </c>
      <c r="F294" s="112">
        <v>49</v>
      </c>
      <c r="G294" s="154" t="s">
        <v>673</v>
      </c>
      <c r="H294" s="112">
        <v>50</v>
      </c>
      <c r="I294" s="154" t="s">
        <v>673</v>
      </c>
      <c r="J294" s="122"/>
      <c r="K294" s="119"/>
      <c r="L294" s="119"/>
      <c r="M294" s="119"/>
      <c r="N294" s="119"/>
      <c r="O294" s="119"/>
    </row>
    <row r="295" spans="2:15" s="120" customFormat="1" ht="35.1" customHeight="1">
      <c r="B295" s="996"/>
      <c r="C295" s="1010"/>
      <c r="D295" s="149">
        <v>57</v>
      </c>
      <c r="E295" s="775" t="s">
        <v>387</v>
      </c>
      <c r="F295" s="112">
        <v>50</v>
      </c>
      <c r="G295" s="154" t="s">
        <v>674</v>
      </c>
      <c r="H295" s="112">
        <v>51</v>
      </c>
      <c r="I295" s="154" t="s">
        <v>674</v>
      </c>
      <c r="J295" s="122"/>
      <c r="K295" s="119"/>
      <c r="L295" s="119"/>
      <c r="M295" s="119"/>
      <c r="N295" s="119"/>
      <c r="O295" s="119"/>
    </row>
    <row r="296" spans="2:15" s="120" customFormat="1" ht="35.1" customHeight="1">
      <c r="B296" s="996"/>
      <c r="C296" s="1010"/>
      <c r="D296" s="149">
        <v>58</v>
      </c>
      <c r="E296" s="775" t="s">
        <v>388</v>
      </c>
      <c r="F296" s="112">
        <v>51</v>
      </c>
      <c r="G296" s="154" t="s">
        <v>675</v>
      </c>
      <c r="H296" s="112">
        <v>52</v>
      </c>
      <c r="I296" s="154" t="s">
        <v>675</v>
      </c>
      <c r="J296" s="122"/>
      <c r="K296" s="119"/>
      <c r="L296" s="119"/>
      <c r="M296" s="119"/>
      <c r="N296" s="119"/>
      <c r="O296" s="119"/>
    </row>
    <row r="297" spans="2:15" s="120" customFormat="1" ht="35.1" customHeight="1">
      <c r="B297" s="996"/>
      <c r="C297" s="1010"/>
      <c r="D297" s="149">
        <v>59</v>
      </c>
      <c r="E297" s="775" t="s">
        <v>389</v>
      </c>
      <c r="F297" s="112">
        <v>52</v>
      </c>
      <c r="G297" s="154" t="s">
        <v>676</v>
      </c>
      <c r="H297" s="112">
        <v>53</v>
      </c>
      <c r="I297" s="154" t="s">
        <v>676</v>
      </c>
      <c r="J297" s="122"/>
      <c r="K297" s="119"/>
      <c r="L297" s="119"/>
      <c r="M297" s="119"/>
      <c r="N297" s="119"/>
      <c r="O297" s="119"/>
    </row>
    <row r="298" spans="2:15" s="120" customFormat="1" ht="35.1" customHeight="1">
      <c r="B298" s="996"/>
      <c r="C298" s="1010"/>
      <c r="D298" s="149">
        <v>60</v>
      </c>
      <c r="E298" s="775" t="s">
        <v>390</v>
      </c>
      <c r="F298" s="112">
        <v>53</v>
      </c>
      <c r="G298" s="154" t="s">
        <v>677</v>
      </c>
      <c r="H298" s="112">
        <v>54</v>
      </c>
      <c r="I298" s="154" t="s">
        <v>677</v>
      </c>
      <c r="J298" s="122"/>
      <c r="K298" s="119"/>
      <c r="L298" s="119"/>
      <c r="M298" s="119"/>
      <c r="N298" s="119"/>
      <c r="O298" s="119"/>
    </row>
    <row r="299" spans="2:15" s="120" customFormat="1" ht="35.1" customHeight="1">
      <c r="B299" s="996"/>
      <c r="C299" s="1010"/>
      <c r="D299" s="149">
        <v>61</v>
      </c>
      <c r="E299" s="775" t="s">
        <v>391</v>
      </c>
      <c r="F299" s="136"/>
      <c r="G299" s="150"/>
      <c r="H299" s="136"/>
      <c r="I299" s="150"/>
      <c r="J299" s="122"/>
      <c r="K299" s="119"/>
      <c r="L299" s="119"/>
      <c r="M299" s="119"/>
      <c r="N299" s="119"/>
      <c r="O299" s="119"/>
    </row>
    <row r="300" spans="2:15" s="120" customFormat="1" ht="35.1" customHeight="1">
      <c r="B300" s="996"/>
      <c r="C300" s="1010"/>
      <c r="D300" s="149">
        <v>62</v>
      </c>
      <c r="E300" s="775" t="s">
        <v>392</v>
      </c>
      <c r="F300" s="112">
        <v>54</v>
      </c>
      <c r="G300" s="154" t="s">
        <v>678</v>
      </c>
      <c r="H300" s="112">
        <v>55</v>
      </c>
      <c r="I300" s="154" t="s">
        <v>678</v>
      </c>
      <c r="J300" s="122"/>
      <c r="K300" s="119"/>
      <c r="L300" s="119"/>
      <c r="M300" s="119"/>
      <c r="N300" s="119"/>
      <c r="O300" s="119"/>
    </row>
    <row r="301" spans="2:15" s="120" customFormat="1" ht="35.1" customHeight="1">
      <c r="B301" s="996"/>
      <c r="C301" s="1010"/>
      <c r="D301" s="149">
        <v>63</v>
      </c>
      <c r="E301" s="775" t="s">
        <v>393</v>
      </c>
      <c r="F301" s="112">
        <v>55</v>
      </c>
      <c r="G301" s="154" t="s">
        <v>679</v>
      </c>
      <c r="H301" s="112">
        <v>56</v>
      </c>
      <c r="I301" s="154" t="s">
        <v>679</v>
      </c>
      <c r="J301" s="122"/>
      <c r="K301" s="119"/>
      <c r="L301" s="119"/>
      <c r="M301" s="119"/>
      <c r="N301" s="119"/>
      <c r="O301" s="119"/>
    </row>
    <row r="302" spans="2:15" s="120" customFormat="1" ht="35.1" customHeight="1">
      <c r="B302" s="996"/>
      <c r="C302" s="1010"/>
      <c r="D302" s="149">
        <v>64</v>
      </c>
      <c r="E302" s="775" t="s">
        <v>394</v>
      </c>
      <c r="F302" s="112">
        <v>56</v>
      </c>
      <c r="G302" s="154" t="s">
        <v>680</v>
      </c>
      <c r="H302" s="112">
        <v>57</v>
      </c>
      <c r="I302" s="154" t="s">
        <v>680</v>
      </c>
      <c r="J302" s="122"/>
      <c r="K302" s="119"/>
      <c r="L302" s="119"/>
      <c r="M302" s="119"/>
      <c r="N302" s="119"/>
      <c r="O302" s="119"/>
    </row>
    <row r="303" spans="2:15" s="120" customFormat="1" ht="35.1" customHeight="1">
      <c r="B303" s="996"/>
      <c r="C303" s="1010"/>
      <c r="D303" s="149">
        <v>65</v>
      </c>
      <c r="E303" s="775" t="s">
        <v>395</v>
      </c>
      <c r="F303" s="112">
        <v>57</v>
      </c>
      <c r="G303" s="154" t="s">
        <v>681</v>
      </c>
      <c r="H303" s="112">
        <v>58</v>
      </c>
      <c r="I303" s="154" t="s">
        <v>681</v>
      </c>
      <c r="J303" s="122"/>
      <c r="K303" s="119"/>
      <c r="L303" s="119"/>
      <c r="M303" s="119"/>
      <c r="N303" s="119"/>
      <c r="O303" s="119"/>
    </row>
    <row r="304" spans="2:15" s="120" customFormat="1" ht="35.1" customHeight="1">
      <c r="B304" s="996"/>
      <c r="C304" s="1010"/>
      <c r="D304" s="149">
        <v>66</v>
      </c>
      <c r="E304" s="775" t="s">
        <v>396</v>
      </c>
      <c r="F304" s="136"/>
      <c r="G304" s="150"/>
      <c r="H304" s="136"/>
      <c r="I304" s="150"/>
      <c r="J304" s="122"/>
      <c r="K304" s="119"/>
      <c r="L304" s="119"/>
      <c r="M304" s="119"/>
      <c r="N304" s="119"/>
      <c r="O304" s="119"/>
    </row>
    <row r="305" spans="2:15" s="120" customFormat="1" ht="35.1" customHeight="1">
      <c r="B305" s="996"/>
      <c r="C305" s="1010"/>
      <c r="D305" s="149">
        <v>67</v>
      </c>
      <c r="E305" s="775" t="s">
        <v>397</v>
      </c>
      <c r="F305" s="112">
        <v>58</v>
      </c>
      <c r="G305" s="154" t="s">
        <v>682</v>
      </c>
      <c r="H305" s="112">
        <v>59</v>
      </c>
      <c r="I305" s="154" t="s">
        <v>682</v>
      </c>
      <c r="J305" s="119"/>
      <c r="K305" s="119"/>
      <c r="L305" s="119"/>
      <c r="M305" s="119"/>
      <c r="N305" s="119"/>
      <c r="O305" s="119"/>
    </row>
    <row r="306" spans="2:15" s="120" customFormat="1" ht="35.1" customHeight="1">
      <c r="B306" s="996"/>
      <c r="C306" s="1010"/>
      <c r="D306" s="149">
        <v>68</v>
      </c>
      <c r="E306" s="775" t="s">
        <v>398</v>
      </c>
      <c r="F306" s="112">
        <v>59</v>
      </c>
      <c r="G306" s="154" t="s">
        <v>683</v>
      </c>
      <c r="H306" s="112">
        <v>60</v>
      </c>
      <c r="I306" s="154" t="s">
        <v>683</v>
      </c>
      <c r="J306" s="119"/>
      <c r="K306" s="119"/>
      <c r="L306" s="119"/>
      <c r="M306" s="119"/>
      <c r="N306" s="119"/>
      <c r="O306" s="119"/>
    </row>
    <row r="307" spans="2:15" s="120" customFormat="1" ht="35.1" customHeight="1">
      <c r="B307" s="996"/>
      <c r="C307" s="1010"/>
      <c r="D307" s="149">
        <v>69</v>
      </c>
      <c r="E307" s="775" t="s">
        <v>399</v>
      </c>
      <c r="F307" s="112">
        <v>60</v>
      </c>
      <c r="G307" s="154" t="s">
        <v>684</v>
      </c>
      <c r="H307" s="112">
        <v>61</v>
      </c>
      <c r="I307" s="154" t="s">
        <v>684</v>
      </c>
      <c r="J307" s="119"/>
      <c r="K307" s="119"/>
      <c r="L307" s="119"/>
      <c r="M307" s="119"/>
      <c r="N307" s="119"/>
      <c r="O307" s="119"/>
    </row>
    <row r="308" spans="2:15" s="120" customFormat="1" ht="35.1" customHeight="1">
      <c r="B308" s="996"/>
      <c r="C308" s="1010"/>
      <c r="D308" s="149">
        <v>70</v>
      </c>
      <c r="E308" s="775" t="s">
        <v>400</v>
      </c>
      <c r="F308" s="112">
        <v>61</v>
      </c>
      <c r="G308" s="154" t="s">
        <v>685</v>
      </c>
      <c r="H308" s="112">
        <v>62</v>
      </c>
      <c r="I308" s="154" t="s">
        <v>685</v>
      </c>
      <c r="J308" s="119"/>
      <c r="K308" s="119"/>
      <c r="L308" s="119"/>
      <c r="M308" s="119"/>
      <c r="N308" s="119"/>
      <c r="O308" s="119"/>
    </row>
    <row r="309" spans="2:15" s="120" customFormat="1" ht="35.1" customHeight="1">
      <c r="B309" s="996"/>
      <c r="C309" s="1010"/>
      <c r="D309" s="149">
        <v>71</v>
      </c>
      <c r="E309" s="775" t="s">
        <v>401</v>
      </c>
      <c r="F309" s="112">
        <v>62</v>
      </c>
      <c r="G309" s="154" t="s">
        <v>686</v>
      </c>
      <c r="H309" s="112">
        <v>63</v>
      </c>
      <c r="I309" s="154" t="s">
        <v>686</v>
      </c>
      <c r="J309" s="119"/>
      <c r="K309" s="119"/>
      <c r="L309" s="119"/>
      <c r="M309" s="119"/>
      <c r="N309" s="119"/>
      <c r="O309" s="119"/>
    </row>
    <row r="310" spans="2:15" s="120" customFormat="1" ht="35.1" customHeight="1">
      <c r="B310" s="996"/>
      <c r="C310" s="1010"/>
      <c r="D310" s="149">
        <v>72</v>
      </c>
      <c r="E310" s="775" t="s">
        <v>402</v>
      </c>
      <c r="F310" s="136"/>
      <c r="G310" s="150"/>
      <c r="H310" s="136"/>
      <c r="I310" s="150"/>
      <c r="J310" s="119"/>
      <c r="K310" s="119"/>
      <c r="L310" s="119"/>
      <c r="M310" s="119"/>
      <c r="N310" s="119"/>
      <c r="O310" s="119"/>
    </row>
    <row r="311" spans="2:15" s="120" customFormat="1" ht="35.1" customHeight="1">
      <c r="B311" s="996"/>
      <c r="C311" s="1010"/>
      <c r="D311" s="149">
        <v>73</v>
      </c>
      <c r="E311" s="775" t="s">
        <v>403</v>
      </c>
      <c r="F311" s="136"/>
      <c r="G311" s="150"/>
      <c r="H311" s="136"/>
      <c r="I311" s="150"/>
      <c r="J311" s="119"/>
      <c r="K311" s="119"/>
      <c r="L311" s="119"/>
      <c r="M311" s="119"/>
      <c r="N311" s="119"/>
      <c r="O311" s="119"/>
    </row>
    <row r="312" spans="2:15" s="120" customFormat="1" ht="35.1" customHeight="1">
      <c r="B312" s="996"/>
      <c r="C312" s="1010"/>
      <c r="D312" s="149">
        <v>74</v>
      </c>
      <c r="E312" s="775" t="s">
        <v>404</v>
      </c>
      <c r="F312" s="136"/>
      <c r="G312" s="150"/>
      <c r="H312" s="136"/>
      <c r="I312" s="150"/>
      <c r="J312" s="119"/>
      <c r="K312" s="119"/>
      <c r="L312" s="119"/>
      <c r="M312" s="119"/>
      <c r="N312" s="119"/>
      <c r="O312" s="119"/>
    </row>
    <row r="313" spans="2:15" s="120" customFormat="1" ht="35.1" customHeight="1">
      <c r="B313" s="997"/>
      <c r="C313" s="1011"/>
      <c r="D313" s="149">
        <v>75</v>
      </c>
      <c r="E313" s="775" t="s">
        <v>405</v>
      </c>
      <c r="F313" s="136"/>
      <c r="G313" s="150"/>
      <c r="H313" s="136"/>
      <c r="I313" s="150"/>
      <c r="J313" s="119"/>
      <c r="K313" s="119"/>
      <c r="L313" s="119"/>
      <c r="M313" s="119"/>
      <c r="N313" s="119"/>
      <c r="O313" s="119"/>
    </row>
    <row r="314" spans="2:15" s="120" customFormat="1" ht="35.1" customHeight="1">
      <c r="B314" s="121"/>
      <c r="C314" s="119"/>
      <c r="D314" s="1012" t="s">
        <v>1644</v>
      </c>
      <c r="E314" s="1013"/>
      <c r="F314" s="1013"/>
      <c r="G314" s="1013"/>
      <c r="H314" s="1013"/>
      <c r="I314" s="1014"/>
      <c r="J314" s="119"/>
      <c r="K314" s="119"/>
      <c r="L314" s="119"/>
      <c r="M314" s="119"/>
      <c r="N314" s="119"/>
      <c r="O314" s="119"/>
    </row>
    <row r="315" spans="2:15" s="120" customFormat="1" ht="35.1" customHeight="1">
      <c r="B315" s="117">
        <v>9</v>
      </c>
      <c r="C315" s="119"/>
      <c r="D315" s="149">
        <v>1</v>
      </c>
      <c r="E315" s="775" t="s">
        <v>421</v>
      </c>
      <c r="F315" s="132">
        <v>63</v>
      </c>
      <c r="G315" s="174" t="s">
        <v>687</v>
      </c>
      <c r="H315" s="148"/>
      <c r="I315" s="118"/>
      <c r="J315" s="119"/>
      <c r="K315" s="119"/>
      <c r="L315" s="119"/>
      <c r="M315" s="119"/>
      <c r="N315" s="119"/>
      <c r="O315" s="119"/>
    </row>
    <row r="316" spans="2:15" s="120" customFormat="1" ht="35.1" customHeight="1">
      <c r="B316" s="995"/>
      <c r="C316" s="983" t="s">
        <v>462</v>
      </c>
      <c r="D316" s="149">
        <v>2</v>
      </c>
      <c r="E316" s="775" t="s">
        <v>422</v>
      </c>
      <c r="F316" s="132">
        <v>64</v>
      </c>
      <c r="G316" s="174" t="s">
        <v>688</v>
      </c>
      <c r="H316" s="148"/>
      <c r="I316" s="118"/>
      <c r="J316" s="119"/>
      <c r="K316" s="119"/>
      <c r="L316" s="119"/>
      <c r="M316" s="119"/>
      <c r="N316" s="119"/>
      <c r="O316" s="119"/>
    </row>
    <row r="317" spans="2:15" s="120" customFormat="1" ht="35.1" customHeight="1">
      <c r="B317" s="996"/>
      <c r="C317" s="984"/>
      <c r="D317" s="149">
        <v>3</v>
      </c>
      <c r="E317" s="775" t="s">
        <v>423</v>
      </c>
      <c r="F317" s="132">
        <v>65</v>
      </c>
      <c r="G317" s="174" t="s">
        <v>689</v>
      </c>
      <c r="H317" s="148"/>
      <c r="I317" s="118"/>
      <c r="J317" s="119"/>
      <c r="K317" s="119"/>
      <c r="L317" s="119"/>
      <c r="M317" s="119"/>
      <c r="N317" s="119"/>
      <c r="O317" s="119"/>
    </row>
    <row r="318" spans="2:15" s="120" customFormat="1" ht="35.1" customHeight="1">
      <c r="B318" s="996"/>
      <c r="C318" s="984"/>
      <c r="D318" s="149">
        <v>4</v>
      </c>
      <c r="E318" s="775" t="s">
        <v>424</v>
      </c>
      <c r="F318" s="132">
        <v>66</v>
      </c>
      <c r="G318" s="174" t="s">
        <v>690</v>
      </c>
      <c r="H318" s="148"/>
      <c r="I318" s="118"/>
      <c r="J318" s="119"/>
      <c r="K318" s="119"/>
      <c r="L318" s="119"/>
      <c r="M318" s="119"/>
      <c r="N318" s="119"/>
      <c r="O318" s="119"/>
    </row>
    <row r="319" spans="2:15" s="120" customFormat="1" ht="35.1" customHeight="1">
      <c r="B319" s="996"/>
      <c r="C319" s="984"/>
      <c r="D319" s="149">
        <v>5</v>
      </c>
      <c r="E319" s="775" t="s">
        <v>425</v>
      </c>
      <c r="F319" s="136"/>
      <c r="G319" s="150"/>
      <c r="H319" s="112"/>
      <c r="I319" s="150"/>
      <c r="J319" s="119"/>
      <c r="K319" s="119"/>
      <c r="L319" s="119"/>
      <c r="M319" s="119"/>
      <c r="N319" s="119"/>
      <c r="O319" s="119"/>
    </row>
    <row r="320" spans="2:15" s="120" customFormat="1" ht="35.1" customHeight="1">
      <c r="B320" s="996"/>
      <c r="C320" s="984"/>
      <c r="D320" s="149">
        <v>6</v>
      </c>
      <c r="E320" s="775" t="s">
        <v>426</v>
      </c>
      <c r="F320" s="136"/>
      <c r="G320" s="150"/>
      <c r="H320" s="112"/>
      <c r="I320" s="150"/>
      <c r="J320" s="119"/>
      <c r="K320" s="119"/>
      <c r="L320" s="119"/>
      <c r="M320" s="119"/>
      <c r="N320" s="119"/>
      <c r="O320" s="119"/>
    </row>
    <row r="321" spans="2:15" s="120" customFormat="1" ht="35.1" customHeight="1">
      <c r="B321" s="996"/>
      <c r="C321" s="984"/>
      <c r="D321" s="149">
        <v>7</v>
      </c>
      <c r="E321" s="775" t="s">
        <v>427</v>
      </c>
      <c r="F321" s="136"/>
      <c r="G321" s="150"/>
      <c r="H321" s="112"/>
      <c r="I321" s="150"/>
      <c r="J321" s="119"/>
      <c r="K321" s="119"/>
      <c r="L321" s="119"/>
      <c r="M321" s="119"/>
      <c r="N321" s="119"/>
      <c r="O321" s="119"/>
    </row>
    <row r="322" spans="2:15" s="120" customFormat="1" ht="35.1" customHeight="1">
      <c r="B322" s="996"/>
      <c r="C322" s="984"/>
      <c r="D322" s="149">
        <v>8</v>
      </c>
      <c r="E322" s="775" t="s">
        <v>428</v>
      </c>
      <c r="F322" s="136"/>
      <c r="G322" s="150"/>
      <c r="H322" s="112"/>
      <c r="I322" s="150"/>
      <c r="J322" s="119"/>
      <c r="K322" s="119"/>
      <c r="L322" s="119"/>
      <c r="M322" s="119"/>
      <c r="N322" s="119"/>
      <c r="O322" s="119"/>
    </row>
    <row r="323" spans="2:15" s="120" customFormat="1" ht="35.1" customHeight="1">
      <c r="B323" s="996"/>
      <c r="C323" s="984"/>
      <c r="D323" s="149">
        <v>9</v>
      </c>
      <c r="E323" s="775" t="s">
        <v>429</v>
      </c>
      <c r="F323" s="136"/>
      <c r="G323" s="150"/>
      <c r="H323" s="112"/>
      <c r="I323" s="150"/>
      <c r="J323" s="119"/>
      <c r="K323" s="119"/>
      <c r="L323" s="119"/>
      <c r="M323" s="119"/>
      <c r="N323" s="119"/>
      <c r="O323" s="119"/>
    </row>
    <row r="324" spans="2:15" s="120" customFormat="1" ht="35.1" customHeight="1">
      <c r="B324" s="996"/>
      <c r="C324" s="984"/>
      <c r="D324" s="149">
        <v>10</v>
      </c>
      <c r="E324" s="775" t="s">
        <v>430</v>
      </c>
      <c r="F324" s="136"/>
      <c r="G324" s="150"/>
      <c r="H324" s="112"/>
      <c r="I324" s="150"/>
      <c r="J324" s="119"/>
      <c r="K324" s="119"/>
      <c r="L324" s="119"/>
      <c r="M324" s="119"/>
      <c r="N324" s="119"/>
      <c r="O324" s="119"/>
    </row>
    <row r="325" spans="2:15" s="120" customFormat="1" ht="35.1" customHeight="1">
      <c r="B325" s="996"/>
      <c r="C325" s="984"/>
      <c r="D325" s="149">
        <v>11</v>
      </c>
      <c r="E325" s="775" t="s">
        <v>431</v>
      </c>
      <c r="F325" s="136"/>
      <c r="G325" s="150"/>
      <c r="H325" s="112"/>
      <c r="I325" s="150"/>
      <c r="J325" s="119"/>
      <c r="K325" s="119"/>
      <c r="L325" s="119"/>
      <c r="M325" s="119"/>
      <c r="N325" s="119"/>
      <c r="O325" s="119"/>
    </row>
    <row r="326" spans="2:15" s="120" customFormat="1" ht="35.1" customHeight="1">
      <c r="B326" s="996"/>
      <c r="C326" s="984"/>
      <c r="D326" s="149">
        <v>12</v>
      </c>
      <c r="E326" s="775" t="s">
        <v>432</v>
      </c>
      <c r="F326" s="136"/>
      <c r="G326" s="150"/>
      <c r="H326" s="112"/>
      <c r="I326" s="150"/>
      <c r="J326" s="119"/>
      <c r="K326" s="119"/>
      <c r="L326" s="119"/>
      <c r="M326" s="119"/>
      <c r="N326" s="119"/>
      <c r="O326" s="119"/>
    </row>
    <row r="327" spans="2:15" s="120" customFormat="1" ht="35.1" customHeight="1">
      <c r="B327" s="996"/>
      <c r="C327" s="984"/>
      <c r="D327" s="149">
        <v>13</v>
      </c>
      <c r="E327" s="775" t="s">
        <v>433</v>
      </c>
      <c r="F327" s="136"/>
      <c r="G327" s="150"/>
      <c r="H327" s="112"/>
      <c r="I327" s="150"/>
      <c r="J327" s="119"/>
      <c r="K327" s="119"/>
      <c r="L327" s="119"/>
      <c r="M327" s="119"/>
      <c r="N327" s="119"/>
      <c r="O327" s="119"/>
    </row>
    <row r="328" spans="2:15" s="120" customFormat="1" ht="35.1" customHeight="1">
      <c r="B328" s="996"/>
      <c r="C328" s="984"/>
      <c r="D328" s="149">
        <v>14</v>
      </c>
      <c r="E328" s="775" t="s">
        <v>434</v>
      </c>
      <c r="F328" s="136"/>
      <c r="G328" s="150"/>
      <c r="H328" s="112"/>
      <c r="I328" s="150"/>
      <c r="J328" s="119"/>
      <c r="K328" s="119"/>
      <c r="L328" s="119"/>
      <c r="M328" s="119"/>
      <c r="N328" s="119"/>
      <c r="O328" s="119"/>
    </row>
    <row r="329" spans="2:15" s="120" customFormat="1" ht="35.1" customHeight="1">
      <c r="B329" s="996"/>
      <c r="C329" s="984"/>
      <c r="D329" s="149">
        <v>15</v>
      </c>
      <c r="E329" s="775" t="s">
        <v>435</v>
      </c>
      <c r="F329" s="136"/>
      <c r="G329" s="150"/>
      <c r="H329" s="112"/>
      <c r="I329" s="150"/>
      <c r="J329" s="119"/>
      <c r="K329" s="119"/>
      <c r="L329" s="119"/>
      <c r="M329" s="119"/>
      <c r="N329" s="119"/>
      <c r="O329" s="119"/>
    </row>
    <row r="330" spans="2:15" s="120" customFormat="1" ht="35.1" customHeight="1">
      <c r="B330" s="996"/>
      <c r="C330" s="984"/>
      <c r="D330" s="149">
        <v>16</v>
      </c>
      <c r="E330" s="775" t="s">
        <v>436</v>
      </c>
      <c r="F330" s="136"/>
      <c r="G330" s="150"/>
      <c r="H330" s="112"/>
      <c r="I330" s="150"/>
      <c r="J330" s="119"/>
      <c r="K330" s="119"/>
      <c r="L330" s="119"/>
      <c r="M330" s="119"/>
      <c r="N330" s="119"/>
      <c r="O330" s="119"/>
    </row>
    <row r="331" spans="2:15" s="120" customFormat="1" ht="35.1" customHeight="1">
      <c r="B331" s="996"/>
      <c r="C331" s="984"/>
      <c r="D331" s="149">
        <v>17</v>
      </c>
      <c r="E331" s="775" t="s">
        <v>437</v>
      </c>
      <c r="F331" s="136"/>
      <c r="G331" s="150"/>
      <c r="H331" s="112"/>
      <c r="I331" s="150"/>
      <c r="J331" s="119"/>
      <c r="K331" s="119"/>
      <c r="L331" s="119"/>
      <c r="M331" s="119"/>
      <c r="N331" s="119"/>
      <c r="O331" s="119"/>
    </row>
    <row r="332" spans="2:15" s="120" customFormat="1" ht="35.1" customHeight="1">
      <c r="B332" s="997"/>
      <c r="C332" s="985"/>
      <c r="D332" s="149">
        <v>18</v>
      </c>
      <c r="E332" s="775" t="s">
        <v>438</v>
      </c>
      <c r="F332" s="136"/>
      <c r="G332" s="150"/>
      <c r="H332" s="112"/>
      <c r="I332" s="150"/>
      <c r="J332" s="119"/>
      <c r="K332" s="119"/>
      <c r="L332" s="119"/>
      <c r="M332" s="119"/>
      <c r="N332" s="119"/>
      <c r="O332" s="119"/>
    </row>
    <row r="333" spans="2:15" s="109" customFormat="1">
      <c r="B333" s="133"/>
      <c r="D333" s="155"/>
      <c r="E333" s="156"/>
      <c r="F333" s="157"/>
      <c r="G333" s="156"/>
      <c r="H333" s="155"/>
      <c r="I333" s="156"/>
    </row>
    <row r="334" spans="2:15" s="109" customFormat="1">
      <c r="B334" s="133"/>
      <c r="D334" s="155"/>
      <c r="E334" s="156"/>
      <c r="F334" s="157"/>
      <c r="G334" s="156"/>
      <c r="H334" s="155"/>
      <c r="I334" s="156"/>
    </row>
    <row r="335" spans="2:15" s="109" customFormat="1">
      <c r="B335" s="133"/>
      <c r="D335" s="155"/>
      <c r="E335" s="156"/>
      <c r="F335" s="157"/>
      <c r="G335" s="156"/>
      <c r="H335" s="155"/>
      <c r="I335" s="156"/>
    </row>
    <row r="336" spans="2:15" s="109" customFormat="1">
      <c r="B336" s="133"/>
      <c r="D336" s="155"/>
      <c r="E336" s="156"/>
      <c r="F336" s="157"/>
      <c r="G336" s="156"/>
      <c r="H336" s="155"/>
      <c r="I336" s="156"/>
    </row>
    <row r="337" spans="2:9" s="109" customFormat="1">
      <c r="B337" s="133"/>
      <c r="D337" s="155"/>
      <c r="E337" s="156"/>
      <c r="F337" s="157"/>
      <c r="G337" s="156"/>
      <c r="H337" s="155"/>
      <c r="I337" s="156"/>
    </row>
    <row r="338" spans="2:9" s="109" customFormat="1">
      <c r="B338" s="133"/>
      <c r="D338" s="155"/>
      <c r="E338" s="156"/>
      <c r="F338" s="157"/>
      <c r="G338" s="156"/>
      <c r="H338" s="155"/>
      <c r="I338" s="156"/>
    </row>
    <row r="339" spans="2:9" s="109" customFormat="1">
      <c r="B339" s="133"/>
      <c r="D339" s="155"/>
      <c r="E339" s="156"/>
      <c r="F339" s="157"/>
      <c r="G339" s="156"/>
      <c r="H339" s="155"/>
      <c r="I339" s="156"/>
    </row>
    <row r="340" spans="2:9" s="109" customFormat="1">
      <c r="B340" s="133"/>
      <c r="D340" s="155"/>
      <c r="E340" s="156"/>
      <c r="F340" s="157"/>
      <c r="G340" s="156"/>
      <c r="H340" s="155"/>
      <c r="I340" s="156"/>
    </row>
    <row r="341" spans="2:9" s="109" customFormat="1">
      <c r="B341" s="133"/>
      <c r="D341" s="155"/>
      <c r="E341" s="156"/>
      <c r="F341" s="157"/>
      <c r="G341" s="156"/>
      <c r="H341" s="155"/>
      <c r="I341" s="156"/>
    </row>
    <row r="342" spans="2:9" s="109" customFormat="1">
      <c r="B342" s="133"/>
      <c r="D342" s="155"/>
      <c r="E342" s="156"/>
      <c r="F342" s="157"/>
      <c r="G342" s="156"/>
      <c r="H342" s="155"/>
      <c r="I342" s="156"/>
    </row>
    <row r="343" spans="2:9" s="109" customFormat="1">
      <c r="B343" s="133"/>
      <c r="D343" s="155"/>
      <c r="E343" s="156"/>
      <c r="F343" s="157"/>
      <c r="G343" s="156"/>
      <c r="H343" s="155"/>
      <c r="I343" s="156"/>
    </row>
    <row r="344" spans="2:9" s="109" customFormat="1">
      <c r="B344" s="133"/>
      <c r="D344" s="155"/>
      <c r="E344" s="156"/>
      <c r="F344" s="157"/>
      <c r="G344" s="156"/>
      <c r="H344" s="155"/>
      <c r="I344" s="156"/>
    </row>
    <row r="345" spans="2:9" s="109" customFormat="1">
      <c r="B345" s="133"/>
      <c r="D345" s="155"/>
      <c r="E345" s="156"/>
      <c r="F345" s="157"/>
      <c r="G345" s="156"/>
      <c r="H345" s="155"/>
      <c r="I345" s="156"/>
    </row>
    <row r="346" spans="2:9" s="109" customFormat="1">
      <c r="B346" s="133"/>
      <c r="D346" s="155"/>
      <c r="E346" s="156"/>
      <c r="F346" s="157"/>
      <c r="G346" s="156"/>
      <c r="H346" s="155"/>
      <c r="I346" s="156"/>
    </row>
    <row r="347" spans="2:9" s="109" customFormat="1">
      <c r="B347" s="133"/>
      <c r="D347" s="155"/>
      <c r="E347" s="156"/>
      <c r="F347" s="157"/>
      <c r="G347" s="156"/>
      <c r="H347" s="155"/>
      <c r="I347" s="156"/>
    </row>
    <row r="348" spans="2:9" s="109" customFormat="1">
      <c r="B348" s="133"/>
      <c r="D348" s="155"/>
      <c r="E348" s="156"/>
      <c r="F348" s="157"/>
      <c r="G348" s="156"/>
      <c r="H348" s="155"/>
      <c r="I348" s="156"/>
    </row>
    <row r="349" spans="2:9" s="109" customFormat="1">
      <c r="B349" s="133"/>
      <c r="D349" s="155"/>
      <c r="E349" s="156"/>
      <c r="F349" s="157"/>
      <c r="G349" s="156"/>
      <c r="H349" s="155"/>
      <c r="I349" s="156"/>
    </row>
    <row r="350" spans="2:9" s="109" customFormat="1">
      <c r="B350" s="133"/>
      <c r="D350" s="155"/>
      <c r="E350" s="156"/>
      <c r="F350" s="157"/>
      <c r="G350" s="156"/>
      <c r="H350" s="155"/>
      <c r="I350" s="156"/>
    </row>
    <row r="351" spans="2:9" s="109" customFormat="1">
      <c r="B351" s="133"/>
      <c r="D351" s="155"/>
      <c r="E351" s="156"/>
      <c r="F351" s="157"/>
      <c r="G351" s="156"/>
      <c r="H351" s="155"/>
      <c r="I351" s="156"/>
    </row>
    <row r="352" spans="2:9" s="109" customFormat="1">
      <c r="B352" s="133"/>
      <c r="D352" s="155"/>
      <c r="E352" s="156"/>
      <c r="F352" s="157"/>
      <c r="G352" s="156"/>
      <c r="H352" s="155"/>
      <c r="I352" s="156"/>
    </row>
    <row r="353" spans="2:9" s="109" customFormat="1">
      <c r="B353" s="133"/>
      <c r="D353" s="155"/>
      <c r="E353" s="156"/>
      <c r="F353" s="157"/>
      <c r="G353" s="156"/>
      <c r="H353" s="155"/>
      <c r="I353" s="156"/>
    </row>
    <row r="354" spans="2:9" s="109" customFormat="1">
      <c r="B354" s="133"/>
      <c r="D354" s="155"/>
      <c r="E354" s="156"/>
      <c r="F354" s="157"/>
      <c r="G354" s="156"/>
      <c r="H354" s="155"/>
      <c r="I354" s="156"/>
    </row>
    <row r="355" spans="2:9" s="109" customFormat="1">
      <c r="B355" s="133"/>
      <c r="D355" s="155"/>
      <c r="E355" s="156"/>
      <c r="F355" s="157"/>
      <c r="G355" s="156"/>
      <c r="H355" s="155"/>
      <c r="I355" s="156"/>
    </row>
    <row r="356" spans="2:9" s="109" customFormat="1">
      <c r="B356" s="133"/>
      <c r="D356" s="155"/>
      <c r="E356" s="156"/>
      <c r="F356" s="157"/>
      <c r="G356" s="156"/>
      <c r="H356" s="155"/>
      <c r="I356" s="156"/>
    </row>
    <row r="357" spans="2:9" s="109" customFormat="1">
      <c r="B357" s="133"/>
      <c r="D357" s="155"/>
      <c r="E357" s="156"/>
      <c r="F357" s="157"/>
      <c r="G357" s="156"/>
      <c r="H357" s="155"/>
      <c r="I357" s="156"/>
    </row>
    <row r="358" spans="2:9" s="109" customFormat="1">
      <c r="B358" s="133"/>
      <c r="D358" s="155"/>
      <c r="E358" s="156"/>
      <c r="F358" s="157"/>
      <c r="G358" s="156"/>
      <c r="H358" s="155"/>
      <c r="I358" s="156"/>
    </row>
    <row r="359" spans="2:9" s="109" customFormat="1">
      <c r="B359" s="133"/>
      <c r="D359" s="155"/>
      <c r="E359" s="156"/>
      <c r="F359" s="157"/>
      <c r="G359" s="156"/>
      <c r="H359" s="155"/>
      <c r="I359" s="156"/>
    </row>
    <row r="360" spans="2:9" s="109" customFormat="1">
      <c r="B360" s="133"/>
      <c r="D360" s="155"/>
      <c r="E360" s="156"/>
      <c r="F360" s="157"/>
      <c r="G360" s="156"/>
      <c r="H360" s="155"/>
      <c r="I360" s="156"/>
    </row>
    <row r="361" spans="2:9" s="109" customFormat="1">
      <c r="B361" s="133"/>
      <c r="D361" s="155"/>
      <c r="E361" s="156"/>
      <c r="F361" s="157"/>
      <c r="G361" s="156"/>
      <c r="H361" s="155"/>
      <c r="I361" s="156"/>
    </row>
    <row r="362" spans="2:9" s="109" customFormat="1">
      <c r="B362" s="133"/>
      <c r="D362" s="155"/>
      <c r="E362" s="156"/>
      <c r="F362" s="157"/>
      <c r="G362" s="156"/>
      <c r="H362" s="155"/>
      <c r="I362" s="156"/>
    </row>
    <row r="363" spans="2:9" s="109" customFormat="1">
      <c r="B363" s="133"/>
      <c r="D363" s="155"/>
      <c r="E363" s="156"/>
      <c r="F363" s="157"/>
      <c r="G363" s="156"/>
      <c r="H363" s="155"/>
      <c r="I363" s="156"/>
    </row>
    <row r="364" spans="2:9" s="109" customFormat="1">
      <c r="B364" s="133"/>
      <c r="D364" s="155"/>
      <c r="E364" s="156"/>
      <c r="F364" s="157"/>
      <c r="G364" s="156"/>
      <c r="H364" s="155"/>
      <c r="I364" s="156"/>
    </row>
    <row r="365" spans="2:9" s="109" customFormat="1">
      <c r="B365" s="133"/>
      <c r="D365" s="155"/>
      <c r="E365" s="156"/>
      <c r="F365" s="157"/>
      <c r="G365" s="156"/>
      <c r="H365" s="155"/>
      <c r="I365" s="156"/>
    </row>
    <row r="366" spans="2:9" s="109" customFormat="1">
      <c r="B366" s="133"/>
      <c r="D366" s="155"/>
      <c r="E366" s="156"/>
      <c r="F366" s="157"/>
      <c r="G366" s="156"/>
      <c r="H366" s="155"/>
      <c r="I366" s="156"/>
    </row>
    <row r="367" spans="2:9" s="109" customFormat="1">
      <c r="B367" s="133"/>
      <c r="D367" s="155"/>
      <c r="E367" s="156"/>
      <c r="F367" s="157"/>
      <c r="G367" s="156"/>
      <c r="H367" s="155"/>
      <c r="I367" s="156"/>
    </row>
    <row r="368" spans="2:9" s="109" customFormat="1">
      <c r="B368" s="133"/>
      <c r="D368" s="155"/>
      <c r="E368" s="156"/>
      <c r="F368" s="157"/>
      <c r="G368" s="156"/>
      <c r="H368" s="155"/>
      <c r="I368" s="156"/>
    </row>
    <row r="369" spans="2:9" s="109" customFormat="1">
      <c r="B369" s="133"/>
      <c r="D369" s="155"/>
      <c r="E369" s="156"/>
      <c r="F369" s="157"/>
      <c r="G369" s="156"/>
      <c r="H369" s="155"/>
      <c r="I369" s="156"/>
    </row>
    <row r="370" spans="2:9" s="109" customFormat="1">
      <c r="B370" s="133"/>
      <c r="D370" s="155"/>
      <c r="E370" s="156"/>
      <c r="F370" s="157"/>
      <c r="G370" s="156"/>
      <c r="H370" s="155"/>
      <c r="I370" s="156"/>
    </row>
    <row r="371" spans="2:9" s="109" customFormat="1">
      <c r="B371" s="133"/>
      <c r="D371" s="155"/>
      <c r="E371" s="156"/>
      <c r="F371" s="157"/>
      <c r="G371" s="156"/>
      <c r="H371" s="155"/>
      <c r="I371" s="156"/>
    </row>
    <row r="372" spans="2:9" s="109" customFormat="1">
      <c r="B372" s="133"/>
      <c r="D372" s="155"/>
      <c r="E372" s="156"/>
      <c r="F372" s="157"/>
      <c r="G372" s="156"/>
      <c r="H372" s="155"/>
      <c r="I372" s="156"/>
    </row>
    <row r="373" spans="2:9" s="109" customFormat="1">
      <c r="B373" s="133"/>
      <c r="D373" s="155"/>
      <c r="E373" s="156"/>
      <c r="F373" s="157"/>
      <c r="G373" s="156"/>
      <c r="H373" s="155"/>
      <c r="I373" s="156"/>
    </row>
    <row r="374" spans="2:9" s="109" customFormat="1">
      <c r="B374" s="133"/>
      <c r="D374" s="155"/>
      <c r="E374" s="156"/>
      <c r="F374" s="157"/>
      <c r="G374" s="156"/>
      <c r="H374" s="155"/>
      <c r="I374" s="156"/>
    </row>
    <row r="375" spans="2:9" s="109" customFormat="1">
      <c r="B375" s="133"/>
      <c r="D375" s="155"/>
      <c r="E375" s="156"/>
      <c r="F375" s="157"/>
      <c r="G375" s="156"/>
      <c r="H375" s="155"/>
      <c r="I375" s="156"/>
    </row>
    <row r="376" spans="2:9" s="109" customFormat="1">
      <c r="B376" s="133"/>
      <c r="D376" s="155"/>
      <c r="E376" s="156"/>
      <c r="F376" s="157"/>
      <c r="G376" s="156"/>
      <c r="H376" s="155"/>
      <c r="I376" s="156"/>
    </row>
    <row r="377" spans="2:9" s="109" customFormat="1">
      <c r="B377" s="133"/>
      <c r="D377" s="155"/>
      <c r="E377" s="156"/>
      <c r="F377" s="157"/>
      <c r="G377" s="156"/>
      <c r="H377" s="155"/>
      <c r="I377" s="156"/>
    </row>
    <row r="378" spans="2:9" s="109" customFormat="1">
      <c r="B378" s="133"/>
      <c r="D378" s="155"/>
      <c r="E378" s="156"/>
      <c r="F378" s="157"/>
      <c r="G378" s="156"/>
      <c r="H378" s="155"/>
      <c r="I378" s="156"/>
    </row>
    <row r="379" spans="2:9" s="109" customFormat="1">
      <c r="B379" s="133"/>
      <c r="D379" s="155"/>
      <c r="E379" s="156"/>
      <c r="F379" s="157"/>
      <c r="G379" s="156"/>
      <c r="H379" s="155"/>
      <c r="I379" s="156"/>
    </row>
    <row r="380" spans="2:9" s="109" customFormat="1">
      <c r="B380" s="133"/>
      <c r="D380" s="155"/>
      <c r="E380" s="156"/>
      <c r="F380" s="157"/>
      <c r="G380" s="156"/>
      <c r="H380" s="155"/>
      <c r="I380" s="156"/>
    </row>
    <row r="381" spans="2:9" s="109" customFormat="1">
      <c r="B381" s="133"/>
      <c r="D381" s="155"/>
      <c r="E381" s="156"/>
      <c r="F381" s="157"/>
      <c r="G381" s="156"/>
      <c r="H381" s="155"/>
      <c r="I381" s="156"/>
    </row>
    <row r="382" spans="2:9" s="109" customFormat="1">
      <c r="B382" s="133"/>
      <c r="D382" s="155"/>
      <c r="E382" s="156"/>
      <c r="F382" s="157"/>
      <c r="G382" s="156"/>
      <c r="H382" s="155"/>
      <c r="I382" s="156"/>
    </row>
    <row r="383" spans="2:9" s="109" customFormat="1">
      <c r="B383" s="133"/>
      <c r="D383" s="155"/>
      <c r="E383" s="156"/>
      <c r="F383" s="157"/>
      <c r="G383" s="156"/>
      <c r="H383" s="155"/>
      <c r="I383" s="156"/>
    </row>
    <row r="384" spans="2:9" s="109" customFormat="1">
      <c r="B384" s="133"/>
      <c r="D384" s="155"/>
      <c r="E384" s="156"/>
      <c r="F384" s="157"/>
      <c r="G384" s="156"/>
      <c r="H384" s="155"/>
      <c r="I384" s="156"/>
    </row>
    <row r="385" spans="2:9" s="109" customFormat="1">
      <c r="B385" s="133"/>
      <c r="D385" s="155"/>
      <c r="E385" s="156"/>
      <c r="F385" s="157"/>
      <c r="G385" s="156"/>
      <c r="H385" s="155"/>
      <c r="I385" s="156"/>
    </row>
    <row r="386" spans="2:9" s="109" customFormat="1">
      <c r="B386" s="133"/>
      <c r="D386" s="155"/>
      <c r="E386" s="156"/>
      <c r="F386" s="157"/>
      <c r="G386" s="156"/>
      <c r="H386" s="155"/>
      <c r="I386" s="156"/>
    </row>
    <row r="387" spans="2:9" s="109" customFormat="1">
      <c r="B387" s="133"/>
      <c r="D387" s="155"/>
      <c r="E387" s="156"/>
      <c r="F387" s="157"/>
      <c r="G387" s="156"/>
      <c r="H387" s="155"/>
      <c r="I387" s="156"/>
    </row>
    <row r="388" spans="2:9" s="109" customFormat="1">
      <c r="B388" s="133"/>
      <c r="D388" s="155"/>
      <c r="E388" s="156"/>
      <c r="F388" s="157"/>
      <c r="G388" s="156"/>
      <c r="H388" s="155"/>
      <c r="I388" s="156"/>
    </row>
    <row r="389" spans="2:9" s="109" customFormat="1">
      <c r="B389" s="133"/>
      <c r="D389" s="155"/>
      <c r="E389" s="156"/>
      <c r="F389" s="157"/>
      <c r="G389" s="156"/>
      <c r="H389" s="155"/>
      <c r="I389" s="156"/>
    </row>
    <row r="390" spans="2:9" s="109" customFormat="1">
      <c r="B390" s="133"/>
      <c r="D390" s="155"/>
      <c r="E390" s="156"/>
      <c r="F390" s="157"/>
      <c r="G390" s="156"/>
      <c r="H390" s="155"/>
      <c r="I390" s="156"/>
    </row>
    <row r="391" spans="2:9" s="109" customFormat="1">
      <c r="B391" s="133"/>
      <c r="D391" s="155"/>
      <c r="E391" s="156"/>
      <c r="F391" s="157"/>
      <c r="G391" s="156"/>
      <c r="H391" s="155"/>
      <c r="I391" s="156"/>
    </row>
    <row r="392" spans="2:9" s="109" customFormat="1">
      <c r="B392" s="133"/>
      <c r="D392" s="155"/>
      <c r="E392" s="156"/>
      <c r="F392" s="157"/>
      <c r="G392" s="156"/>
      <c r="H392" s="155"/>
      <c r="I392" s="156"/>
    </row>
    <row r="393" spans="2:9" s="109" customFormat="1">
      <c r="B393" s="133"/>
      <c r="D393" s="155"/>
      <c r="E393" s="156"/>
      <c r="F393" s="157"/>
      <c r="G393" s="156"/>
      <c r="H393" s="155"/>
      <c r="I393" s="156"/>
    </row>
    <row r="394" spans="2:9" s="109" customFormat="1">
      <c r="B394" s="133"/>
      <c r="D394" s="155"/>
      <c r="E394" s="156"/>
      <c r="F394" s="157"/>
      <c r="G394" s="156"/>
      <c r="H394" s="155"/>
      <c r="I394" s="156"/>
    </row>
    <row r="395" spans="2:9" s="109" customFormat="1">
      <c r="B395" s="133"/>
      <c r="D395" s="155"/>
      <c r="E395" s="156"/>
      <c r="F395" s="157"/>
      <c r="G395" s="156"/>
      <c r="H395" s="155"/>
      <c r="I395" s="156"/>
    </row>
    <row r="396" spans="2:9" s="109" customFormat="1">
      <c r="B396" s="133"/>
      <c r="D396" s="155"/>
      <c r="E396" s="156"/>
      <c r="F396" s="157"/>
      <c r="G396" s="156"/>
      <c r="H396" s="155"/>
      <c r="I396" s="156"/>
    </row>
    <row r="397" spans="2:9" s="109" customFormat="1">
      <c r="B397" s="133"/>
      <c r="D397" s="155"/>
      <c r="E397" s="156"/>
      <c r="F397" s="157"/>
      <c r="G397" s="156"/>
      <c r="H397" s="155"/>
      <c r="I397" s="156"/>
    </row>
    <row r="398" spans="2:9" s="109" customFormat="1">
      <c r="B398" s="133"/>
      <c r="D398" s="155"/>
      <c r="E398" s="156"/>
      <c r="F398" s="157"/>
      <c r="G398" s="156"/>
      <c r="H398" s="155"/>
      <c r="I398" s="156"/>
    </row>
    <row r="399" spans="2:9" s="109" customFormat="1">
      <c r="B399" s="133"/>
      <c r="D399" s="155"/>
      <c r="E399" s="156"/>
      <c r="F399" s="157"/>
      <c r="G399" s="156"/>
      <c r="H399" s="155"/>
      <c r="I399" s="156"/>
    </row>
    <row r="400" spans="2:9" s="109" customFormat="1">
      <c r="B400" s="133"/>
      <c r="D400" s="155"/>
      <c r="E400" s="156"/>
      <c r="F400" s="157"/>
      <c r="G400" s="156"/>
      <c r="H400" s="155"/>
      <c r="I400" s="156"/>
    </row>
    <row r="401" spans="2:9" s="109" customFormat="1">
      <c r="B401" s="133"/>
      <c r="D401" s="155"/>
      <c r="E401" s="156"/>
      <c r="F401" s="157"/>
      <c r="G401" s="156"/>
      <c r="H401" s="155"/>
      <c r="I401" s="156"/>
    </row>
    <row r="402" spans="2:9" s="109" customFormat="1">
      <c r="B402" s="133"/>
      <c r="D402" s="155"/>
      <c r="E402" s="156"/>
      <c r="F402" s="157"/>
      <c r="G402" s="156"/>
      <c r="H402" s="155"/>
      <c r="I402" s="156"/>
    </row>
    <row r="403" spans="2:9" s="109" customFormat="1">
      <c r="B403" s="133"/>
      <c r="D403" s="155"/>
      <c r="E403" s="156"/>
      <c r="F403" s="157"/>
      <c r="G403" s="156"/>
      <c r="H403" s="155"/>
      <c r="I403" s="156"/>
    </row>
    <row r="404" spans="2:9" s="109" customFormat="1">
      <c r="B404" s="133"/>
      <c r="D404" s="155"/>
      <c r="E404" s="156"/>
      <c r="F404" s="157"/>
      <c r="G404" s="156"/>
      <c r="H404" s="155"/>
      <c r="I404" s="156"/>
    </row>
    <row r="405" spans="2:9" s="109" customFormat="1">
      <c r="B405" s="133"/>
      <c r="D405" s="155"/>
      <c r="E405" s="156"/>
      <c r="F405" s="157"/>
      <c r="G405" s="156"/>
      <c r="H405" s="155"/>
      <c r="I405" s="156"/>
    </row>
    <row r="406" spans="2:9" s="109" customFormat="1">
      <c r="B406" s="133"/>
      <c r="D406" s="155"/>
      <c r="E406" s="156"/>
      <c r="F406" s="157"/>
      <c r="G406" s="156"/>
      <c r="H406" s="155"/>
      <c r="I406" s="156"/>
    </row>
    <row r="407" spans="2:9" s="109" customFormat="1">
      <c r="B407" s="133"/>
      <c r="D407" s="155"/>
      <c r="E407" s="156"/>
      <c r="F407" s="157"/>
      <c r="G407" s="156"/>
      <c r="H407" s="155"/>
      <c r="I407" s="156"/>
    </row>
    <row r="408" spans="2:9" s="109" customFormat="1">
      <c r="B408" s="133"/>
      <c r="D408" s="155"/>
      <c r="E408" s="156"/>
      <c r="F408" s="157"/>
      <c r="G408" s="156"/>
      <c r="H408" s="155"/>
      <c r="I408" s="156"/>
    </row>
    <row r="409" spans="2:9" s="109" customFormat="1">
      <c r="B409" s="133"/>
      <c r="D409" s="155"/>
      <c r="E409" s="156"/>
      <c r="F409" s="157"/>
      <c r="G409" s="156"/>
      <c r="H409" s="155"/>
      <c r="I409" s="156"/>
    </row>
    <row r="410" spans="2:9" s="109" customFormat="1">
      <c r="B410" s="133"/>
      <c r="D410" s="155"/>
      <c r="E410" s="156"/>
      <c r="F410" s="157"/>
      <c r="G410" s="156"/>
      <c r="H410" s="155"/>
      <c r="I410" s="156"/>
    </row>
    <row r="411" spans="2:9" s="109" customFormat="1">
      <c r="B411" s="133"/>
      <c r="D411" s="155"/>
      <c r="E411" s="156"/>
      <c r="F411" s="157"/>
      <c r="G411" s="156"/>
      <c r="H411" s="155"/>
      <c r="I411" s="156"/>
    </row>
    <row r="412" spans="2:9" s="109" customFormat="1">
      <c r="B412" s="133"/>
      <c r="D412" s="155"/>
      <c r="E412" s="156"/>
      <c r="F412" s="157"/>
      <c r="G412" s="156"/>
      <c r="H412" s="155"/>
      <c r="I412" s="156"/>
    </row>
    <row r="413" spans="2:9" s="109" customFormat="1">
      <c r="B413" s="133"/>
      <c r="D413" s="155"/>
      <c r="E413" s="156"/>
      <c r="F413" s="157"/>
      <c r="G413" s="156"/>
      <c r="H413" s="155"/>
      <c r="I413" s="156"/>
    </row>
    <row r="414" spans="2:9" s="109" customFormat="1">
      <c r="B414" s="133"/>
      <c r="D414" s="155"/>
      <c r="E414" s="156"/>
      <c r="F414" s="157"/>
      <c r="G414" s="156"/>
      <c r="H414" s="155"/>
      <c r="I414" s="156"/>
    </row>
    <row r="415" spans="2:9" s="109" customFormat="1">
      <c r="B415" s="133"/>
      <c r="D415" s="155"/>
      <c r="E415" s="156"/>
      <c r="F415" s="157"/>
      <c r="G415" s="156"/>
      <c r="H415" s="155"/>
      <c r="I415" s="156"/>
    </row>
    <row r="416" spans="2:9" s="109" customFormat="1">
      <c r="B416" s="133"/>
      <c r="D416" s="155"/>
      <c r="E416" s="156"/>
      <c r="F416" s="157"/>
      <c r="G416" s="156"/>
      <c r="H416" s="155"/>
      <c r="I416" s="156"/>
    </row>
    <row r="417" spans="2:9" s="109" customFormat="1">
      <c r="B417" s="133"/>
      <c r="D417" s="155"/>
      <c r="E417" s="156"/>
      <c r="F417" s="157"/>
      <c r="G417" s="156"/>
      <c r="H417" s="155"/>
      <c r="I417" s="156"/>
    </row>
    <row r="418" spans="2:9" s="109" customFormat="1">
      <c r="B418" s="133"/>
      <c r="D418" s="155"/>
      <c r="E418" s="156"/>
      <c r="F418" s="157"/>
      <c r="G418" s="156"/>
      <c r="H418" s="155"/>
      <c r="I418" s="156"/>
    </row>
    <row r="419" spans="2:9" s="109" customFormat="1">
      <c r="B419" s="133"/>
      <c r="D419" s="155"/>
      <c r="E419" s="156"/>
      <c r="F419" s="157"/>
      <c r="G419" s="156"/>
      <c r="H419" s="155"/>
      <c r="I419" s="156"/>
    </row>
    <row r="420" spans="2:9" s="109" customFormat="1">
      <c r="B420" s="133"/>
      <c r="D420" s="155"/>
      <c r="E420" s="156"/>
      <c r="F420" s="157"/>
      <c r="G420" s="156"/>
      <c r="H420" s="155"/>
      <c r="I420" s="156"/>
    </row>
    <row r="421" spans="2:9" s="109" customFormat="1">
      <c r="B421" s="133"/>
      <c r="D421" s="155"/>
      <c r="E421" s="156"/>
      <c r="F421" s="157"/>
      <c r="G421" s="156"/>
      <c r="H421" s="155"/>
      <c r="I421" s="156"/>
    </row>
    <row r="422" spans="2:9" s="109" customFormat="1">
      <c r="B422" s="133"/>
      <c r="D422" s="155"/>
      <c r="E422" s="156"/>
      <c r="F422" s="157"/>
      <c r="G422" s="156"/>
      <c r="H422" s="155"/>
      <c r="I422" s="156"/>
    </row>
    <row r="423" spans="2:9" s="109" customFormat="1">
      <c r="B423" s="133"/>
      <c r="D423" s="155"/>
      <c r="E423" s="156"/>
      <c r="F423" s="157"/>
      <c r="G423" s="156"/>
      <c r="H423" s="155"/>
      <c r="I423" s="156"/>
    </row>
    <row r="424" spans="2:9" s="109" customFormat="1">
      <c r="B424" s="133"/>
      <c r="D424" s="155"/>
      <c r="E424" s="156"/>
      <c r="F424" s="157"/>
      <c r="G424" s="156"/>
      <c r="H424" s="155"/>
      <c r="I424" s="156"/>
    </row>
    <row r="425" spans="2:9" s="109" customFormat="1">
      <c r="B425" s="133"/>
      <c r="D425" s="155"/>
      <c r="E425" s="156"/>
      <c r="F425" s="157"/>
      <c r="G425" s="156"/>
      <c r="H425" s="155"/>
      <c r="I425" s="156"/>
    </row>
    <row r="426" spans="2:9" s="109" customFormat="1">
      <c r="B426" s="133"/>
      <c r="D426" s="155"/>
      <c r="E426" s="156"/>
      <c r="F426" s="157"/>
      <c r="G426" s="156"/>
      <c r="H426" s="155"/>
      <c r="I426" s="156"/>
    </row>
    <row r="427" spans="2:9" s="109" customFormat="1">
      <c r="B427" s="133"/>
      <c r="D427" s="155"/>
      <c r="E427" s="156"/>
      <c r="F427" s="157"/>
      <c r="G427" s="156"/>
      <c r="H427" s="155"/>
      <c r="I427" s="156"/>
    </row>
    <row r="428" spans="2:9" s="109" customFormat="1">
      <c r="B428" s="133"/>
      <c r="D428" s="155"/>
      <c r="E428" s="156"/>
      <c r="F428" s="157"/>
      <c r="G428" s="156"/>
      <c r="H428" s="155"/>
      <c r="I428" s="156"/>
    </row>
    <row r="429" spans="2:9" s="109" customFormat="1">
      <c r="B429" s="133"/>
      <c r="D429" s="155"/>
      <c r="E429" s="156"/>
      <c r="F429" s="157"/>
      <c r="G429" s="156"/>
      <c r="H429" s="155"/>
      <c r="I429" s="156"/>
    </row>
    <row r="430" spans="2:9" s="109" customFormat="1">
      <c r="B430" s="133"/>
      <c r="D430" s="155"/>
      <c r="E430" s="156"/>
      <c r="F430" s="157"/>
      <c r="G430" s="156"/>
      <c r="H430" s="155"/>
      <c r="I430" s="156"/>
    </row>
    <row r="431" spans="2:9" s="109" customFormat="1">
      <c r="B431" s="133"/>
      <c r="D431" s="155"/>
      <c r="E431" s="156"/>
      <c r="F431" s="157"/>
      <c r="G431" s="156"/>
      <c r="H431" s="155"/>
      <c r="I431" s="156"/>
    </row>
    <row r="432" spans="2:9" s="109" customFormat="1">
      <c r="B432" s="133"/>
      <c r="D432" s="155"/>
      <c r="E432" s="156"/>
      <c r="F432" s="157"/>
      <c r="G432" s="156"/>
      <c r="H432" s="155"/>
      <c r="I432" s="156"/>
    </row>
    <row r="433" spans="2:9" s="109" customFormat="1">
      <c r="B433" s="133"/>
      <c r="D433" s="155"/>
      <c r="E433" s="156"/>
      <c r="F433" s="157"/>
      <c r="G433" s="156"/>
      <c r="H433" s="155"/>
      <c r="I433" s="156"/>
    </row>
    <row r="434" spans="2:9" s="109" customFormat="1">
      <c r="B434" s="133"/>
      <c r="D434" s="155"/>
      <c r="E434" s="156"/>
      <c r="F434" s="157"/>
      <c r="G434" s="156"/>
      <c r="H434" s="155"/>
      <c r="I434" s="156"/>
    </row>
    <row r="435" spans="2:9" s="109" customFormat="1">
      <c r="B435" s="133"/>
      <c r="D435" s="155"/>
      <c r="E435" s="156"/>
      <c r="F435" s="157"/>
      <c r="G435" s="156"/>
      <c r="H435" s="155"/>
      <c r="I435" s="156"/>
    </row>
    <row r="436" spans="2:9" s="109" customFormat="1">
      <c r="B436" s="133"/>
      <c r="D436" s="155"/>
      <c r="E436" s="156"/>
      <c r="F436" s="157"/>
      <c r="G436" s="156"/>
      <c r="H436" s="155"/>
      <c r="I436" s="156"/>
    </row>
    <row r="437" spans="2:9" s="109" customFormat="1">
      <c r="B437" s="133"/>
      <c r="D437" s="155"/>
      <c r="E437" s="156"/>
      <c r="F437" s="157"/>
      <c r="G437" s="156"/>
      <c r="H437" s="155"/>
      <c r="I437" s="156"/>
    </row>
    <row r="438" spans="2:9" s="109" customFormat="1">
      <c r="B438" s="133"/>
      <c r="D438" s="155"/>
      <c r="E438" s="156"/>
      <c r="F438" s="157"/>
      <c r="G438" s="156"/>
      <c r="H438" s="155"/>
      <c r="I438" s="156"/>
    </row>
    <row r="439" spans="2:9" s="109" customFormat="1">
      <c r="B439" s="133"/>
      <c r="D439" s="155"/>
      <c r="E439" s="156"/>
      <c r="F439" s="157"/>
      <c r="G439" s="156"/>
      <c r="H439" s="155"/>
      <c r="I439" s="156"/>
    </row>
    <row r="440" spans="2:9" s="109" customFormat="1">
      <c r="B440" s="133"/>
      <c r="D440" s="155"/>
      <c r="E440" s="156"/>
      <c r="F440" s="157"/>
      <c r="G440" s="156"/>
      <c r="H440" s="155"/>
      <c r="I440" s="156"/>
    </row>
    <row r="441" spans="2:9" s="109" customFormat="1">
      <c r="B441" s="133"/>
      <c r="D441" s="155"/>
      <c r="E441" s="156"/>
      <c r="F441" s="157"/>
      <c r="G441" s="156"/>
      <c r="H441" s="155"/>
      <c r="I441" s="156"/>
    </row>
    <row r="442" spans="2:9" s="109" customFormat="1">
      <c r="B442" s="133"/>
      <c r="D442" s="155"/>
      <c r="E442" s="156"/>
      <c r="F442" s="157"/>
      <c r="G442" s="156"/>
      <c r="H442" s="155"/>
      <c r="I442" s="156"/>
    </row>
    <row r="443" spans="2:9" s="109" customFormat="1">
      <c r="B443" s="133"/>
      <c r="D443" s="155"/>
      <c r="E443" s="156"/>
      <c r="F443" s="157"/>
      <c r="G443" s="156"/>
      <c r="H443" s="155"/>
      <c r="I443" s="156"/>
    </row>
    <row r="444" spans="2:9" s="109" customFormat="1">
      <c r="B444" s="133"/>
      <c r="D444" s="155"/>
      <c r="E444" s="156"/>
      <c r="F444" s="157"/>
      <c r="G444" s="156"/>
      <c r="H444" s="155"/>
      <c r="I444" s="156"/>
    </row>
    <row r="445" spans="2:9" s="109" customFormat="1">
      <c r="B445" s="133"/>
      <c r="D445" s="155"/>
      <c r="E445" s="156"/>
      <c r="F445" s="157"/>
      <c r="G445" s="156"/>
      <c r="H445" s="155"/>
      <c r="I445" s="156"/>
    </row>
    <row r="446" spans="2:9" s="109" customFormat="1">
      <c r="B446" s="133"/>
      <c r="D446" s="155"/>
      <c r="E446" s="156"/>
      <c r="F446" s="157"/>
      <c r="G446" s="156"/>
      <c r="H446" s="155"/>
      <c r="I446" s="156"/>
    </row>
    <row r="447" spans="2:9" s="109" customFormat="1">
      <c r="B447" s="133"/>
      <c r="D447" s="155"/>
      <c r="E447" s="156"/>
      <c r="F447" s="157"/>
      <c r="G447" s="156"/>
      <c r="H447" s="155"/>
      <c r="I447" s="156"/>
    </row>
    <row r="448" spans="2:9" s="109" customFormat="1">
      <c r="B448" s="133"/>
      <c r="D448" s="155"/>
      <c r="E448" s="156"/>
      <c r="F448" s="157"/>
      <c r="G448" s="156"/>
      <c r="H448" s="155"/>
      <c r="I448" s="156"/>
    </row>
    <row r="449" spans="2:9" s="109" customFormat="1">
      <c r="B449" s="133"/>
      <c r="D449" s="155"/>
      <c r="E449" s="156"/>
      <c r="F449" s="157"/>
      <c r="G449" s="156"/>
      <c r="H449" s="155"/>
      <c r="I449" s="156"/>
    </row>
    <row r="450" spans="2:9" s="109" customFormat="1">
      <c r="B450" s="133"/>
      <c r="D450" s="155"/>
      <c r="E450" s="156"/>
      <c r="F450" s="157"/>
      <c r="G450" s="156"/>
      <c r="H450" s="155"/>
      <c r="I450" s="156"/>
    </row>
    <row r="451" spans="2:9" s="109" customFormat="1">
      <c r="B451" s="133"/>
      <c r="D451" s="155"/>
      <c r="E451" s="156"/>
      <c r="F451" s="157"/>
      <c r="G451" s="156"/>
      <c r="H451" s="155"/>
      <c r="I451" s="156"/>
    </row>
    <row r="452" spans="2:9" s="109" customFormat="1">
      <c r="B452" s="133"/>
      <c r="D452" s="155"/>
      <c r="E452" s="156"/>
      <c r="F452" s="157"/>
      <c r="G452" s="156"/>
      <c r="H452" s="155"/>
      <c r="I452" s="156"/>
    </row>
    <row r="453" spans="2:9" s="109" customFormat="1">
      <c r="B453" s="133"/>
      <c r="D453" s="155"/>
      <c r="E453" s="156"/>
      <c r="F453" s="157"/>
      <c r="G453" s="156"/>
      <c r="H453" s="155"/>
      <c r="I453" s="156"/>
    </row>
    <row r="454" spans="2:9" s="109" customFormat="1">
      <c r="B454" s="133"/>
      <c r="D454" s="155"/>
      <c r="E454" s="156"/>
      <c r="F454" s="157"/>
      <c r="G454" s="156"/>
      <c r="H454" s="155"/>
      <c r="I454" s="156"/>
    </row>
    <row r="455" spans="2:9" s="109" customFormat="1">
      <c r="B455" s="133"/>
      <c r="D455" s="155"/>
      <c r="E455" s="156"/>
      <c r="F455" s="157"/>
      <c r="G455" s="156"/>
      <c r="H455" s="155"/>
      <c r="I455" s="156"/>
    </row>
    <row r="456" spans="2:9" s="109" customFormat="1">
      <c r="B456" s="133"/>
      <c r="D456" s="155"/>
      <c r="E456" s="156"/>
      <c r="F456" s="157"/>
      <c r="G456" s="156"/>
      <c r="H456" s="155"/>
      <c r="I456" s="156"/>
    </row>
    <row r="457" spans="2:9" s="109" customFormat="1">
      <c r="B457" s="133"/>
      <c r="D457" s="155"/>
      <c r="E457" s="156"/>
      <c r="F457" s="157"/>
      <c r="G457" s="156"/>
      <c r="H457" s="155"/>
      <c r="I457" s="156"/>
    </row>
    <row r="458" spans="2:9" s="109" customFormat="1">
      <c r="B458" s="133"/>
      <c r="D458" s="155"/>
      <c r="E458" s="156"/>
      <c r="F458" s="157"/>
      <c r="G458" s="156"/>
      <c r="H458" s="155"/>
      <c r="I458" s="156"/>
    </row>
    <row r="459" spans="2:9" s="109" customFormat="1">
      <c r="B459" s="133"/>
      <c r="D459" s="155"/>
      <c r="E459" s="156"/>
      <c r="F459" s="157"/>
      <c r="G459" s="156"/>
      <c r="H459" s="155"/>
      <c r="I459" s="156"/>
    </row>
    <row r="460" spans="2:9" s="109" customFormat="1">
      <c r="B460" s="133"/>
      <c r="D460" s="155"/>
      <c r="E460" s="156"/>
      <c r="F460" s="157"/>
      <c r="G460" s="156"/>
      <c r="H460" s="155"/>
      <c r="I460" s="156"/>
    </row>
    <row r="461" spans="2:9" s="109" customFormat="1">
      <c r="B461" s="133"/>
      <c r="D461" s="155"/>
      <c r="E461" s="156"/>
      <c r="F461" s="157"/>
      <c r="G461" s="156"/>
      <c r="H461" s="155"/>
      <c r="I461" s="156"/>
    </row>
    <row r="462" spans="2:9" s="109" customFormat="1">
      <c r="B462" s="133"/>
      <c r="D462" s="155"/>
      <c r="E462" s="156"/>
      <c r="F462" s="157"/>
      <c r="G462" s="156"/>
      <c r="H462" s="155"/>
      <c r="I462" s="156"/>
    </row>
    <row r="463" spans="2:9" s="109" customFormat="1">
      <c r="B463" s="133"/>
      <c r="D463" s="155"/>
      <c r="E463" s="156"/>
      <c r="F463" s="157"/>
      <c r="G463" s="156"/>
      <c r="H463" s="155"/>
      <c r="I463" s="156"/>
    </row>
    <row r="464" spans="2:9" s="109" customFormat="1">
      <c r="B464" s="133"/>
      <c r="D464" s="155"/>
      <c r="E464" s="156"/>
      <c r="F464" s="157"/>
      <c r="G464" s="156"/>
      <c r="H464" s="155"/>
      <c r="I464" s="156"/>
    </row>
    <row r="465" spans="2:9" s="109" customFormat="1">
      <c r="B465" s="133"/>
      <c r="D465" s="155"/>
      <c r="E465" s="156"/>
      <c r="F465" s="157"/>
      <c r="G465" s="156"/>
      <c r="H465" s="155"/>
      <c r="I465" s="156"/>
    </row>
    <row r="466" spans="2:9" s="109" customFormat="1">
      <c r="B466" s="133"/>
      <c r="D466" s="155"/>
      <c r="E466" s="156"/>
      <c r="F466" s="157"/>
      <c r="G466" s="156"/>
      <c r="H466" s="155"/>
      <c r="I466" s="156"/>
    </row>
    <row r="467" spans="2:9" s="109" customFormat="1">
      <c r="B467" s="133"/>
      <c r="D467" s="155"/>
      <c r="E467" s="156"/>
      <c r="F467" s="157"/>
      <c r="G467" s="156"/>
      <c r="H467" s="155"/>
      <c r="I467" s="156"/>
    </row>
    <row r="468" spans="2:9" s="109" customFormat="1">
      <c r="B468" s="133"/>
      <c r="D468" s="155"/>
      <c r="E468" s="156"/>
      <c r="F468" s="157"/>
      <c r="G468" s="156"/>
      <c r="H468" s="155"/>
      <c r="I468" s="156"/>
    </row>
    <row r="469" spans="2:9" s="109" customFormat="1">
      <c r="B469" s="133"/>
      <c r="D469" s="155"/>
      <c r="E469" s="156"/>
      <c r="F469" s="157"/>
      <c r="G469" s="156"/>
      <c r="H469" s="155"/>
      <c r="I469" s="156"/>
    </row>
    <row r="470" spans="2:9" s="109" customFormat="1">
      <c r="B470" s="133"/>
      <c r="D470" s="155"/>
      <c r="E470" s="156"/>
      <c r="F470" s="157"/>
      <c r="G470" s="156"/>
      <c r="H470" s="155"/>
      <c r="I470" s="156"/>
    </row>
    <row r="471" spans="2:9" s="109" customFormat="1">
      <c r="B471" s="133"/>
      <c r="D471" s="155"/>
      <c r="E471" s="156"/>
      <c r="F471" s="157"/>
      <c r="G471" s="156"/>
      <c r="H471" s="155"/>
      <c r="I471" s="156"/>
    </row>
    <row r="472" spans="2:9" s="109" customFormat="1">
      <c r="B472" s="133"/>
      <c r="D472" s="155"/>
      <c r="E472" s="156"/>
      <c r="F472" s="157"/>
      <c r="G472" s="156"/>
      <c r="H472" s="155"/>
      <c r="I472" s="156"/>
    </row>
    <row r="473" spans="2:9" s="109" customFormat="1">
      <c r="B473" s="133"/>
      <c r="D473" s="155"/>
      <c r="E473" s="156"/>
      <c r="F473" s="157"/>
      <c r="G473" s="156"/>
      <c r="H473" s="155"/>
      <c r="I473" s="156"/>
    </row>
    <row r="474" spans="2:9" s="109" customFormat="1">
      <c r="B474" s="133"/>
      <c r="D474" s="155"/>
      <c r="E474" s="156"/>
      <c r="F474" s="157"/>
      <c r="G474" s="156"/>
      <c r="H474" s="155"/>
      <c r="I474" s="156"/>
    </row>
    <row r="475" spans="2:9" s="109" customFormat="1">
      <c r="B475" s="133"/>
      <c r="D475" s="155"/>
      <c r="E475" s="156"/>
      <c r="F475" s="157"/>
      <c r="G475" s="156"/>
      <c r="H475" s="155"/>
      <c r="I475" s="156"/>
    </row>
    <row r="476" spans="2:9" s="109" customFormat="1">
      <c r="B476" s="133"/>
      <c r="D476" s="155"/>
      <c r="E476" s="156"/>
      <c r="F476" s="157"/>
      <c r="G476" s="156"/>
      <c r="H476" s="155"/>
      <c r="I476" s="156"/>
    </row>
    <row r="477" spans="2:9" s="109" customFormat="1">
      <c r="B477" s="133"/>
      <c r="D477" s="155"/>
      <c r="E477" s="156"/>
      <c r="F477" s="157"/>
      <c r="G477" s="156"/>
      <c r="H477" s="155"/>
      <c r="I477" s="156"/>
    </row>
    <row r="478" spans="2:9" s="109" customFormat="1">
      <c r="B478" s="133"/>
      <c r="D478" s="155"/>
      <c r="E478" s="156"/>
      <c r="F478" s="157"/>
      <c r="G478" s="156"/>
      <c r="H478" s="155"/>
      <c r="I478" s="156"/>
    </row>
    <row r="479" spans="2:9" s="109" customFormat="1">
      <c r="B479" s="133"/>
      <c r="D479" s="155"/>
      <c r="E479" s="156"/>
      <c r="F479" s="157"/>
      <c r="G479" s="156"/>
      <c r="H479" s="155"/>
      <c r="I479" s="156"/>
    </row>
    <row r="480" spans="2:9" s="109" customFormat="1">
      <c r="B480" s="133"/>
      <c r="D480" s="155"/>
      <c r="E480" s="156"/>
      <c r="F480" s="157"/>
      <c r="G480" s="156"/>
      <c r="H480" s="155"/>
      <c r="I480" s="156"/>
    </row>
    <row r="481" spans="2:9" s="109" customFormat="1">
      <c r="B481" s="133"/>
      <c r="D481" s="155"/>
      <c r="E481" s="156"/>
      <c r="F481" s="157"/>
      <c r="G481" s="156"/>
      <c r="H481" s="155"/>
      <c r="I481" s="156"/>
    </row>
    <row r="482" spans="2:9" s="109" customFormat="1">
      <c r="B482" s="133"/>
      <c r="D482" s="155"/>
      <c r="E482" s="156"/>
      <c r="F482" s="157"/>
      <c r="G482" s="156"/>
      <c r="H482" s="155"/>
      <c r="I482" s="156"/>
    </row>
    <row r="483" spans="2:9" s="109" customFormat="1">
      <c r="B483" s="133"/>
      <c r="D483" s="155"/>
      <c r="E483" s="156"/>
      <c r="F483" s="157"/>
      <c r="G483" s="156"/>
      <c r="H483" s="155"/>
      <c r="I483" s="156"/>
    </row>
    <row r="484" spans="2:9" s="109" customFormat="1">
      <c r="B484" s="133"/>
      <c r="D484" s="155"/>
      <c r="E484" s="156"/>
      <c r="F484" s="157"/>
      <c r="G484" s="156"/>
      <c r="H484" s="155"/>
      <c r="I484" s="156"/>
    </row>
    <row r="485" spans="2:9" s="109" customFormat="1">
      <c r="B485" s="133"/>
      <c r="D485" s="155"/>
      <c r="E485" s="156"/>
      <c r="F485" s="157"/>
      <c r="G485" s="156"/>
      <c r="H485" s="155"/>
      <c r="I485" s="156"/>
    </row>
    <row r="486" spans="2:9" s="109" customFormat="1">
      <c r="B486" s="133"/>
      <c r="D486" s="155"/>
      <c r="E486" s="156"/>
      <c r="F486" s="157"/>
      <c r="G486" s="156"/>
      <c r="H486" s="155"/>
      <c r="I486" s="156"/>
    </row>
    <row r="487" spans="2:9" s="109" customFormat="1">
      <c r="B487" s="133"/>
      <c r="D487" s="155"/>
      <c r="E487" s="156"/>
      <c r="F487" s="157"/>
      <c r="G487" s="156"/>
      <c r="H487" s="155"/>
      <c r="I487" s="156"/>
    </row>
    <row r="488" spans="2:9" s="109" customFormat="1">
      <c r="B488" s="133"/>
      <c r="D488" s="155"/>
      <c r="E488" s="156"/>
      <c r="F488" s="157"/>
      <c r="G488" s="156"/>
      <c r="H488" s="155"/>
      <c r="I488" s="156"/>
    </row>
    <row r="489" spans="2:9" s="109" customFormat="1">
      <c r="B489" s="133"/>
      <c r="D489" s="155"/>
      <c r="E489" s="156"/>
      <c r="F489" s="157"/>
      <c r="G489" s="156"/>
      <c r="H489" s="155"/>
      <c r="I489" s="156"/>
    </row>
    <row r="490" spans="2:9" s="109" customFormat="1">
      <c r="B490" s="133"/>
      <c r="D490" s="155"/>
      <c r="E490" s="156"/>
      <c r="F490" s="157"/>
      <c r="G490" s="156"/>
      <c r="H490" s="155"/>
      <c r="I490" s="156"/>
    </row>
    <row r="491" spans="2:9" s="109" customFormat="1">
      <c r="B491" s="133"/>
      <c r="D491" s="155"/>
      <c r="E491" s="156"/>
      <c r="F491" s="157"/>
      <c r="G491" s="156"/>
      <c r="H491" s="155"/>
      <c r="I491" s="156"/>
    </row>
    <row r="492" spans="2:9" s="109" customFormat="1">
      <c r="B492" s="133"/>
      <c r="D492" s="155"/>
      <c r="E492" s="156"/>
      <c r="F492" s="157"/>
      <c r="G492" s="156"/>
      <c r="H492" s="155"/>
      <c r="I492" s="156"/>
    </row>
    <row r="493" spans="2:9" s="109" customFormat="1">
      <c r="B493" s="133"/>
      <c r="D493" s="155"/>
      <c r="E493" s="156"/>
      <c r="F493" s="157"/>
      <c r="G493" s="156"/>
      <c r="H493" s="155"/>
      <c r="I493" s="156"/>
    </row>
    <row r="494" spans="2:9" s="109" customFormat="1">
      <c r="B494" s="133"/>
      <c r="D494" s="155"/>
      <c r="E494" s="156"/>
      <c r="F494" s="157"/>
      <c r="G494" s="156"/>
      <c r="H494" s="155"/>
      <c r="I494" s="156"/>
    </row>
    <row r="495" spans="2:9" s="109" customFormat="1">
      <c r="B495" s="133"/>
      <c r="D495" s="155"/>
      <c r="E495" s="156"/>
      <c r="F495" s="157"/>
      <c r="G495" s="156"/>
      <c r="H495" s="155"/>
      <c r="I495" s="156"/>
    </row>
    <row r="496" spans="2:9" s="109" customFormat="1">
      <c r="B496" s="133"/>
      <c r="D496" s="155"/>
      <c r="E496" s="156"/>
      <c r="F496" s="157"/>
      <c r="G496" s="156"/>
      <c r="H496" s="155"/>
      <c r="I496" s="156"/>
    </row>
    <row r="497" spans="2:9" s="109" customFormat="1">
      <c r="B497" s="133"/>
      <c r="D497" s="155"/>
      <c r="E497" s="156"/>
      <c r="F497" s="157"/>
      <c r="G497" s="156"/>
      <c r="H497" s="155"/>
      <c r="I497" s="156"/>
    </row>
    <row r="498" spans="2:9" s="109" customFormat="1">
      <c r="B498" s="133"/>
      <c r="D498" s="155"/>
      <c r="E498" s="156"/>
      <c r="F498" s="157"/>
      <c r="G498" s="156"/>
      <c r="H498" s="155"/>
      <c r="I498" s="156"/>
    </row>
    <row r="499" spans="2:9" s="109" customFormat="1">
      <c r="B499" s="133"/>
      <c r="D499" s="155"/>
      <c r="E499" s="156"/>
      <c r="F499" s="157"/>
      <c r="G499" s="156"/>
      <c r="H499" s="155"/>
      <c r="I499" s="156"/>
    </row>
    <row r="500" spans="2:9" s="109" customFormat="1">
      <c r="B500" s="133"/>
      <c r="D500" s="155"/>
      <c r="E500" s="156"/>
      <c r="F500" s="157"/>
      <c r="G500" s="156"/>
      <c r="H500" s="155"/>
      <c r="I500" s="156"/>
    </row>
    <row r="501" spans="2:9" s="109" customFormat="1">
      <c r="B501" s="133"/>
      <c r="D501" s="155"/>
      <c r="E501" s="156"/>
      <c r="F501" s="157"/>
      <c r="G501" s="156"/>
      <c r="H501" s="155"/>
      <c r="I501" s="156"/>
    </row>
    <row r="502" spans="2:9" s="109" customFormat="1">
      <c r="B502" s="133"/>
      <c r="D502" s="155"/>
      <c r="E502" s="156"/>
      <c r="F502" s="157"/>
      <c r="G502" s="156"/>
      <c r="H502" s="155"/>
      <c r="I502" s="156"/>
    </row>
    <row r="503" spans="2:9" s="109" customFormat="1">
      <c r="B503" s="133"/>
      <c r="D503" s="155"/>
      <c r="E503" s="156"/>
      <c r="F503" s="157"/>
      <c r="G503" s="156"/>
      <c r="H503" s="155"/>
      <c r="I503" s="156"/>
    </row>
    <row r="504" spans="2:9" s="109" customFormat="1">
      <c r="B504" s="133"/>
      <c r="D504" s="155"/>
      <c r="E504" s="156"/>
      <c r="F504" s="157"/>
      <c r="G504" s="156"/>
      <c r="H504" s="155"/>
      <c r="I504" s="156"/>
    </row>
    <row r="505" spans="2:9" s="109" customFormat="1">
      <c r="B505" s="133"/>
      <c r="D505" s="155"/>
      <c r="E505" s="156"/>
      <c r="F505" s="157"/>
      <c r="G505" s="156"/>
      <c r="H505" s="155"/>
      <c r="I505" s="156"/>
    </row>
    <row r="506" spans="2:9" s="109" customFormat="1">
      <c r="B506" s="133"/>
      <c r="D506" s="155"/>
      <c r="E506" s="156"/>
      <c r="F506" s="157"/>
      <c r="G506" s="156"/>
      <c r="H506" s="155"/>
      <c r="I506" s="156"/>
    </row>
    <row r="507" spans="2:9" s="109" customFormat="1">
      <c r="B507" s="133"/>
      <c r="D507" s="155"/>
      <c r="E507" s="156"/>
      <c r="F507" s="157"/>
      <c r="G507" s="156"/>
      <c r="H507" s="155"/>
      <c r="I507" s="156"/>
    </row>
    <row r="508" spans="2:9" s="109" customFormat="1">
      <c r="B508" s="133"/>
      <c r="D508" s="155"/>
      <c r="E508" s="156"/>
      <c r="F508" s="157"/>
      <c r="G508" s="156"/>
      <c r="H508" s="155"/>
      <c r="I508" s="156"/>
    </row>
    <row r="509" spans="2:9" s="109" customFormat="1">
      <c r="B509" s="133"/>
      <c r="D509" s="155"/>
      <c r="E509" s="156"/>
      <c r="F509" s="157"/>
      <c r="G509" s="156"/>
      <c r="H509" s="155"/>
      <c r="I509" s="156"/>
    </row>
    <row r="510" spans="2:9" s="109" customFormat="1">
      <c r="B510" s="133"/>
      <c r="D510" s="155"/>
      <c r="E510" s="156"/>
      <c r="F510" s="157"/>
      <c r="G510" s="156"/>
      <c r="H510" s="155"/>
      <c r="I510" s="156"/>
    </row>
    <row r="511" spans="2:9" s="109" customFormat="1">
      <c r="B511" s="133"/>
      <c r="D511" s="155"/>
      <c r="E511" s="156"/>
      <c r="F511" s="157"/>
      <c r="G511" s="156"/>
      <c r="H511" s="155"/>
      <c r="I511" s="156"/>
    </row>
    <row r="512" spans="2:9" s="109" customFormat="1">
      <c r="B512" s="133"/>
      <c r="D512" s="155"/>
      <c r="E512" s="156"/>
      <c r="F512" s="157"/>
      <c r="G512" s="156"/>
      <c r="H512" s="155"/>
      <c r="I512" s="156"/>
    </row>
    <row r="513" spans="2:9" s="109" customFormat="1">
      <c r="B513" s="133"/>
      <c r="D513" s="155"/>
      <c r="E513" s="156"/>
      <c r="F513" s="157"/>
      <c r="G513" s="156"/>
      <c r="H513" s="155"/>
      <c r="I513" s="156"/>
    </row>
    <row r="514" spans="2:9" s="109" customFormat="1">
      <c r="B514" s="133"/>
      <c r="D514" s="155"/>
      <c r="E514" s="156"/>
      <c r="F514" s="157"/>
      <c r="G514" s="156"/>
      <c r="H514" s="155"/>
      <c r="I514" s="156"/>
    </row>
    <row r="515" spans="2:9" s="109" customFormat="1">
      <c r="B515" s="133"/>
      <c r="D515" s="155"/>
      <c r="E515" s="156"/>
      <c r="F515" s="157"/>
      <c r="G515" s="156"/>
      <c r="H515" s="155"/>
      <c r="I515" s="156"/>
    </row>
    <row r="516" spans="2:9" s="109" customFormat="1">
      <c r="B516" s="133"/>
      <c r="D516" s="155"/>
      <c r="E516" s="156"/>
      <c r="F516" s="157"/>
      <c r="G516" s="156"/>
      <c r="H516" s="155"/>
      <c r="I516" s="156"/>
    </row>
    <row r="517" spans="2:9" s="109" customFormat="1">
      <c r="B517" s="133"/>
      <c r="D517" s="155"/>
      <c r="E517" s="156"/>
      <c r="F517" s="157"/>
      <c r="G517" s="156"/>
      <c r="H517" s="155"/>
      <c r="I517" s="156"/>
    </row>
    <row r="518" spans="2:9" s="109" customFormat="1">
      <c r="B518" s="133"/>
      <c r="D518" s="155"/>
      <c r="E518" s="156"/>
      <c r="F518" s="157"/>
      <c r="G518" s="156"/>
      <c r="H518" s="155"/>
      <c r="I518" s="156"/>
    </row>
    <row r="519" spans="2:9" s="109" customFormat="1">
      <c r="B519" s="133"/>
      <c r="D519" s="155"/>
      <c r="E519" s="156"/>
      <c r="F519" s="157"/>
      <c r="G519" s="156"/>
      <c r="H519" s="155"/>
      <c r="I519" s="156"/>
    </row>
    <row r="520" spans="2:9" s="109" customFormat="1">
      <c r="B520" s="133"/>
      <c r="D520" s="155"/>
      <c r="E520" s="156"/>
      <c r="F520" s="157"/>
      <c r="G520" s="156"/>
      <c r="H520" s="155"/>
      <c r="I520" s="156"/>
    </row>
    <row r="521" spans="2:9" s="109" customFormat="1">
      <c r="B521" s="133"/>
      <c r="D521" s="155"/>
      <c r="E521" s="156"/>
      <c r="F521" s="157"/>
      <c r="G521" s="156"/>
      <c r="H521" s="155"/>
      <c r="I521" s="156"/>
    </row>
    <row r="522" spans="2:9" s="109" customFormat="1">
      <c r="B522" s="133"/>
      <c r="D522" s="155"/>
      <c r="E522" s="156"/>
      <c r="F522" s="157"/>
      <c r="G522" s="156"/>
      <c r="H522" s="155"/>
      <c r="I522" s="156"/>
    </row>
    <row r="523" spans="2:9" s="109" customFormat="1">
      <c r="B523" s="133"/>
      <c r="D523" s="155"/>
      <c r="E523" s="156"/>
      <c r="F523" s="157"/>
      <c r="G523" s="156"/>
      <c r="H523" s="155"/>
      <c r="I523" s="156"/>
    </row>
    <row r="524" spans="2:9" s="109" customFormat="1">
      <c r="B524" s="133"/>
      <c r="D524" s="155"/>
      <c r="E524" s="156"/>
      <c r="F524" s="157"/>
      <c r="G524" s="156"/>
      <c r="H524" s="155"/>
      <c r="I524" s="156"/>
    </row>
    <row r="525" spans="2:9" s="109" customFormat="1">
      <c r="B525" s="133"/>
      <c r="D525" s="155"/>
      <c r="E525" s="156"/>
      <c r="F525" s="157"/>
      <c r="G525" s="156"/>
      <c r="H525" s="155"/>
      <c r="I525" s="156"/>
    </row>
    <row r="526" spans="2:9" s="109" customFormat="1">
      <c r="B526" s="133"/>
      <c r="D526" s="155"/>
      <c r="E526" s="156"/>
      <c r="F526" s="157"/>
      <c r="G526" s="156"/>
      <c r="H526" s="155"/>
      <c r="I526" s="156"/>
    </row>
    <row r="527" spans="2:9" s="109" customFormat="1">
      <c r="B527" s="133"/>
      <c r="D527" s="155"/>
      <c r="E527" s="156"/>
      <c r="F527" s="157"/>
      <c r="G527" s="156"/>
      <c r="H527" s="155"/>
      <c r="I527" s="156"/>
    </row>
    <row r="528" spans="2:9" s="109" customFormat="1">
      <c r="B528" s="133"/>
      <c r="D528" s="155"/>
      <c r="E528" s="156"/>
      <c r="F528" s="157"/>
      <c r="G528" s="156"/>
      <c r="H528" s="155"/>
      <c r="I528" s="156"/>
    </row>
    <row r="529" spans="2:9" s="109" customFormat="1">
      <c r="B529" s="133"/>
      <c r="D529" s="155"/>
      <c r="E529" s="156"/>
      <c r="F529" s="157"/>
      <c r="G529" s="156"/>
      <c r="H529" s="155"/>
      <c r="I529" s="156"/>
    </row>
    <row r="530" spans="2:9" s="109" customFormat="1">
      <c r="B530" s="133"/>
      <c r="D530" s="155"/>
      <c r="E530" s="156"/>
      <c r="F530" s="157"/>
      <c r="G530" s="156"/>
      <c r="H530" s="155"/>
      <c r="I530" s="156"/>
    </row>
    <row r="531" spans="2:9" s="109" customFormat="1">
      <c r="B531" s="133"/>
      <c r="D531" s="155"/>
      <c r="E531" s="156"/>
      <c r="F531" s="157"/>
      <c r="G531" s="156"/>
      <c r="H531" s="155"/>
      <c r="I531" s="156"/>
    </row>
    <row r="532" spans="2:9" s="109" customFormat="1">
      <c r="B532" s="133"/>
      <c r="D532" s="155"/>
      <c r="E532" s="156"/>
      <c r="F532" s="157"/>
      <c r="G532" s="156"/>
      <c r="H532" s="155"/>
      <c r="I532" s="156"/>
    </row>
    <row r="533" spans="2:9" s="109" customFormat="1">
      <c r="B533" s="133"/>
      <c r="D533" s="155"/>
      <c r="E533" s="156"/>
      <c r="F533" s="157"/>
      <c r="G533" s="156"/>
      <c r="H533" s="155"/>
      <c r="I533" s="156"/>
    </row>
    <row r="534" spans="2:9" s="109" customFormat="1">
      <c r="B534" s="133"/>
      <c r="D534" s="155"/>
      <c r="E534" s="156"/>
      <c r="F534" s="157"/>
      <c r="G534" s="156"/>
      <c r="H534" s="155"/>
      <c r="I534" s="156"/>
    </row>
    <row r="535" spans="2:9" s="109" customFormat="1">
      <c r="B535" s="133"/>
      <c r="D535" s="155"/>
      <c r="E535" s="156"/>
      <c r="F535" s="157"/>
      <c r="G535" s="156"/>
      <c r="H535" s="155"/>
      <c r="I535" s="156"/>
    </row>
    <row r="536" spans="2:9" s="109" customFormat="1">
      <c r="B536" s="133"/>
      <c r="D536" s="155"/>
      <c r="E536" s="156"/>
      <c r="F536" s="157"/>
      <c r="G536" s="156"/>
      <c r="H536" s="155"/>
      <c r="I536" s="156"/>
    </row>
    <row r="537" spans="2:9" s="109" customFormat="1">
      <c r="B537" s="133"/>
      <c r="D537" s="155"/>
      <c r="E537" s="156"/>
      <c r="F537" s="157"/>
      <c r="G537" s="156"/>
      <c r="H537" s="155"/>
      <c r="I537" s="156"/>
    </row>
    <row r="538" spans="2:9" s="109" customFormat="1">
      <c r="B538" s="133"/>
      <c r="D538" s="155"/>
      <c r="E538" s="156"/>
      <c r="F538" s="157"/>
      <c r="G538" s="156"/>
      <c r="H538" s="155"/>
      <c r="I538" s="156"/>
    </row>
    <row r="539" spans="2:9" s="109" customFormat="1">
      <c r="B539" s="133"/>
      <c r="D539" s="155"/>
      <c r="E539" s="156"/>
      <c r="F539" s="157"/>
      <c r="G539" s="156"/>
      <c r="H539" s="155"/>
      <c r="I539" s="156"/>
    </row>
    <row r="540" spans="2:9" s="109" customFormat="1">
      <c r="B540" s="133"/>
      <c r="D540" s="155"/>
      <c r="E540" s="156"/>
      <c r="F540" s="157"/>
      <c r="G540" s="156"/>
      <c r="H540" s="155"/>
      <c r="I540" s="156"/>
    </row>
    <row r="541" spans="2:9" s="109" customFormat="1">
      <c r="B541" s="133"/>
      <c r="D541" s="155"/>
      <c r="E541" s="156"/>
      <c r="F541" s="157"/>
      <c r="G541" s="156"/>
      <c r="H541" s="155"/>
      <c r="I541" s="156"/>
    </row>
    <row r="542" spans="2:9" s="109" customFormat="1">
      <c r="B542" s="133"/>
      <c r="D542" s="155"/>
      <c r="E542" s="156"/>
      <c r="F542" s="157"/>
      <c r="G542" s="156"/>
      <c r="H542" s="155"/>
      <c r="I542" s="156"/>
    </row>
    <row r="543" spans="2:9" s="109" customFormat="1">
      <c r="B543" s="133"/>
      <c r="D543" s="155"/>
      <c r="E543" s="156"/>
      <c r="F543" s="157"/>
      <c r="G543" s="156"/>
      <c r="H543" s="155"/>
      <c r="I543" s="156"/>
    </row>
    <row r="544" spans="2:9" s="109" customFormat="1">
      <c r="B544" s="133"/>
      <c r="D544" s="155"/>
      <c r="E544" s="156"/>
      <c r="F544" s="157"/>
      <c r="G544" s="156"/>
      <c r="H544" s="155"/>
      <c r="I544" s="156"/>
    </row>
    <row r="545" spans="2:9" s="109" customFormat="1">
      <c r="B545" s="133"/>
      <c r="D545" s="155"/>
      <c r="E545" s="156"/>
      <c r="F545" s="157"/>
      <c r="G545" s="156"/>
      <c r="H545" s="155"/>
      <c r="I545" s="156"/>
    </row>
    <row r="546" spans="2:9" s="109" customFormat="1">
      <c r="B546" s="133"/>
      <c r="D546" s="155"/>
      <c r="E546" s="156"/>
      <c r="F546" s="157"/>
      <c r="G546" s="156"/>
      <c r="H546" s="155"/>
      <c r="I546" s="156"/>
    </row>
    <row r="547" spans="2:9" s="109" customFormat="1">
      <c r="B547" s="133"/>
      <c r="D547" s="155"/>
      <c r="E547" s="156"/>
      <c r="F547" s="157"/>
      <c r="G547" s="156"/>
      <c r="H547" s="155"/>
      <c r="I547" s="156"/>
    </row>
    <row r="548" spans="2:9" s="109" customFormat="1">
      <c r="B548" s="133"/>
      <c r="D548" s="155"/>
      <c r="E548" s="156"/>
      <c r="F548" s="157"/>
      <c r="G548" s="156"/>
      <c r="H548" s="155"/>
      <c r="I548" s="156"/>
    </row>
    <row r="549" spans="2:9" s="109" customFormat="1">
      <c r="B549" s="133"/>
      <c r="D549" s="155"/>
      <c r="E549" s="156"/>
      <c r="F549" s="157"/>
      <c r="G549" s="156"/>
      <c r="H549" s="155"/>
      <c r="I549" s="156"/>
    </row>
    <row r="550" spans="2:9" s="109" customFormat="1">
      <c r="B550" s="133"/>
      <c r="D550" s="155"/>
      <c r="E550" s="156"/>
      <c r="F550" s="157"/>
      <c r="G550" s="156"/>
      <c r="H550" s="155"/>
      <c r="I550" s="156"/>
    </row>
    <row r="551" spans="2:9" s="109" customFormat="1">
      <c r="B551" s="133"/>
      <c r="D551" s="155"/>
      <c r="E551" s="156"/>
      <c r="F551" s="157"/>
      <c r="G551" s="156"/>
      <c r="H551" s="155"/>
      <c r="I551" s="156"/>
    </row>
    <row r="552" spans="2:9" s="109" customFormat="1">
      <c r="B552" s="133"/>
      <c r="D552" s="155"/>
      <c r="E552" s="156"/>
      <c r="F552" s="157"/>
      <c r="G552" s="156"/>
      <c r="H552" s="155"/>
      <c r="I552" s="156"/>
    </row>
    <row r="553" spans="2:9" s="109" customFormat="1">
      <c r="B553" s="133"/>
      <c r="D553" s="155"/>
      <c r="E553" s="156"/>
      <c r="F553" s="157"/>
      <c r="G553" s="156"/>
      <c r="H553" s="155"/>
      <c r="I553" s="156"/>
    </row>
    <row r="554" spans="2:9" s="109" customFormat="1">
      <c r="B554" s="133"/>
      <c r="D554" s="155"/>
      <c r="E554" s="156"/>
      <c r="F554" s="157"/>
      <c r="G554" s="156"/>
      <c r="H554" s="155"/>
      <c r="I554" s="156"/>
    </row>
    <row r="555" spans="2:9" s="109" customFormat="1">
      <c r="B555" s="133"/>
      <c r="D555" s="155"/>
      <c r="E555" s="156"/>
      <c r="F555" s="157"/>
      <c r="G555" s="156"/>
      <c r="H555" s="155"/>
      <c r="I555" s="156"/>
    </row>
    <row r="556" spans="2:9" s="109" customFormat="1">
      <c r="B556" s="133"/>
      <c r="D556" s="155"/>
      <c r="E556" s="156"/>
      <c r="F556" s="157"/>
      <c r="G556" s="156"/>
      <c r="H556" s="155"/>
      <c r="I556" s="156"/>
    </row>
    <row r="557" spans="2:9" s="109" customFormat="1">
      <c r="B557" s="133"/>
      <c r="D557" s="155"/>
      <c r="E557" s="156"/>
      <c r="F557" s="157"/>
      <c r="G557" s="156"/>
      <c r="H557" s="155"/>
      <c r="I557" s="156"/>
    </row>
    <row r="558" spans="2:9" s="109" customFormat="1">
      <c r="B558" s="133"/>
      <c r="D558" s="155"/>
      <c r="E558" s="156"/>
      <c r="F558" s="157"/>
      <c r="G558" s="156"/>
      <c r="H558" s="155"/>
      <c r="I558" s="156"/>
    </row>
    <row r="559" spans="2:9" s="109" customFormat="1">
      <c r="B559" s="133"/>
      <c r="D559" s="155"/>
      <c r="E559" s="156"/>
      <c r="F559" s="157"/>
      <c r="G559" s="156"/>
      <c r="H559" s="155"/>
      <c r="I559" s="156"/>
    </row>
    <row r="560" spans="2:9" s="109" customFormat="1">
      <c r="B560" s="133"/>
      <c r="D560" s="155"/>
      <c r="E560" s="156"/>
      <c r="F560" s="157"/>
      <c r="G560" s="156"/>
      <c r="H560" s="155"/>
      <c r="I560" s="156"/>
    </row>
    <row r="561" spans="2:9" s="109" customFormat="1">
      <c r="B561" s="133"/>
      <c r="D561" s="155"/>
      <c r="E561" s="156"/>
      <c r="F561" s="157"/>
      <c r="G561" s="156"/>
      <c r="H561" s="155"/>
      <c r="I561" s="156"/>
    </row>
    <row r="562" spans="2:9" s="109" customFormat="1">
      <c r="B562" s="133"/>
      <c r="D562" s="155"/>
      <c r="E562" s="156"/>
      <c r="F562" s="157"/>
      <c r="G562" s="156"/>
      <c r="H562" s="155"/>
      <c r="I562" s="156"/>
    </row>
    <row r="563" spans="2:9" s="109" customFormat="1">
      <c r="B563" s="133"/>
      <c r="D563" s="155"/>
      <c r="E563" s="156"/>
      <c r="F563" s="157"/>
      <c r="G563" s="156"/>
      <c r="H563" s="155"/>
      <c r="I563" s="156"/>
    </row>
    <row r="564" spans="2:9" s="109" customFormat="1">
      <c r="B564" s="133"/>
      <c r="D564" s="155"/>
      <c r="E564" s="156"/>
      <c r="F564" s="157"/>
      <c r="G564" s="156"/>
      <c r="H564" s="155"/>
      <c r="I564" s="156"/>
    </row>
    <row r="565" spans="2:9" s="109" customFormat="1">
      <c r="B565" s="133"/>
      <c r="D565" s="155"/>
      <c r="E565" s="156"/>
      <c r="F565" s="157"/>
      <c r="G565" s="156"/>
      <c r="H565" s="155"/>
      <c r="I565" s="156"/>
    </row>
    <row r="566" spans="2:9" s="109" customFormat="1">
      <c r="B566" s="133"/>
      <c r="D566" s="155"/>
      <c r="E566" s="156"/>
      <c r="F566" s="157"/>
      <c r="G566" s="156"/>
      <c r="H566" s="155"/>
      <c r="I566" s="156"/>
    </row>
    <row r="567" spans="2:9" s="109" customFormat="1">
      <c r="B567" s="133"/>
      <c r="D567" s="155"/>
      <c r="E567" s="156"/>
      <c r="F567" s="157"/>
      <c r="G567" s="156"/>
      <c r="H567" s="155"/>
      <c r="I567" s="156"/>
    </row>
    <row r="568" spans="2:9" s="109" customFormat="1">
      <c r="B568" s="133"/>
      <c r="D568" s="155"/>
      <c r="E568" s="156"/>
      <c r="F568" s="157"/>
      <c r="G568" s="156"/>
      <c r="H568" s="155"/>
      <c r="I568" s="156"/>
    </row>
    <row r="569" spans="2:9" s="109" customFormat="1">
      <c r="B569" s="133"/>
      <c r="D569" s="155"/>
      <c r="E569" s="156"/>
      <c r="F569" s="157"/>
      <c r="G569" s="156"/>
      <c r="H569" s="155"/>
      <c r="I569" s="156"/>
    </row>
    <row r="570" spans="2:9" s="109" customFormat="1">
      <c r="B570" s="133"/>
      <c r="D570" s="155"/>
      <c r="E570" s="156"/>
      <c r="F570" s="157"/>
      <c r="G570" s="156"/>
      <c r="H570" s="155"/>
      <c r="I570" s="156"/>
    </row>
    <row r="571" spans="2:9" s="109" customFormat="1">
      <c r="B571" s="133"/>
      <c r="D571" s="155"/>
      <c r="E571" s="156"/>
      <c r="F571" s="157"/>
      <c r="G571" s="156"/>
      <c r="H571" s="155"/>
      <c r="I571" s="156"/>
    </row>
    <row r="572" spans="2:9" s="109" customFormat="1">
      <c r="B572" s="133"/>
      <c r="D572" s="155"/>
      <c r="E572" s="156"/>
      <c r="F572" s="157"/>
      <c r="G572" s="156"/>
      <c r="H572" s="155"/>
      <c r="I572" s="156"/>
    </row>
    <row r="573" spans="2:9" s="109" customFormat="1">
      <c r="B573" s="133"/>
      <c r="D573" s="155"/>
      <c r="E573" s="156"/>
      <c r="F573" s="157"/>
      <c r="G573" s="156"/>
      <c r="H573" s="155"/>
      <c r="I573" s="156"/>
    </row>
    <row r="574" spans="2:9" s="109" customFormat="1">
      <c r="B574" s="133"/>
      <c r="D574" s="155"/>
      <c r="E574" s="156"/>
      <c r="F574" s="157"/>
      <c r="G574" s="156"/>
      <c r="H574" s="155"/>
      <c r="I574" s="156"/>
    </row>
    <row r="575" spans="2:9" s="109" customFormat="1">
      <c r="B575" s="133"/>
      <c r="D575" s="155"/>
      <c r="E575" s="156"/>
      <c r="F575" s="157"/>
      <c r="G575" s="156"/>
      <c r="H575" s="155"/>
      <c r="I575" s="156"/>
    </row>
    <row r="576" spans="2:9" s="109" customFormat="1">
      <c r="B576" s="133"/>
      <c r="D576" s="155"/>
      <c r="E576" s="156"/>
      <c r="F576" s="157"/>
      <c r="G576" s="156"/>
      <c r="H576" s="155"/>
      <c r="I576" s="156"/>
    </row>
    <row r="577" spans="2:9" s="109" customFormat="1">
      <c r="B577" s="133"/>
      <c r="D577" s="155"/>
      <c r="E577" s="156"/>
      <c r="F577" s="157"/>
      <c r="G577" s="156"/>
      <c r="H577" s="155"/>
      <c r="I577" s="156"/>
    </row>
    <row r="578" spans="2:9" s="109" customFormat="1">
      <c r="B578" s="133"/>
      <c r="D578" s="155"/>
      <c r="E578" s="156"/>
      <c r="F578" s="157"/>
      <c r="G578" s="156"/>
      <c r="H578" s="155"/>
      <c r="I578" s="156"/>
    </row>
    <row r="579" spans="2:9" s="109" customFormat="1">
      <c r="B579" s="133"/>
      <c r="D579" s="155"/>
      <c r="E579" s="156"/>
      <c r="F579" s="157"/>
      <c r="G579" s="156"/>
      <c r="H579" s="155"/>
      <c r="I579" s="156"/>
    </row>
    <row r="580" spans="2:9" s="109" customFormat="1">
      <c r="B580" s="133"/>
      <c r="D580" s="155"/>
      <c r="E580" s="156"/>
      <c r="F580" s="157"/>
      <c r="G580" s="156"/>
      <c r="H580" s="155"/>
      <c r="I580" s="156"/>
    </row>
    <row r="581" spans="2:9" s="109" customFormat="1">
      <c r="B581" s="133"/>
      <c r="D581" s="155"/>
      <c r="E581" s="156"/>
      <c r="F581" s="157"/>
      <c r="G581" s="156"/>
      <c r="H581" s="155"/>
      <c r="I581" s="156"/>
    </row>
    <row r="582" spans="2:9" s="109" customFormat="1">
      <c r="B582" s="133"/>
      <c r="D582" s="155"/>
      <c r="E582" s="156"/>
      <c r="F582" s="157"/>
      <c r="G582" s="156"/>
      <c r="H582" s="155"/>
      <c r="I582" s="156"/>
    </row>
    <row r="583" spans="2:9" s="109" customFormat="1">
      <c r="B583" s="133"/>
      <c r="D583" s="155"/>
      <c r="E583" s="156"/>
      <c r="F583" s="157"/>
      <c r="G583" s="156"/>
      <c r="H583" s="155"/>
      <c r="I583" s="156"/>
    </row>
    <row r="584" spans="2:9" s="109" customFormat="1">
      <c r="B584" s="133"/>
      <c r="D584" s="155"/>
      <c r="E584" s="156"/>
      <c r="F584" s="157"/>
      <c r="G584" s="156"/>
      <c r="H584" s="155"/>
      <c r="I584" s="156"/>
    </row>
    <row r="585" spans="2:9" s="109" customFormat="1">
      <c r="B585" s="133"/>
      <c r="D585" s="155"/>
      <c r="E585" s="156"/>
      <c r="F585" s="157"/>
      <c r="G585" s="156"/>
      <c r="H585" s="155"/>
      <c r="I585" s="156"/>
    </row>
    <row r="586" spans="2:9" s="109" customFormat="1">
      <c r="B586" s="133"/>
      <c r="D586" s="155"/>
      <c r="E586" s="156"/>
      <c r="F586" s="157"/>
      <c r="G586" s="156"/>
      <c r="H586" s="155"/>
      <c r="I586" s="156"/>
    </row>
    <row r="587" spans="2:9" s="109" customFormat="1">
      <c r="B587" s="133"/>
      <c r="D587" s="155"/>
      <c r="E587" s="156"/>
      <c r="F587" s="157"/>
      <c r="G587" s="156"/>
      <c r="H587" s="155"/>
      <c r="I587" s="156"/>
    </row>
    <row r="588" spans="2:9" s="109" customFormat="1">
      <c r="B588" s="133"/>
      <c r="D588" s="155"/>
      <c r="E588" s="156"/>
      <c r="F588" s="157"/>
      <c r="G588" s="156"/>
      <c r="H588" s="155"/>
      <c r="I588" s="156"/>
    </row>
    <row r="589" spans="2:9" s="109" customFormat="1">
      <c r="B589" s="133"/>
      <c r="D589" s="155"/>
      <c r="E589" s="156"/>
      <c r="F589" s="157"/>
      <c r="G589" s="156"/>
      <c r="H589" s="155"/>
      <c r="I589" s="156"/>
    </row>
    <row r="590" spans="2:9" s="109" customFormat="1">
      <c r="B590" s="133"/>
      <c r="D590" s="155"/>
      <c r="E590" s="156"/>
      <c r="F590" s="157"/>
      <c r="G590" s="156"/>
      <c r="H590" s="155"/>
      <c r="I590" s="156"/>
    </row>
    <row r="591" spans="2:9" s="109" customFormat="1">
      <c r="B591" s="133"/>
      <c r="D591" s="155"/>
      <c r="E591" s="156"/>
      <c r="F591" s="157"/>
      <c r="G591" s="156"/>
      <c r="H591" s="155"/>
      <c r="I591" s="156"/>
    </row>
    <row r="592" spans="2:9" s="109" customFormat="1">
      <c r="B592" s="133"/>
      <c r="D592" s="155"/>
      <c r="E592" s="156"/>
      <c r="F592" s="157"/>
      <c r="G592" s="156"/>
      <c r="H592" s="155"/>
      <c r="I592" s="156"/>
    </row>
    <row r="593" spans="2:9" s="109" customFormat="1">
      <c r="B593" s="133"/>
      <c r="D593" s="155"/>
      <c r="E593" s="156"/>
      <c r="F593" s="157"/>
      <c r="G593" s="156"/>
      <c r="H593" s="155"/>
      <c r="I593" s="156"/>
    </row>
    <row r="594" spans="2:9" s="109" customFormat="1">
      <c r="B594" s="133"/>
      <c r="D594" s="155"/>
      <c r="E594" s="156"/>
      <c r="F594" s="157"/>
      <c r="G594" s="156"/>
      <c r="H594" s="155"/>
      <c r="I594" s="156"/>
    </row>
    <row r="595" spans="2:9" s="109" customFormat="1">
      <c r="B595" s="133"/>
      <c r="D595" s="155"/>
      <c r="E595" s="156"/>
      <c r="F595" s="157"/>
      <c r="G595" s="156"/>
      <c r="H595" s="155"/>
      <c r="I595" s="156"/>
    </row>
    <row r="596" spans="2:9" s="109" customFormat="1">
      <c r="B596" s="133"/>
      <c r="D596" s="155"/>
      <c r="E596" s="156"/>
      <c r="F596" s="157"/>
      <c r="G596" s="156"/>
      <c r="H596" s="155"/>
      <c r="I596" s="156"/>
    </row>
    <row r="597" spans="2:9" s="109" customFormat="1">
      <c r="B597" s="133"/>
      <c r="D597" s="155"/>
      <c r="E597" s="156"/>
      <c r="F597" s="157"/>
      <c r="G597" s="156"/>
      <c r="H597" s="155"/>
      <c r="I597" s="156"/>
    </row>
    <row r="598" spans="2:9" s="109" customFormat="1">
      <c r="B598" s="133"/>
      <c r="D598" s="155"/>
      <c r="E598" s="156"/>
      <c r="F598" s="157"/>
      <c r="G598" s="156"/>
      <c r="H598" s="155"/>
      <c r="I598" s="156"/>
    </row>
    <row r="599" spans="2:9" s="109" customFormat="1">
      <c r="B599" s="133"/>
      <c r="D599" s="155"/>
      <c r="E599" s="156"/>
      <c r="F599" s="157"/>
      <c r="G599" s="156"/>
      <c r="H599" s="155"/>
      <c r="I599" s="156"/>
    </row>
    <row r="600" spans="2:9" s="109" customFormat="1">
      <c r="B600" s="133"/>
      <c r="D600" s="155"/>
      <c r="E600" s="156"/>
      <c r="F600" s="157"/>
      <c r="G600" s="156"/>
      <c r="H600" s="155"/>
      <c r="I600" s="156"/>
    </row>
    <row r="601" spans="2:9" s="109" customFormat="1">
      <c r="B601" s="133"/>
      <c r="D601" s="155"/>
      <c r="E601" s="156"/>
      <c r="F601" s="157"/>
      <c r="G601" s="156"/>
      <c r="H601" s="155"/>
      <c r="I601" s="156"/>
    </row>
    <row r="602" spans="2:9" s="109" customFormat="1">
      <c r="B602" s="133"/>
      <c r="D602" s="155"/>
      <c r="E602" s="156"/>
      <c r="F602" s="157"/>
      <c r="G602" s="156"/>
      <c r="H602" s="155"/>
      <c r="I602" s="156"/>
    </row>
    <row r="603" spans="2:9" s="109" customFormat="1">
      <c r="B603" s="133"/>
      <c r="D603" s="155"/>
      <c r="E603" s="156"/>
      <c r="F603" s="157"/>
      <c r="G603" s="156"/>
      <c r="H603" s="155"/>
      <c r="I603" s="156"/>
    </row>
    <row r="604" spans="2:9" s="109" customFormat="1">
      <c r="B604" s="133"/>
      <c r="D604" s="155"/>
      <c r="E604" s="156"/>
      <c r="F604" s="157"/>
      <c r="G604" s="156"/>
      <c r="H604" s="155"/>
      <c r="I604" s="156"/>
    </row>
    <row r="605" spans="2:9" s="109" customFormat="1">
      <c r="B605" s="133"/>
      <c r="D605" s="155"/>
      <c r="E605" s="156"/>
      <c r="F605" s="157"/>
      <c r="G605" s="156"/>
      <c r="H605" s="155"/>
      <c r="I605" s="156"/>
    </row>
    <row r="606" spans="2:9" s="109" customFormat="1">
      <c r="B606" s="133"/>
      <c r="D606" s="155"/>
      <c r="E606" s="156"/>
      <c r="F606" s="157"/>
      <c r="G606" s="156"/>
      <c r="H606" s="155"/>
      <c r="I606" s="156"/>
    </row>
    <row r="607" spans="2:9" s="109" customFormat="1">
      <c r="B607" s="133"/>
      <c r="D607" s="155"/>
      <c r="E607" s="156"/>
      <c r="F607" s="157"/>
      <c r="G607" s="156"/>
      <c r="H607" s="155"/>
      <c r="I607" s="156"/>
    </row>
    <row r="608" spans="2:9" s="109" customFormat="1">
      <c r="B608" s="133"/>
      <c r="D608" s="155"/>
      <c r="E608" s="156"/>
      <c r="F608" s="157"/>
      <c r="G608" s="156"/>
      <c r="H608" s="155"/>
      <c r="I608" s="156"/>
    </row>
    <row r="609" spans="2:9" s="109" customFormat="1">
      <c r="B609" s="133"/>
      <c r="D609" s="155"/>
      <c r="E609" s="156"/>
      <c r="F609" s="157"/>
      <c r="G609" s="156"/>
      <c r="H609" s="155"/>
      <c r="I609" s="156"/>
    </row>
    <row r="610" spans="2:9" s="109" customFormat="1">
      <c r="B610" s="133"/>
      <c r="D610" s="155"/>
      <c r="E610" s="156"/>
      <c r="F610" s="157"/>
      <c r="G610" s="156"/>
      <c r="H610" s="155"/>
      <c r="I610" s="156"/>
    </row>
    <row r="611" spans="2:9" s="109" customFormat="1">
      <c r="B611" s="133"/>
      <c r="D611" s="155"/>
      <c r="E611" s="156"/>
      <c r="F611" s="157"/>
      <c r="G611" s="156"/>
      <c r="H611" s="155"/>
      <c r="I611" s="156"/>
    </row>
    <row r="612" spans="2:9" s="109" customFormat="1">
      <c r="B612" s="133"/>
      <c r="D612" s="155"/>
      <c r="E612" s="156"/>
      <c r="F612" s="157"/>
      <c r="G612" s="156"/>
      <c r="H612" s="155"/>
      <c r="I612" s="156"/>
    </row>
    <row r="613" spans="2:9" s="109" customFormat="1">
      <c r="B613" s="133"/>
      <c r="D613" s="155"/>
      <c r="E613" s="156"/>
      <c r="F613" s="157"/>
      <c r="G613" s="156"/>
      <c r="H613" s="155"/>
      <c r="I613" s="156"/>
    </row>
    <row r="614" spans="2:9" s="109" customFormat="1">
      <c r="B614" s="133"/>
      <c r="D614" s="155"/>
      <c r="E614" s="156"/>
      <c r="F614" s="157"/>
      <c r="G614" s="156"/>
      <c r="H614" s="155"/>
      <c r="I614" s="156"/>
    </row>
    <row r="615" spans="2:9" s="109" customFormat="1">
      <c r="B615" s="133"/>
      <c r="D615" s="155"/>
      <c r="E615" s="156"/>
      <c r="F615" s="157"/>
      <c r="G615" s="156"/>
      <c r="H615" s="155"/>
      <c r="I615" s="156"/>
    </row>
    <row r="616" spans="2:9" s="109" customFormat="1">
      <c r="B616" s="133"/>
      <c r="D616" s="155"/>
      <c r="E616" s="156"/>
      <c r="F616" s="157"/>
      <c r="G616" s="156"/>
      <c r="H616" s="155"/>
      <c r="I616" s="156"/>
    </row>
    <row r="617" spans="2:9" s="109" customFormat="1">
      <c r="B617" s="133"/>
      <c r="D617" s="155"/>
      <c r="E617" s="156"/>
      <c r="F617" s="157"/>
      <c r="G617" s="156"/>
      <c r="H617" s="155"/>
      <c r="I617" s="156"/>
    </row>
    <row r="618" spans="2:9" s="109" customFormat="1">
      <c r="B618" s="133"/>
      <c r="D618" s="155"/>
      <c r="E618" s="156"/>
      <c r="F618" s="157"/>
      <c r="G618" s="156"/>
      <c r="H618" s="155"/>
      <c r="I618" s="156"/>
    </row>
    <row r="619" spans="2:9" s="109" customFormat="1">
      <c r="B619" s="133"/>
      <c r="D619" s="155"/>
      <c r="E619" s="156"/>
      <c r="F619" s="157"/>
      <c r="G619" s="156"/>
      <c r="H619" s="155"/>
      <c r="I619" s="156"/>
    </row>
    <row r="620" spans="2:9" s="109" customFormat="1">
      <c r="B620" s="133"/>
      <c r="D620" s="155"/>
      <c r="E620" s="156"/>
      <c r="F620" s="157"/>
      <c r="G620" s="156"/>
      <c r="H620" s="155"/>
      <c r="I620" s="156"/>
    </row>
    <row r="621" spans="2:9" s="109" customFormat="1">
      <c r="B621" s="133"/>
      <c r="D621" s="155"/>
      <c r="E621" s="156"/>
      <c r="F621" s="157"/>
      <c r="G621" s="156"/>
      <c r="H621" s="155"/>
      <c r="I621" s="156"/>
    </row>
    <row r="622" spans="2:9" s="109" customFormat="1">
      <c r="B622" s="133"/>
      <c r="D622" s="155"/>
      <c r="E622" s="156"/>
      <c r="F622" s="157"/>
      <c r="G622" s="156"/>
      <c r="H622" s="155"/>
      <c r="I622" s="156"/>
    </row>
    <row r="623" spans="2:9" s="109" customFormat="1">
      <c r="B623" s="133"/>
      <c r="D623" s="155"/>
      <c r="E623" s="156"/>
      <c r="F623" s="157"/>
      <c r="G623" s="156"/>
      <c r="H623" s="155"/>
      <c r="I623" s="156"/>
    </row>
    <row r="624" spans="2:9" s="109" customFormat="1">
      <c r="B624" s="133"/>
      <c r="D624" s="155"/>
      <c r="E624" s="156"/>
      <c r="F624" s="157"/>
      <c r="G624" s="156"/>
      <c r="H624" s="155"/>
      <c r="I624" s="156"/>
    </row>
    <row r="625" spans="2:9" s="109" customFormat="1">
      <c r="B625" s="133"/>
      <c r="D625" s="155"/>
      <c r="E625" s="156"/>
      <c r="F625" s="157"/>
      <c r="G625" s="156"/>
      <c r="H625" s="155"/>
      <c r="I625" s="156"/>
    </row>
    <row r="626" spans="2:9" s="109" customFormat="1">
      <c r="B626" s="133"/>
      <c r="D626" s="155"/>
      <c r="E626" s="156"/>
      <c r="F626" s="157"/>
      <c r="G626" s="156"/>
      <c r="H626" s="155"/>
      <c r="I626" s="156"/>
    </row>
    <row r="627" spans="2:9" s="109" customFormat="1">
      <c r="B627" s="133"/>
      <c r="D627" s="155"/>
      <c r="E627" s="156"/>
      <c r="F627" s="157"/>
      <c r="G627" s="156"/>
      <c r="H627" s="155"/>
      <c r="I627" s="156"/>
    </row>
    <row r="628" spans="2:9" s="109" customFormat="1">
      <c r="B628" s="133"/>
      <c r="D628" s="155"/>
      <c r="E628" s="156"/>
      <c r="F628" s="157"/>
      <c r="G628" s="156"/>
      <c r="H628" s="155"/>
      <c r="I628" s="156"/>
    </row>
    <row r="629" spans="2:9" s="109" customFormat="1">
      <c r="B629" s="133"/>
      <c r="D629" s="155"/>
      <c r="E629" s="156"/>
      <c r="F629" s="157"/>
      <c r="G629" s="156"/>
      <c r="H629" s="155"/>
      <c r="I629" s="156"/>
    </row>
    <row r="630" spans="2:9" s="109" customFormat="1">
      <c r="B630" s="133"/>
      <c r="D630" s="155"/>
      <c r="E630" s="156"/>
      <c r="F630" s="157"/>
      <c r="G630" s="156"/>
      <c r="H630" s="155"/>
      <c r="I630" s="156"/>
    </row>
    <row r="631" spans="2:9" s="109" customFormat="1">
      <c r="B631" s="133"/>
      <c r="D631" s="155"/>
      <c r="E631" s="156"/>
      <c r="F631" s="157"/>
      <c r="G631" s="156"/>
      <c r="H631" s="155"/>
      <c r="I631" s="156"/>
    </row>
    <row r="632" spans="2:9" s="109" customFormat="1">
      <c r="B632" s="133"/>
      <c r="D632" s="155"/>
      <c r="E632" s="156"/>
      <c r="F632" s="157"/>
      <c r="G632" s="156"/>
      <c r="H632" s="155"/>
      <c r="I632" s="156"/>
    </row>
    <row r="633" spans="2:9" s="109" customFormat="1">
      <c r="B633" s="133"/>
      <c r="D633" s="155"/>
      <c r="E633" s="156"/>
      <c r="F633" s="157"/>
      <c r="G633" s="156"/>
      <c r="H633" s="155"/>
      <c r="I633" s="156"/>
    </row>
    <row r="634" spans="2:9" s="109" customFormat="1">
      <c r="B634" s="133"/>
      <c r="D634" s="155"/>
      <c r="E634" s="156"/>
      <c r="F634" s="157"/>
      <c r="G634" s="156"/>
      <c r="H634" s="155"/>
      <c r="I634" s="156"/>
    </row>
    <row r="635" spans="2:9" s="109" customFormat="1">
      <c r="B635" s="133"/>
      <c r="D635" s="155"/>
      <c r="E635" s="156"/>
      <c r="F635" s="157"/>
      <c r="G635" s="156"/>
      <c r="H635" s="155"/>
      <c r="I635" s="156"/>
    </row>
    <row r="636" spans="2:9" s="109" customFormat="1">
      <c r="B636" s="133"/>
      <c r="D636" s="155"/>
      <c r="E636" s="156"/>
      <c r="F636" s="157"/>
      <c r="G636" s="156"/>
      <c r="H636" s="155"/>
      <c r="I636" s="156"/>
    </row>
    <row r="637" spans="2:9" s="109" customFormat="1">
      <c r="B637" s="133"/>
      <c r="D637" s="155"/>
      <c r="E637" s="156"/>
      <c r="F637" s="157"/>
      <c r="G637" s="156"/>
      <c r="H637" s="155"/>
      <c r="I637" s="156"/>
    </row>
    <row r="638" spans="2:9" s="109" customFormat="1">
      <c r="B638" s="133"/>
      <c r="D638" s="155"/>
      <c r="E638" s="156"/>
      <c r="F638" s="157"/>
      <c r="G638" s="156"/>
      <c r="H638" s="155"/>
      <c r="I638" s="156"/>
    </row>
    <row r="639" spans="2:9" s="109" customFormat="1">
      <c r="B639" s="133"/>
      <c r="D639" s="155"/>
      <c r="E639" s="156"/>
      <c r="F639" s="157"/>
      <c r="G639" s="156"/>
      <c r="H639" s="155"/>
      <c r="I639" s="156"/>
    </row>
    <row r="640" spans="2:9" s="109" customFormat="1">
      <c r="B640" s="133"/>
      <c r="D640" s="155"/>
      <c r="E640" s="156"/>
      <c r="F640" s="157"/>
      <c r="G640" s="156"/>
      <c r="H640" s="155"/>
      <c r="I640" s="156"/>
    </row>
    <row r="641" spans="2:9" s="109" customFormat="1">
      <c r="B641" s="133"/>
      <c r="D641" s="155"/>
      <c r="E641" s="156"/>
      <c r="F641" s="157"/>
      <c r="G641" s="156"/>
      <c r="H641" s="155"/>
      <c r="I641" s="156"/>
    </row>
    <row r="642" spans="2:9" s="109" customFormat="1">
      <c r="B642" s="133"/>
      <c r="D642" s="155"/>
      <c r="E642" s="156"/>
      <c r="F642" s="157"/>
      <c r="G642" s="156"/>
      <c r="H642" s="155"/>
      <c r="I642" s="156"/>
    </row>
    <row r="643" spans="2:9" s="109" customFormat="1">
      <c r="B643" s="133"/>
      <c r="D643" s="155"/>
      <c r="E643" s="156"/>
      <c r="F643" s="157"/>
      <c r="G643" s="156"/>
      <c r="H643" s="155"/>
      <c r="I643" s="156"/>
    </row>
    <row r="644" spans="2:9" s="109" customFormat="1">
      <c r="B644" s="133"/>
      <c r="D644" s="155"/>
      <c r="E644" s="156"/>
      <c r="F644" s="157"/>
      <c r="G644" s="156"/>
      <c r="H644" s="155"/>
      <c r="I644" s="156"/>
    </row>
    <row r="645" spans="2:9" s="109" customFormat="1">
      <c r="B645" s="133"/>
      <c r="D645" s="155"/>
      <c r="E645" s="156"/>
      <c r="F645" s="157"/>
      <c r="G645" s="156"/>
      <c r="H645" s="155"/>
      <c r="I645" s="156"/>
    </row>
    <row r="646" spans="2:9" s="109" customFormat="1">
      <c r="B646" s="133"/>
      <c r="D646" s="155"/>
      <c r="E646" s="156"/>
      <c r="F646" s="157"/>
      <c r="G646" s="156"/>
      <c r="H646" s="155"/>
      <c r="I646" s="156"/>
    </row>
    <row r="647" spans="2:9" s="109" customFormat="1">
      <c r="B647" s="133"/>
      <c r="D647" s="155"/>
      <c r="E647" s="156"/>
      <c r="F647" s="157"/>
      <c r="G647" s="156"/>
      <c r="H647" s="155"/>
      <c r="I647" s="156"/>
    </row>
    <row r="648" spans="2:9" s="109" customFormat="1">
      <c r="B648" s="133"/>
      <c r="D648" s="155"/>
      <c r="E648" s="156"/>
      <c r="F648" s="157"/>
      <c r="G648" s="156"/>
      <c r="H648" s="155"/>
      <c r="I648" s="156"/>
    </row>
    <row r="649" spans="2:9" s="109" customFormat="1">
      <c r="B649" s="133"/>
      <c r="D649" s="155"/>
      <c r="E649" s="156"/>
      <c r="F649" s="157"/>
      <c r="G649" s="156"/>
      <c r="H649" s="155"/>
      <c r="I649" s="156"/>
    </row>
    <row r="650" spans="2:9" s="109" customFormat="1">
      <c r="B650" s="133"/>
      <c r="D650" s="155"/>
      <c r="E650" s="156"/>
      <c r="F650" s="157"/>
      <c r="G650" s="156"/>
      <c r="H650" s="155"/>
      <c r="I650" s="156"/>
    </row>
    <row r="651" spans="2:9" s="109" customFormat="1">
      <c r="B651" s="133"/>
      <c r="D651" s="155"/>
      <c r="E651" s="156"/>
      <c r="F651" s="157"/>
      <c r="G651" s="156"/>
      <c r="H651" s="155"/>
      <c r="I651" s="156"/>
    </row>
    <row r="652" spans="2:9" s="109" customFormat="1">
      <c r="B652" s="133"/>
      <c r="D652" s="155"/>
      <c r="E652" s="156"/>
      <c r="F652" s="157"/>
      <c r="G652" s="156"/>
      <c r="H652" s="155"/>
      <c r="I652" s="156"/>
    </row>
    <row r="653" spans="2:9" s="109" customFormat="1">
      <c r="B653" s="133"/>
      <c r="D653" s="155"/>
      <c r="E653" s="156"/>
      <c r="F653" s="157"/>
      <c r="G653" s="156"/>
      <c r="H653" s="155"/>
      <c r="I653" s="156"/>
    </row>
    <row r="654" spans="2:9" s="109" customFormat="1">
      <c r="B654" s="133"/>
      <c r="D654" s="155"/>
      <c r="E654" s="156"/>
      <c r="F654" s="157"/>
      <c r="G654" s="156"/>
      <c r="H654" s="155"/>
      <c r="I654" s="156"/>
    </row>
    <row r="655" spans="2:9" s="109" customFormat="1">
      <c r="B655" s="133"/>
      <c r="D655" s="155"/>
      <c r="E655" s="156"/>
      <c r="F655" s="157"/>
      <c r="G655" s="156"/>
      <c r="H655" s="155"/>
      <c r="I655" s="156"/>
    </row>
    <row r="656" spans="2:9" s="109" customFormat="1">
      <c r="B656" s="133"/>
      <c r="D656" s="155"/>
      <c r="E656" s="156"/>
      <c r="F656" s="157"/>
      <c r="G656" s="156"/>
      <c r="H656" s="155"/>
      <c r="I656" s="156"/>
    </row>
    <row r="657" spans="2:9" s="109" customFormat="1">
      <c r="B657" s="133"/>
      <c r="D657" s="155"/>
      <c r="E657" s="156"/>
      <c r="F657" s="157"/>
      <c r="G657" s="156"/>
      <c r="H657" s="155"/>
      <c r="I657" s="156"/>
    </row>
    <row r="658" spans="2:9" s="109" customFormat="1">
      <c r="B658" s="133"/>
      <c r="D658" s="155"/>
      <c r="E658" s="156"/>
      <c r="F658" s="157"/>
      <c r="G658" s="156"/>
      <c r="H658" s="155"/>
      <c r="I658" s="156"/>
    </row>
    <row r="659" spans="2:9" s="109" customFormat="1">
      <c r="B659" s="133"/>
      <c r="D659" s="155"/>
      <c r="E659" s="156"/>
      <c r="F659" s="157"/>
      <c r="G659" s="156"/>
      <c r="H659" s="155"/>
      <c r="I659" s="156"/>
    </row>
    <row r="660" spans="2:9" s="109" customFormat="1">
      <c r="B660" s="133"/>
      <c r="D660" s="155"/>
      <c r="E660" s="156"/>
      <c r="F660" s="157"/>
      <c r="G660" s="156"/>
      <c r="H660" s="155"/>
      <c r="I660" s="156"/>
    </row>
    <row r="661" spans="2:9" s="109" customFormat="1">
      <c r="B661" s="133"/>
      <c r="D661" s="155"/>
      <c r="E661" s="156"/>
      <c r="F661" s="157"/>
      <c r="G661" s="156"/>
      <c r="H661" s="155"/>
      <c r="I661" s="156"/>
    </row>
    <row r="662" spans="2:9" s="109" customFormat="1">
      <c r="B662" s="133"/>
      <c r="D662" s="155"/>
      <c r="E662" s="156"/>
      <c r="F662" s="157"/>
      <c r="G662" s="156"/>
      <c r="H662" s="155"/>
      <c r="I662" s="156"/>
    </row>
    <row r="663" spans="2:9" s="109" customFormat="1">
      <c r="B663" s="133"/>
      <c r="D663" s="155"/>
      <c r="E663" s="156"/>
      <c r="F663" s="157"/>
      <c r="G663" s="156"/>
      <c r="H663" s="155"/>
      <c r="I663" s="156"/>
    </row>
    <row r="664" spans="2:9" s="109" customFormat="1">
      <c r="B664" s="133"/>
      <c r="D664" s="155"/>
      <c r="E664" s="156"/>
      <c r="F664" s="157"/>
      <c r="G664" s="156"/>
      <c r="H664" s="155"/>
      <c r="I664" s="156"/>
    </row>
    <row r="665" spans="2:9" s="109" customFormat="1">
      <c r="B665" s="133"/>
      <c r="D665" s="155"/>
      <c r="E665" s="156"/>
      <c r="F665" s="157"/>
      <c r="G665" s="156"/>
      <c r="H665" s="155"/>
      <c r="I665" s="156"/>
    </row>
    <row r="666" spans="2:9" s="109" customFormat="1">
      <c r="B666" s="133"/>
      <c r="D666" s="155"/>
      <c r="E666" s="156"/>
      <c r="F666" s="157"/>
      <c r="G666" s="156"/>
      <c r="H666" s="155"/>
      <c r="I666" s="156"/>
    </row>
    <row r="667" spans="2:9" s="109" customFormat="1">
      <c r="B667" s="133"/>
      <c r="D667" s="155"/>
      <c r="E667" s="156"/>
      <c r="F667" s="157"/>
      <c r="G667" s="156"/>
      <c r="H667" s="155"/>
      <c r="I667" s="156"/>
    </row>
    <row r="668" spans="2:9" s="109" customFormat="1">
      <c r="B668" s="133"/>
      <c r="D668" s="155"/>
      <c r="E668" s="156"/>
      <c r="F668" s="157"/>
      <c r="G668" s="156"/>
      <c r="H668" s="155"/>
      <c r="I668" s="156"/>
    </row>
    <row r="669" spans="2:9" s="109" customFormat="1">
      <c r="B669" s="133"/>
      <c r="D669" s="155"/>
      <c r="E669" s="156"/>
      <c r="F669" s="157"/>
      <c r="G669" s="156"/>
      <c r="H669" s="155"/>
      <c r="I669" s="156"/>
    </row>
    <row r="670" spans="2:9" s="109" customFormat="1">
      <c r="B670" s="133"/>
      <c r="D670" s="155"/>
      <c r="E670" s="156"/>
      <c r="F670" s="157"/>
      <c r="G670" s="156"/>
      <c r="H670" s="155"/>
      <c r="I670" s="156"/>
    </row>
    <row r="671" spans="2:9" s="109" customFormat="1">
      <c r="B671" s="133"/>
      <c r="D671" s="155"/>
      <c r="E671" s="156"/>
      <c r="F671" s="157"/>
      <c r="G671" s="156"/>
      <c r="H671" s="155"/>
      <c r="I671" s="156"/>
    </row>
    <row r="672" spans="2:9" s="109" customFormat="1">
      <c r="B672" s="133"/>
      <c r="D672" s="155"/>
      <c r="E672" s="156"/>
      <c r="F672" s="157"/>
      <c r="G672" s="156"/>
      <c r="H672" s="155"/>
      <c r="I672" s="156"/>
    </row>
    <row r="673" spans="2:9" s="109" customFormat="1">
      <c r="B673" s="133"/>
      <c r="D673" s="155"/>
      <c r="E673" s="156"/>
      <c r="F673" s="157"/>
      <c r="G673" s="156"/>
      <c r="H673" s="155"/>
      <c r="I673" s="156"/>
    </row>
    <row r="674" spans="2:9" s="109" customFormat="1">
      <c r="B674" s="133"/>
      <c r="D674" s="155"/>
      <c r="E674" s="156"/>
      <c r="F674" s="157"/>
      <c r="G674" s="156"/>
      <c r="H674" s="155"/>
      <c r="I674" s="156"/>
    </row>
    <row r="675" spans="2:9" s="109" customFormat="1">
      <c r="B675" s="133"/>
      <c r="D675" s="155"/>
      <c r="E675" s="156"/>
      <c r="F675" s="157"/>
      <c r="G675" s="156"/>
      <c r="H675" s="155"/>
      <c r="I675" s="156"/>
    </row>
    <row r="676" spans="2:9" s="109" customFormat="1">
      <c r="B676" s="133"/>
      <c r="D676" s="155"/>
      <c r="E676" s="156"/>
      <c r="F676" s="157"/>
      <c r="G676" s="156"/>
      <c r="H676" s="155"/>
      <c r="I676" s="156"/>
    </row>
    <row r="677" spans="2:9" s="109" customFormat="1">
      <c r="B677" s="133"/>
      <c r="D677" s="155"/>
      <c r="E677" s="156"/>
      <c r="F677" s="157"/>
      <c r="G677" s="156"/>
      <c r="H677" s="155"/>
      <c r="I677" s="156"/>
    </row>
    <row r="678" spans="2:9" s="109" customFormat="1">
      <c r="B678" s="133"/>
      <c r="D678" s="155"/>
      <c r="E678" s="156"/>
      <c r="F678" s="157"/>
      <c r="G678" s="156"/>
      <c r="H678" s="155"/>
      <c r="I678" s="156"/>
    </row>
    <row r="679" spans="2:9" s="109" customFormat="1">
      <c r="B679" s="133"/>
      <c r="D679" s="155"/>
      <c r="E679" s="156"/>
      <c r="F679" s="157"/>
      <c r="G679" s="156"/>
      <c r="H679" s="155"/>
      <c r="I679" s="156"/>
    </row>
    <row r="680" spans="2:9" s="109" customFormat="1">
      <c r="B680" s="133"/>
      <c r="D680" s="155"/>
      <c r="E680" s="156"/>
      <c r="F680" s="157"/>
      <c r="G680" s="156"/>
      <c r="H680" s="155"/>
      <c r="I680" s="156"/>
    </row>
    <row r="681" spans="2:9" s="109" customFormat="1">
      <c r="B681" s="133"/>
      <c r="D681" s="155"/>
      <c r="E681" s="156"/>
      <c r="F681" s="157"/>
      <c r="G681" s="156"/>
      <c r="H681" s="155"/>
      <c r="I681" s="156"/>
    </row>
    <row r="682" spans="2:9" s="109" customFormat="1">
      <c r="B682" s="133"/>
      <c r="D682" s="155"/>
      <c r="E682" s="156"/>
      <c r="F682" s="157"/>
      <c r="G682" s="156"/>
      <c r="H682" s="155"/>
      <c r="I682" s="156"/>
    </row>
    <row r="683" spans="2:9" s="109" customFormat="1">
      <c r="B683" s="133"/>
      <c r="D683" s="155"/>
      <c r="E683" s="156"/>
      <c r="F683" s="157"/>
      <c r="G683" s="156"/>
      <c r="H683" s="155"/>
      <c r="I683" s="156"/>
    </row>
    <row r="684" spans="2:9" s="109" customFormat="1">
      <c r="B684" s="133"/>
      <c r="D684" s="155"/>
      <c r="E684" s="156"/>
      <c r="F684" s="157"/>
      <c r="G684" s="156"/>
      <c r="H684" s="155"/>
      <c r="I684" s="156"/>
    </row>
    <row r="685" spans="2:9" s="109" customFormat="1">
      <c r="B685" s="133"/>
      <c r="D685" s="155"/>
      <c r="E685" s="156"/>
      <c r="F685" s="157"/>
      <c r="G685" s="156"/>
      <c r="H685" s="155"/>
      <c r="I685" s="156"/>
    </row>
    <row r="686" spans="2:9" s="109" customFormat="1">
      <c r="B686" s="133"/>
      <c r="D686" s="155"/>
      <c r="E686" s="156"/>
      <c r="F686" s="157"/>
      <c r="G686" s="156"/>
      <c r="H686" s="155"/>
      <c r="I686" s="156"/>
    </row>
    <row r="687" spans="2:9" s="109" customFormat="1">
      <c r="B687" s="133"/>
      <c r="D687" s="155"/>
      <c r="E687" s="156"/>
      <c r="F687" s="157"/>
      <c r="G687" s="156"/>
      <c r="H687" s="155"/>
      <c r="I687" s="156"/>
    </row>
    <row r="688" spans="2:9" s="109" customFormat="1">
      <c r="B688" s="133"/>
      <c r="D688" s="155"/>
      <c r="E688" s="156"/>
      <c r="F688" s="157"/>
      <c r="G688" s="156"/>
      <c r="H688" s="155"/>
      <c r="I688" s="156"/>
    </row>
    <row r="689" spans="2:9" s="109" customFormat="1">
      <c r="B689" s="133"/>
      <c r="D689" s="155"/>
      <c r="E689" s="156"/>
      <c r="F689" s="157"/>
      <c r="G689" s="156"/>
      <c r="H689" s="155"/>
      <c r="I689" s="156"/>
    </row>
    <row r="690" spans="2:9" s="109" customFormat="1">
      <c r="B690" s="133"/>
      <c r="D690" s="155"/>
      <c r="E690" s="156"/>
      <c r="F690" s="157"/>
      <c r="G690" s="156"/>
      <c r="H690" s="155"/>
      <c r="I690" s="156"/>
    </row>
    <row r="691" spans="2:9" s="109" customFormat="1">
      <c r="B691" s="133"/>
      <c r="D691" s="155"/>
      <c r="E691" s="156"/>
      <c r="F691" s="157"/>
      <c r="G691" s="156"/>
      <c r="H691" s="155"/>
      <c r="I691" s="156"/>
    </row>
    <row r="692" spans="2:9" s="109" customFormat="1">
      <c r="B692" s="133"/>
      <c r="D692" s="155"/>
      <c r="E692" s="156"/>
      <c r="F692" s="157"/>
      <c r="G692" s="156"/>
      <c r="H692" s="155"/>
      <c r="I692" s="156"/>
    </row>
    <row r="693" spans="2:9" s="109" customFormat="1">
      <c r="B693" s="133"/>
      <c r="D693" s="155"/>
      <c r="E693" s="156"/>
      <c r="F693" s="157"/>
      <c r="G693" s="156"/>
      <c r="H693" s="155"/>
      <c r="I693" s="156"/>
    </row>
    <row r="694" spans="2:9" s="109" customFormat="1">
      <c r="B694" s="133"/>
      <c r="D694" s="155"/>
      <c r="E694" s="156"/>
      <c r="F694" s="157"/>
      <c r="G694" s="156"/>
      <c r="H694" s="155"/>
      <c r="I694" s="156"/>
    </row>
    <row r="695" spans="2:9" s="109" customFormat="1">
      <c r="B695" s="133"/>
      <c r="D695" s="155"/>
      <c r="E695" s="156"/>
      <c r="F695" s="157"/>
      <c r="G695" s="156"/>
      <c r="H695" s="155"/>
      <c r="I695" s="156"/>
    </row>
    <row r="696" spans="2:9" s="109" customFormat="1">
      <c r="B696" s="133"/>
      <c r="D696" s="155"/>
      <c r="E696" s="156"/>
      <c r="F696" s="157"/>
      <c r="G696" s="156"/>
      <c r="H696" s="155"/>
      <c r="I696" s="156"/>
    </row>
    <row r="697" spans="2:9" s="109" customFormat="1">
      <c r="B697" s="133"/>
      <c r="D697" s="155"/>
      <c r="E697" s="156"/>
      <c r="F697" s="157"/>
      <c r="G697" s="156"/>
      <c r="H697" s="155"/>
      <c r="I697" s="156"/>
    </row>
    <row r="698" spans="2:9" s="109" customFormat="1">
      <c r="B698" s="133"/>
      <c r="D698" s="155"/>
      <c r="E698" s="156"/>
      <c r="F698" s="157"/>
      <c r="G698" s="156"/>
      <c r="H698" s="155"/>
      <c r="I698" s="156"/>
    </row>
    <row r="699" spans="2:9" s="109" customFormat="1">
      <c r="B699" s="133"/>
      <c r="D699" s="155"/>
      <c r="E699" s="156"/>
      <c r="F699" s="157"/>
      <c r="G699" s="156"/>
      <c r="H699" s="155"/>
      <c r="I699" s="156"/>
    </row>
    <row r="700" spans="2:9" s="109" customFormat="1">
      <c r="B700" s="133"/>
      <c r="D700" s="155"/>
      <c r="E700" s="156"/>
      <c r="F700" s="157"/>
      <c r="G700" s="156"/>
      <c r="H700" s="155"/>
      <c r="I700" s="156"/>
    </row>
    <row r="701" spans="2:9" s="109" customFormat="1">
      <c r="B701" s="133"/>
      <c r="D701" s="155"/>
      <c r="E701" s="156"/>
      <c r="F701" s="157"/>
      <c r="G701" s="156"/>
      <c r="H701" s="155"/>
      <c r="I701" s="156"/>
    </row>
    <row r="702" spans="2:9" s="109" customFormat="1">
      <c r="B702" s="133"/>
      <c r="D702" s="155"/>
      <c r="E702" s="156"/>
      <c r="F702" s="157"/>
      <c r="G702" s="156"/>
      <c r="H702" s="155"/>
      <c r="I702" s="156"/>
    </row>
    <row r="703" spans="2:9" s="109" customFormat="1">
      <c r="B703" s="133"/>
      <c r="D703" s="155"/>
      <c r="E703" s="156"/>
      <c r="F703" s="157"/>
      <c r="G703" s="156"/>
      <c r="H703" s="155"/>
      <c r="I703" s="156"/>
    </row>
    <row r="704" spans="2:9" s="109" customFormat="1">
      <c r="B704" s="133"/>
      <c r="D704" s="155"/>
      <c r="E704" s="156"/>
      <c r="F704" s="157"/>
      <c r="G704" s="156"/>
      <c r="H704" s="155"/>
      <c r="I704" s="156"/>
    </row>
    <row r="705" spans="2:9" s="109" customFormat="1">
      <c r="B705" s="133"/>
      <c r="D705" s="155"/>
      <c r="E705" s="156"/>
      <c r="F705" s="157"/>
      <c r="G705" s="156"/>
      <c r="H705" s="155"/>
      <c r="I705" s="156"/>
    </row>
    <row r="706" spans="2:9" s="109" customFormat="1">
      <c r="B706" s="133"/>
      <c r="D706" s="155"/>
      <c r="E706" s="156"/>
      <c r="F706" s="157"/>
      <c r="G706" s="156"/>
      <c r="H706" s="155"/>
      <c r="I706" s="156"/>
    </row>
    <row r="707" spans="2:9" s="109" customFormat="1">
      <c r="B707" s="133"/>
      <c r="D707" s="155"/>
      <c r="E707" s="156"/>
      <c r="F707" s="157"/>
      <c r="G707" s="156"/>
      <c r="H707" s="155"/>
      <c r="I707" s="156"/>
    </row>
    <row r="708" spans="2:9" s="109" customFormat="1">
      <c r="B708" s="133"/>
      <c r="D708" s="155"/>
      <c r="E708" s="156"/>
      <c r="F708" s="157"/>
      <c r="G708" s="156"/>
      <c r="H708" s="155"/>
      <c r="I708" s="156"/>
    </row>
    <row r="709" spans="2:9" s="109" customFormat="1">
      <c r="B709" s="133"/>
      <c r="D709" s="155"/>
      <c r="E709" s="156"/>
      <c r="F709" s="157"/>
      <c r="G709" s="156"/>
      <c r="H709" s="155"/>
      <c r="I709" s="156"/>
    </row>
    <row r="710" spans="2:9" s="109" customFormat="1">
      <c r="B710" s="133"/>
      <c r="D710" s="155"/>
      <c r="E710" s="156"/>
      <c r="F710" s="157"/>
      <c r="G710" s="156"/>
      <c r="H710" s="155"/>
      <c r="I710" s="156"/>
    </row>
    <row r="711" spans="2:9" s="109" customFormat="1">
      <c r="B711" s="133"/>
      <c r="D711" s="155"/>
      <c r="E711" s="156"/>
      <c r="F711" s="157"/>
      <c r="G711" s="156"/>
      <c r="H711" s="155"/>
      <c r="I711" s="156"/>
    </row>
    <row r="712" spans="2:9" s="109" customFormat="1">
      <c r="B712" s="133"/>
      <c r="D712" s="155"/>
      <c r="E712" s="156"/>
      <c r="F712" s="157"/>
      <c r="G712" s="156"/>
      <c r="H712" s="155"/>
      <c r="I712" s="156"/>
    </row>
    <row r="713" spans="2:9" s="109" customFormat="1">
      <c r="B713" s="133"/>
      <c r="D713" s="155"/>
      <c r="E713" s="156"/>
      <c r="F713" s="157"/>
      <c r="G713" s="156"/>
      <c r="H713" s="155"/>
      <c r="I713" s="156"/>
    </row>
    <row r="714" spans="2:9" s="109" customFormat="1">
      <c r="B714" s="133"/>
      <c r="D714" s="155"/>
      <c r="E714" s="156"/>
      <c r="F714" s="157"/>
      <c r="G714" s="156"/>
      <c r="H714" s="155"/>
      <c r="I714" s="156"/>
    </row>
    <row r="715" spans="2:9" s="109" customFormat="1">
      <c r="B715" s="133"/>
      <c r="D715" s="155"/>
      <c r="E715" s="156"/>
      <c r="F715" s="157"/>
      <c r="G715" s="156"/>
      <c r="H715" s="155"/>
      <c r="I715" s="156"/>
    </row>
    <row r="716" spans="2:9" s="109" customFormat="1">
      <c r="B716" s="133"/>
      <c r="D716" s="155"/>
      <c r="E716" s="156"/>
      <c r="F716" s="157"/>
      <c r="G716" s="156"/>
      <c r="H716" s="155"/>
      <c r="I716" s="156"/>
    </row>
    <row r="717" spans="2:9" s="109" customFormat="1">
      <c r="B717" s="133"/>
      <c r="D717" s="155"/>
      <c r="E717" s="156"/>
      <c r="F717" s="157"/>
      <c r="G717" s="156"/>
      <c r="H717" s="155"/>
      <c r="I717" s="156"/>
    </row>
    <row r="718" spans="2:9" s="109" customFormat="1">
      <c r="B718" s="133"/>
      <c r="D718" s="155"/>
      <c r="E718" s="156"/>
      <c r="F718" s="157"/>
      <c r="G718" s="156"/>
      <c r="H718" s="155"/>
      <c r="I718" s="156"/>
    </row>
    <row r="719" spans="2:9" s="109" customFormat="1">
      <c r="B719" s="133"/>
      <c r="D719" s="155"/>
      <c r="E719" s="156"/>
      <c r="F719" s="157"/>
      <c r="G719" s="156"/>
      <c r="H719" s="155"/>
      <c r="I719" s="156"/>
    </row>
    <row r="720" spans="2:9" s="109" customFormat="1">
      <c r="B720" s="133"/>
      <c r="D720" s="155"/>
      <c r="E720" s="156"/>
      <c r="F720" s="157"/>
      <c r="G720" s="156"/>
      <c r="H720" s="155"/>
      <c r="I720" s="156"/>
    </row>
    <row r="721" spans="2:9" s="109" customFormat="1">
      <c r="B721" s="133"/>
      <c r="D721" s="155"/>
      <c r="E721" s="156"/>
      <c r="F721" s="157"/>
      <c r="G721" s="156"/>
      <c r="H721" s="155"/>
      <c r="I721" s="156"/>
    </row>
    <row r="722" spans="2:9" s="109" customFormat="1">
      <c r="B722" s="133"/>
      <c r="D722" s="155"/>
      <c r="E722" s="156"/>
      <c r="F722" s="157"/>
      <c r="G722" s="156"/>
      <c r="H722" s="155"/>
      <c r="I722" s="156"/>
    </row>
    <row r="723" spans="2:9" s="109" customFormat="1">
      <c r="B723" s="133"/>
      <c r="D723" s="155"/>
      <c r="E723" s="156"/>
      <c r="F723" s="157"/>
      <c r="G723" s="156"/>
      <c r="H723" s="155"/>
      <c r="I723" s="156"/>
    </row>
    <row r="724" spans="2:9" s="109" customFormat="1">
      <c r="B724" s="133"/>
      <c r="D724" s="155"/>
      <c r="E724" s="156"/>
      <c r="F724" s="157"/>
      <c r="G724" s="156"/>
      <c r="H724" s="155"/>
      <c r="I724" s="156"/>
    </row>
    <row r="725" spans="2:9" s="109" customFormat="1">
      <c r="B725" s="133"/>
      <c r="D725" s="155"/>
      <c r="E725" s="156"/>
      <c r="F725" s="157"/>
      <c r="G725" s="156"/>
      <c r="H725" s="155"/>
      <c r="I725" s="156"/>
    </row>
    <row r="726" spans="2:9" s="109" customFormat="1">
      <c r="B726" s="133"/>
      <c r="D726" s="155"/>
      <c r="E726" s="156"/>
      <c r="F726" s="157"/>
      <c r="G726" s="156"/>
      <c r="H726" s="155"/>
      <c r="I726" s="156"/>
    </row>
    <row r="727" spans="2:9" s="109" customFormat="1">
      <c r="B727" s="133"/>
      <c r="D727" s="155"/>
      <c r="E727" s="156"/>
      <c r="F727" s="157"/>
      <c r="G727" s="156"/>
      <c r="H727" s="155"/>
      <c r="I727" s="156"/>
    </row>
    <row r="728" spans="2:9" s="109" customFormat="1">
      <c r="B728" s="133"/>
      <c r="D728" s="155"/>
      <c r="E728" s="156"/>
      <c r="F728" s="157"/>
      <c r="G728" s="156"/>
      <c r="H728" s="155"/>
      <c r="I728" s="156"/>
    </row>
    <row r="729" spans="2:9" s="109" customFormat="1">
      <c r="B729" s="133"/>
      <c r="D729" s="155"/>
      <c r="E729" s="156"/>
      <c r="F729" s="157"/>
      <c r="G729" s="156"/>
      <c r="H729" s="155"/>
      <c r="I729" s="156"/>
    </row>
    <row r="730" spans="2:9" s="109" customFormat="1">
      <c r="B730" s="133"/>
      <c r="D730" s="155"/>
      <c r="E730" s="156"/>
      <c r="F730" s="157"/>
      <c r="G730" s="156"/>
      <c r="H730" s="155"/>
      <c r="I730" s="156"/>
    </row>
    <row r="731" spans="2:9" s="109" customFormat="1">
      <c r="B731" s="133"/>
      <c r="D731" s="155"/>
      <c r="E731" s="156"/>
      <c r="F731" s="157"/>
      <c r="G731" s="156"/>
      <c r="H731" s="155"/>
      <c r="I731" s="156"/>
    </row>
    <row r="732" spans="2:9" s="109" customFormat="1">
      <c r="B732" s="133"/>
      <c r="D732" s="155"/>
      <c r="E732" s="156"/>
      <c r="F732" s="157"/>
      <c r="G732" s="156"/>
      <c r="H732" s="155"/>
      <c r="I732" s="156"/>
    </row>
    <row r="733" spans="2:9" s="109" customFormat="1">
      <c r="B733" s="133"/>
      <c r="D733" s="155"/>
      <c r="E733" s="156"/>
      <c r="F733" s="157"/>
      <c r="G733" s="156"/>
      <c r="H733" s="155"/>
      <c r="I733" s="156"/>
    </row>
    <row r="734" spans="2:9" s="109" customFormat="1">
      <c r="B734" s="133"/>
      <c r="D734" s="155"/>
      <c r="E734" s="156"/>
      <c r="F734" s="157"/>
      <c r="G734" s="156"/>
      <c r="H734" s="155"/>
      <c r="I734" s="156"/>
    </row>
    <row r="735" spans="2:9" s="109" customFormat="1">
      <c r="B735" s="133"/>
      <c r="D735" s="155"/>
      <c r="E735" s="156"/>
      <c r="F735" s="157"/>
      <c r="G735" s="156"/>
      <c r="H735" s="155"/>
      <c r="I735" s="156"/>
    </row>
    <row r="736" spans="2:9" s="109" customFormat="1">
      <c r="B736" s="133"/>
      <c r="D736" s="155"/>
      <c r="E736" s="156"/>
      <c r="F736" s="157"/>
      <c r="G736" s="156"/>
      <c r="H736" s="155"/>
      <c r="I736" s="156"/>
    </row>
    <row r="737" spans="2:9" s="109" customFormat="1">
      <c r="B737" s="133"/>
      <c r="D737" s="155"/>
      <c r="E737" s="156"/>
      <c r="F737" s="157"/>
      <c r="G737" s="156"/>
      <c r="H737" s="155"/>
      <c r="I737" s="156"/>
    </row>
    <row r="738" spans="2:9" s="109" customFormat="1">
      <c r="B738" s="133"/>
      <c r="D738" s="155"/>
      <c r="E738" s="156"/>
      <c r="F738" s="157"/>
      <c r="G738" s="156"/>
      <c r="H738" s="155"/>
      <c r="I738" s="156"/>
    </row>
    <row r="739" spans="2:9" s="109" customFormat="1">
      <c r="B739" s="133"/>
      <c r="D739" s="155"/>
      <c r="E739" s="156"/>
      <c r="F739" s="157"/>
      <c r="G739" s="156"/>
      <c r="H739" s="155"/>
      <c r="I739" s="156"/>
    </row>
    <row r="740" spans="2:9" s="109" customFormat="1">
      <c r="B740" s="133"/>
      <c r="D740" s="155"/>
      <c r="E740" s="156"/>
      <c r="F740" s="157"/>
      <c r="G740" s="156"/>
      <c r="H740" s="155"/>
      <c r="I740" s="156"/>
    </row>
    <row r="741" spans="2:9" s="109" customFormat="1">
      <c r="B741" s="133"/>
      <c r="D741" s="155"/>
      <c r="E741" s="156"/>
      <c r="F741" s="157"/>
      <c r="G741" s="156"/>
      <c r="H741" s="155"/>
      <c r="I741" s="156"/>
    </row>
    <row r="742" spans="2:9" s="109" customFormat="1">
      <c r="B742" s="133"/>
      <c r="D742" s="155"/>
      <c r="E742" s="156"/>
      <c r="F742" s="157"/>
      <c r="G742" s="156"/>
      <c r="H742" s="155"/>
      <c r="I742" s="156"/>
    </row>
    <row r="743" spans="2:9" s="109" customFormat="1">
      <c r="B743" s="133"/>
      <c r="D743" s="155"/>
      <c r="E743" s="156"/>
      <c r="F743" s="157"/>
      <c r="G743" s="156"/>
      <c r="H743" s="155"/>
      <c r="I743" s="156"/>
    </row>
    <row r="744" spans="2:9" s="109" customFormat="1">
      <c r="B744" s="133"/>
      <c r="D744" s="155"/>
      <c r="E744" s="156"/>
      <c r="F744" s="157"/>
      <c r="G744" s="156"/>
      <c r="H744" s="155"/>
      <c r="I744" s="156"/>
    </row>
    <row r="745" spans="2:9" s="109" customFormat="1">
      <c r="B745" s="133"/>
      <c r="D745" s="155"/>
      <c r="E745" s="156"/>
      <c r="F745" s="157"/>
      <c r="G745" s="156"/>
      <c r="H745" s="155"/>
      <c r="I745" s="156"/>
    </row>
    <row r="746" spans="2:9" s="109" customFormat="1">
      <c r="B746" s="133"/>
      <c r="D746" s="155"/>
      <c r="E746" s="156"/>
      <c r="F746" s="157"/>
      <c r="G746" s="156"/>
      <c r="H746" s="155"/>
      <c r="I746" s="156"/>
    </row>
    <row r="747" spans="2:9" s="109" customFormat="1">
      <c r="B747" s="133"/>
      <c r="D747" s="155"/>
      <c r="E747" s="156"/>
      <c r="F747" s="157"/>
      <c r="G747" s="156"/>
      <c r="H747" s="155"/>
      <c r="I747" s="156"/>
    </row>
    <row r="748" spans="2:9" s="109" customFormat="1">
      <c r="B748" s="133"/>
      <c r="D748" s="155"/>
      <c r="E748" s="156"/>
      <c r="F748" s="157"/>
      <c r="G748" s="156"/>
      <c r="H748" s="155"/>
      <c r="I748" s="156"/>
    </row>
  </sheetData>
  <mergeCells count="35">
    <mergeCell ref="C316:C332"/>
    <mergeCell ref="B316:B332"/>
    <mergeCell ref="B240:B313"/>
    <mergeCell ref="C240:C313"/>
    <mergeCell ref="D314:I314"/>
    <mergeCell ref="B178:B201"/>
    <mergeCell ref="C178:C201"/>
    <mergeCell ref="D178:D201"/>
    <mergeCell ref="E178:E201"/>
    <mergeCell ref="D238:I238"/>
    <mergeCell ref="B204:B237"/>
    <mergeCell ref="D202:I202"/>
    <mergeCell ref="B51:B73"/>
    <mergeCell ref="C51:C73"/>
    <mergeCell ref="C34:C48"/>
    <mergeCell ref="B34:B48"/>
    <mergeCell ref="B122:B176"/>
    <mergeCell ref="C122:C176"/>
    <mergeCell ref="B75:B88"/>
    <mergeCell ref="B91:B117"/>
    <mergeCell ref="C91:C117"/>
    <mergeCell ref="C76:C88"/>
    <mergeCell ref="B7:I7"/>
    <mergeCell ref="E9:I9"/>
    <mergeCell ref="I28:I31"/>
    <mergeCell ref="B13:B31"/>
    <mergeCell ref="C13:C31"/>
    <mergeCell ref="D11:I11"/>
    <mergeCell ref="D9:D10"/>
    <mergeCell ref="D74:I74"/>
    <mergeCell ref="C204:C237"/>
    <mergeCell ref="D177:I177"/>
    <mergeCell ref="D49:E49"/>
    <mergeCell ref="D120:I120"/>
    <mergeCell ref="D89:I89"/>
  </mergeCells>
  <pageMargins left="0.70866141732283505" right="0.70866141732283505" top="1.9685039370078702E-2" bottom="1.9685039370078702E-2" header="0.31496062992126" footer="0.31496062992126"/>
  <pageSetup paperSize="9" scale="60" fitToHeight="0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B6:J300"/>
  <sheetViews>
    <sheetView showGridLines="0" topLeftCell="A6" zoomScale="90" zoomScaleNormal="90" workbookViewId="0">
      <pane ySplit="4" topLeftCell="A49" activePane="bottomLeft" state="frozen"/>
      <selection activeCell="F71" sqref="F71"/>
      <selection pane="bottomLeft" activeCell="E28" sqref="E28:E29"/>
    </sheetView>
  </sheetViews>
  <sheetFormatPr defaultRowHeight="15"/>
  <cols>
    <col min="1" max="1" width="9.140625" style="52"/>
    <col min="2" max="2" width="4.42578125" style="76" customWidth="1"/>
    <col min="3" max="3" width="27.140625" style="52" customWidth="1"/>
    <col min="4" max="4" width="6.140625" style="53" customWidth="1"/>
    <col min="5" max="5" width="79" style="52" customWidth="1"/>
    <col min="6" max="6" width="11.28515625" style="52" customWidth="1"/>
    <col min="7" max="7" width="81.28515625" style="52" hidden="1" customWidth="1"/>
    <col min="8" max="9" width="10" style="52" customWidth="1"/>
    <col min="10" max="10" width="9.7109375" style="52" customWidth="1"/>
    <col min="11" max="16384" width="9.140625" style="52"/>
  </cols>
  <sheetData>
    <row r="6" spans="2:10" ht="15.75" thickBot="1"/>
    <row r="7" spans="2:10" ht="22.5" customHeight="1" thickBot="1">
      <c r="B7" s="1015" t="s">
        <v>452</v>
      </c>
      <c r="C7" s="1016"/>
      <c r="D7" s="1016"/>
      <c r="E7" s="1016"/>
      <c r="F7" s="1016"/>
      <c r="G7" s="1016"/>
      <c r="H7" s="1016"/>
      <c r="I7" s="1016"/>
      <c r="J7" s="1017"/>
    </row>
    <row r="8" spans="2:10" ht="15.75" thickBot="1"/>
    <row r="9" spans="2:10" ht="65.25" customHeight="1" thickBot="1">
      <c r="B9" s="84" t="s">
        <v>441</v>
      </c>
      <c r="C9" s="85" t="s">
        <v>82</v>
      </c>
      <c r="D9" s="85" t="s">
        <v>441</v>
      </c>
      <c r="E9" s="85" t="s">
        <v>83</v>
      </c>
      <c r="F9" s="86" t="s">
        <v>443</v>
      </c>
      <c r="G9" s="93"/>
      <c r="H9" s="93" t="s">
        <v>442</v>
      </c>
      <c r="I9" s="107" t="s">
        <v>473</v>
      </c>
      <c r="J9" s="107" t="s">
        <v>472</v>
      </c>
    </row>
    <row r="10" spans="2:10">
      <c r="B10" s="81">
        <v>1</v>
      </c>
      <c r="C10" s="82" t="s">
        <v>85</v>
      </c>
      <c r="D10" s="83">
        <v>1</v>
      </c>
      <c r="E10" s="96" t="s">
        <v>146</v>
      </c>
      <c r="F10" s="87" t="s">
        <v>444</v>
      </c>
      <c r="G10" s="79"/>
      <c r="H10" s="105" t="s">
        <v>444</v>
      </c>
      <c r="I10" s="87" t="s">
        <v>444</v>
      </c>
      <c r="J10" s="79"/>
    </row>
    <row r="11" spans="2:10">
      <c r="B11" s="77"/>
      <c r="C11" s="79" t="s">
        <v>454</v>
      </c>
      <c r="D11" s="78">
        <f>D10+1</f>
        <v>2</v>
      </c>
      <c r="E11" s="95" t="s">
        <v>134</v>
      </c>
      <c r="F11" s="87" t="s">
        <v>444</v>
      </c>
      <c r="G11" s="79"/>
      <c r="H11" s="105"/>
      <c r="I11" s="87" t="s">
        <v>444</v>
      </c>
      <c r="J11" s="79"/>
    </row>
    <row r="12" spans="2:10">
      <c r="B12" s="77"/>
      <c r="C12" s="79"/>
      <c r="D12" s="78">
        <f t="shared" ref="D12:D29" si="0">D11+1</f>
        <v>3</v>
      </c>
      <c r="E12" s="95" t="s">
        <v>135</v>
      </c>
      <c r="F12" s="87" t="s">
        <v>444</v>
      </c>
      <c r="G12" s="79"/>
      <c r="H12" s="105" t="s">
        <v>444</v>
      </c>
      <c r="I12" s="87" t="s">
        <v>444</v>
      </c>
      <c r="J12" s="79"/>
    </row>
    <row r="13" spans="2:10">
      <c r="B13" s="77"/>
      <c r="C13" s="79"/>
      <c r="D13" s="78">
        <f t="shared" si="0"/>
        <v>4</v>
      </c>
      <c r="E13" s="95" t="s">
        <v>136</v>
      </c>
      <c r="F13" s="87" t="s">
        <v>444</v>
      </c>
      <c r="G13" s="79"/>
      <c r="H13" s="105"/>
      <c r="I13" s="87" t="s">
        <v>444</v>
      </c>
      <c r="J13" s="79"/>
    </row>
    <row r="14" spans="2:10">
      <c r="B14" s="77"/>
      <c r="C14" s="79"/>
      <c r="D14" s="78">
        <f t="shared" si="0"/>
        <v>5</v>
      </c>
      <c r="E14" s="95" t="s">
        <v>140</v>
      </c>
      <c r="F14" s="87" t="s">
        <v>444</v>
      </c>
      <c r="G14" s="79"/>
      <c r="H14" s="105" t="s">
        <v>444</v>
      </c>
      <c r="I14" s="87" t="s">
        <v>444</v>
      </c>
      <c r="J14" s="79"/>
    </row>
    <row r="15" spans="2:10">
      <c r="B15" s="77"/>
      <c r="C15" s="79"/>
      <c r="D15" s="78">
        <f t="shared" si="0"/>
        <v>6</v>
      </c>
      <c r="E15" s="79" t="s">
        <v>142</v>
      </c>
      <c r="F15" s="87" t="s">
        <v>444</v>
      </c>
      <c r="G15" s="79"/>
      <c r="H15" s="105" t="s">
        <v>444</v>
      </c>
      <c r="I15" s="87" t="s">
        <v>444</v>
      </c>
      <c r="J15" s="79"/>
    </row>
    <row r="16" spans="2:10">
      <c r="B16" s="77"/>
      <c r="C16" s="79"/>
      <c r="D16" s="78">
        <f t="shared" si="0"/>
        <v>7</v>
      </c>
      <c r="E16" s="79" t="s">
        <v>86</v>
      </c>
      <c r="F16" s="87" t="s">
        <v>444</v>
      </c>
      <c r="G16" s="79"/>
      <c r="H16" s="105" t="s">
        <v>444</v>
      </c>
      <c r="I16" s="87" t="s">
        <v>444</v>
      </c>
      <c r="J16" s="79"/>
    </row>
    <row r="17" spans="2:10">
      <c r="B17" s="77"/>
      <c r="C17" s="79"/>
      <c r="D17" s="78">
        <f t="shared" si="0"/>
        <v>8</v>
      </c>
      <c r="E17" s="79" t="s">
        <v>87</v>
      </c>
      <c r="F17" s="87" t="s">
        <v>444</v>
      </c>
      <c r="G17" s="79"/>
      <c r="H17" s="105" t="s">
        <v>444</v>
      </c>
      <c r="I17" s="87" t="s">
        <v>444</v>
      </c>
      <c r="J17" s="79"/>
    </row>
    <row r="18" spans="2:10">
      <c r="B18" s="77"/>
      <c r="C18" s="79"/>
      <c r="D18" s="78">
        <f t="shared" si="0"/>
        <v>9</v>
      </c>
      <c r="E18" s="79" t="s">
        <v>88</v>
      </c>
      <c r="F18" s="87" t="s">
        <v>444</v>
      </c>
      <c r="G18" s="79"/>
      <c r="H18" s="105" t="s">
        <v>444</v>
      </c>
      <c r="I18" s="87" t="s">
        <v>444</v>
      </c>
      <c r="J18" s="79"/>
    </row>
    <row r="19" spans="2:10">
      <c r="B19" s="77"/>
      <c r="C19" s="79"/>
      <c r="D19" s="78">
        <f t="shared" si="0"/>
        <v>10</v>
      </c>
      <c r="E19" s="79" t="s">
        <v>89</v>
      </c>
      <c r="F19" s="87" t="s">
        <v>444</v>
      </c>
      <c r="G19" s="79"/>
      <c r="H19" s="105"/>
      <c r="I19" s="87" t="s">
        <v>444</v>
      </c>
      <c r="J19" s="79"/>
    </row>
    <row r="20" spans="2:10">
      <c r="B20" s="77"/>
      <c r="C20" s="79"/>
      <c r="D20" s="78">
        <f t="shared" si="0"/>
        <v>11</v>
      </c>
      <c r="E20" s="79" t="s">
        <v>149</v>
      </c>
      <c r="F20" s="87" t="s">
        <v>444</v>
      </c>
      <c r="G20" s="79"/>
      <c r="H20" s="105" t="s">
        <v>444</v>
      </c>
      <c r="I20" s="87" t="s">
        <v>444</v>
      </c>
      <c r="J20" s="79"/>
    </row>
    <row r="21" spans="2:10">
      <c r="B21" s="77"/>
      <c r="C21" s="79"/>
      <c r="D21" s="78">
        <f t="shared" si="0"/>
        <v>12</v>
      </c>
      <c r="E21" s="79" t="s">
        <v>150</v>
      </c>
      <c r="F21" s="87" t="s">
        <v>444</v>
      </c>
      <c r="G21" s="79"/>
      <c r="H21" s="105" t="s">
        <v>444</v>
      </c>
      <c r="I21" s="87" t="s">
        <v>444</v>
      </c>
      <c r="J21" s="79"/>
    </row>
    <row r="22" spans="2:10">
      <c r="B22" s="77"/>
      <c r="C22" s="79"/>
      <c r="D22" s="78">
        <f t="shared" si="0"/>
        <v>13</v>
      </c>
      <c r="E22" s="79" t="s">
        <v>151</v>
      </c>
      <c r="F22" s="87" t="s">
        <v>444</v>
      </c>
      <c r="G22" s="79"/>
      <c r="H22" s="105" t="s">
        <v>444</v>
      </c>
      <c r="I22" s="87" t="s">
        <v>444</v>
      </c>
      <c r="J22" s="79"/>
    </row>
    <row r="23" spans="2:10">
      <c r="B23" s="77"/>
      <c r="C23" s="79"/>
      <c r="D23" s="78">
        <f t="shared" si="0"/>
        <v>14</v>
      </c>
      <c r="E23" s="79" t="s">
        <v>152</v>
      </c>
      <c r="F23" s="87" t="s">
        <v>444</v>
      </c>
      <c r="G23" s="79"/>
      <c r="H23" s="105"/>
      <c r="I23" s="87" t="s">
        <v>444</v>
      </c>
      <c r="J23" s="79"/>
    </row>
    <row r="24" spans="2:10">
      <c r="B24" s="77"/>
      <c r="C24" s="79"/>
      <c r="D24" s="78">
        <f t="shared" si="0"/>
        <v>15</v>
      </c>
      <c r="E24" s="79" t="s">
        <v>449</v>
      </c>
      <c r="F24" s="87" t="s">
        <v>444</v>
      </c>
      <c r="G24" s="79"/>
      <c r="H24" s="105" t="s">
        <v>444</v>
      </c>
      <c r="I24" s="87" t="s">
        <v>444</v>
      </c>
      <c r="J24" s="79"/>
    </row>
    <row r="25" spans="2:10">
      <c r="B25" s="77"/>
      <c r="C25" s="79"/>
      <c r="D25" s="78">
        <f t="shared" si="0"/>
        <v>16</v>
      </c>
      <c r="E25" s="79" t="s">
        <v>154</v>
      </c>
      <c r="F25" s="87" t="s">
        <v>444</v>
      </c>
      <c r="G25" s="79"/>
      <c r="H25" s="105" t="s">
        <v>444</v>
      </c>
      <c r="I25" s="87" t="s">
        <v>444</v>
      </c>
      <c r="J25" s="79"/>
    </row>
    <row r="26" spans="2:10">
      <c r="B26" s="77"/>
      <c r="C26" s="79"/>
      <c r="D26" s="78">
        <f t="shared" si="0"/>
        <v>17</v>
      </c>
      <c r="E26" s="79" t="s">
        <v>153</v>
      </c>
      <c r="F26" s="87" t="s">
        <v>444</v>
      </c>
      <c r="G26" s="87"/>
      <c r="H26" s="105"/>
      <c r="I26" s="87" t="s">
        <v>444</v>
      </c>
      <c r="J26" s="79"/>
    </row>
    <row r="27" spans="2:10">
      <c r="B27" s="77"/>
      <c r="C27" s="79"/>
      <c r="D27" s="78">
        <f t="shared" si="0"/>
        <v>18</v>
      </c>
      <c r="E27" s="79" t="s">
        <v>90</v>
      </c>
      <c r="F27" s="87" t="s">
        <v>444</v>
      </c>
      <c r="G27" s="87"/>
      <c r="H27" s="105"/>
      <c r="I27" s="87" t="s">
        <v>444</v>
      </c>
      <c r="J27" s="79"/>
    </row>
    <row r="28" spans="2:10">
      <c r="B28" s="77"/>
      <c r="C28" s="79"/>
      <c r="D28" s="78">
        <f t="shared" si="0"/>
        <v>19</v>
      </c>
      <c r="E28" s="79" t="s">
        <v>448</v>
      </c>
      <c r="F28" s="87"/>
      <c r="G28" s="87"/>
      <c r="H28" s="105" t="s">
        <v>444</v>
      </c>
      <c r="I28" s="87"/>
      <c r="J28" s="79"/>
    </row>
    <row r="29" spans="2:10">
      <c r="B29" s="77"/>
      <c r="C29" s="79"/>
      <c r="D29" s="78">
        <f t="shared" si="0"/>
        <v>20</v>
      </c>
      <c r="E29" s="79" t="s">
        <v>445</v>
      </c>
      <c r="F29" s="87"/>
      <c r="G29" s="87"/>
      <c r="H29" s="105" t="s">
        <v>444</v>
      </c>
      <c r="I29" s="87"/>
      <c r="J29" s="79"/>
    </row>
    <row r="30" spans="2:10">
      <c r="B30" s="77"/>
      <c r="C30" s="79"/>
      <c r="D30" s="78"/>
      <c r="E30" s="79"/>
      <c r="F30" s="87"/>
      <c r="G30" s="87"/>
      <c r="H30" s="106"/>
      <c r="I30" s="106"/>
      <c r="J30" s="79"/>
    </row>
    <row r="31" spans="2:10">
      <c r="B31" s="92">
        <v>2</v>
      </c>
      <c r="C31" s="80" t="s">
        <v>91</v>
      </c>
      <c r="D31" s="78">
        <v>1</v>
      </c>
      <c r="E31" s="79" t="s">
        <v>163</v>
      </c>
      <c r="F31" s="87" t="s">
        <v>444</v>
      </c>
      <c r="G31" s="87"/>
      <c r="H31" s="106"/>
      <c r="I31" s="87" t="s">
        <v>444</v>
      </c>
      <c r="J31" s="79"/>
    </row>
    <row r="32" spans="2:10">
      <c r="B32" s="77"/>
      <c r="C32" s="79" t="s">
        <v>455</v>
      </c>
      <c r="D32" s="78">
        <f>D31+1</f>
        <v>2</v>
      </c>
      <c r="E32" s="79" t="s">
        <v>164</v>
      </c>
      <c r="F32" s="87" t="s">
        <v>444</v>
      </c>
      <c r="G32" s="87"/>
      <c r="H32" s="106"/>
      <c r="I32" s="87" t="s">
        <v>444</v>
      </c>
      <c r="J32" s="79"/>
    </row>
    <row r="33" spans="2:10">
      <c r="B33" s="77"/>
      <c r="C33" s="79"/>
      <c r="D33" s="78">
        <f t="shared" ref="D33:D45" si="1">D32+1</f>
        <v>3</v>
      </c>
      <c r="E33" s="79" t="s">
        <v>447</v>
      </c>
      <c r="F33" s="87"/>
      <c r="G33" s="87"/>
      <c r="H33" s="105" t="s">
        <v>444</v>
      </c>
      <c r="I33" s="87"/>
      <c r="J33" s="79"/>
    </row>
    <row r="34" spans="2:10">
      <c r="B34" s="77"/>
      <c r="C34" s="79"/>
      <c r="D34" s="78">
        <f t="shared" si="1"/>
        <v>4</v>
      </c>
      <c r="E34" s="79" t="s">
        <v>165</v>
      </c>
      <c r="F34" s="87" t="s">
        <v>444</v>
      </c>
      <c r="G34" s="87"/>
      <c r="H34" s="105"/>
      <c r="I34" s="87" t="s">
        <v>444</v>
      </c>
      <c r="J34" s="79"/>
    </row>
    <row r="35" spans="2:10">
      <c r="B35" s="77"/>
      <c r="C35" s="79"/>
      <c r="D35" s="108">
        <f t="shared" si="1"/>
        <v>5</v>
      </c>
      <c r="E35" s="79" t="s">
        <v>446</v>
      </c>
      <c r="F35" s="87"/>
      <c r="G35" s="87"/>
      <c r="H35" s="105" t="s">
        <v>444</v>
      </c>
      <c r="I35" s="87"/>
      <c r="J35" s="79"/>
    </row>
    <row r="36" spans="2:10">
      <c r="B36" s="77"/>
      <c r="C36" s="79"/>
      <c r="D36" s="78">
        <f t="shared" si="1"/>
        <v>6</v>
      </c>
      <c r="E36" s="79" t="s">
        <v>166</v>
      </c>
      <c r="F36" s="87" t="s">
        <v>444</v>
      </c>
      <c r="G36" s="87"/>
      <c r="H36" s="106"/>
      <c r="I36" s="87" t="s">
        <v>444</v>
      </c>
      <c r="J36" s="79"/>
    </row>
    <row r="37" spans="2:10">
      <c r="B37" s="77"/>
      <c r="C37" s="79"/>
      <c r="D37" s="78">
        <f t="shared" si="1"/>
        <v>7</v>
      </c>
      <c r="E37" s="79" t="s">
        <v>167</v>
      </c>
      <c r="F37" s="87" t="s">
        <v>444</v>
      </c>
      <c r="G37" s="87"/>
      <c r="H37" s="106"/>
      <c r="I37" s="87" t="s">
        <v>444</v>
      </c>
      <c r="J37" s="79"/>
    </row>
    <row r="38" spans="2:10">
      <c r="B38" s="77"/>
      <c r="C38" s="79"/>
      <c r="D38" s="78">
        <f t="shared" si="1"/>
        <v>8</v>
      </c>
      <c r="E38" s="79" t="s">
        <v>168</v>
      </c>
      <c r="F38" s="87" t="s">
        <v>444</v>
      </c>
      <c r="G38" s="87"/>
      <c r="H38" s="106"/>
      <c r="I38" s="87" t="s">
        <v>444</v>
      </c>
      <c r="J38" s="79"/>
    </row>
    <row r="39" spans="2:10">
      <c r="B39" s="77"/>
      <c r="C39" s="79"/>
      <c r="D39" s="78">
        <f t="shared" si="1"/>
        <v>9</v>
      </c>
      <c r="E39" s="79" t="s">
        <v>169</v>
      </c>
      <c r="F39" s="87" t="s">
        <v>444</v>
      </c>
      <c r="G39" s="87"/>
      <c r="H39" s="106"/>
      <c r="I39" s="87" t="s">
        <v>444</v>
      </c>
      <c r="J39" s="79"/>
    </row>
    <row r="40" spans="2:10">
      <c r="B40" s="77"/>
      <c r="C40" s="79"/>
      <c r="D40" s="78">
        <f t="shared" si="1"/>
        <v>10</v>
      </c>
      <c r="E40" s="79" t="s">
        <v>170</v>
      </c>
      <c r="F40" s="87" t="s">
        <v>444</v>
      </c>
      <c r="G40" s="87"/>
      <c r="H40" s="106"/>
      <c r="I40" s="87" t="s">
        <v>444</v>
      </c>
      <c r="J40" s="79"/>
    </row>
    <row r="41" spans="2:10">
      <c r="B41" s="77"/>
      <c r="C41" s="79"/>
      <c r="D41" s="78">
        <f t="shared" si="1"/>
        <v>11</v>
      </c>
      <c r="E41" s="79" t="s">
        <v>171</v>
      </c>
      <c r="F41" s="87" t="s">
        <v>444</v>
      </c>
      <c r="G41" s="87"/>
      <c r="H41" s="106"/>
      <c r="I41" s="87" t="s">
        <v>444</v>
      </c>
      <c r="J41" s="79"/>
    </row>
    <row r="42" spans="2:10">
      <c r="B42" s="77"/>
      <c r="C42" s="79"/>
      <c r="D42" s="78">
        <f t="shared" si="1"/>
        <v>12</v>
      </c>
      <c r="E42" s="79" t="s">
        <v>177</v>
      </c>
      <c r="F42" s="87" t="s">
        <v>444</v>
      </c>
      <c r="G42" s="87"/>
      <c r="H42" s="106"/>
      <c r="I42" s="87" t="s">
        <v>444</v>
      </c>
      <c r="J42" s="79"/>
    </row>
    <row r="43" spans="2:10">
      <c r="B43" s="77"/>
      <c r="C43" s="79"/>
      <c r="D43" s="78">
        <f t="shared" si="1"/>
        <v>13</v>
      </c>
      <c r="E43" s="79" t="s">
        <v>176</v>
      </c>
      <c r="F43" s="87" t="s">
        <v>444</v>
      </c>
      <c r="G43" s="87"/>
      <c r="H43" s="106"/>
      <c r="I43" s="87" t="s">
        <v>444</v>
      </c>
      <c r="J43" s="79"/>
    </row>
    <row r="44" spans="2:10">
      <c r="B44" s="77"/>
      <c r="C44" s="79"/>
      <c r="D44" s="78">
        <f t="shared" si="1"/>
        <v>14</v>
      </c>
      <c r="E44" s="79" t="s">
        <v>172</v>
      </c>
      <c r="F44" s="87" t="s">
        <v>444</v>
      </c>
      <c r="G44" s="87"/>
      <c r="H44" s="106"/>
      <c r="I44" s="87" t="s">
        <v>444</v>
      </c>
      <c r="J44" s="79"/>
    </row>
    <row r="45" spans="2:10">
      <c r="B45" s="77"/>
      <c r="C45" s="79"/>
      <c r="D45" s="78">
        <f t="shared" si="1"/>
        <v>15</v>
      </c>
      <c r="E45" s="79" t="s">
        <v>175</v>
      </c>
      <c r="F45" s="87" t="s">
        <v>444</v>
      </c>
      <c r="G45" s="87"/>
      <c r="H45" s="106"/>
      <c r="I45" s="87" t="s">
        <v>444</v>
      </c>
      <c r="J45" s="79"/>
    </row>
    <row r="46" spans="2:10">
      <c r="B46" s="77"/>
      <c r="C46" s="79"/>
      <c r="D46" s="78"/>
      <c r="E46" s="79"/>
      <c r="F46" s="87"/>
      <c r="G46" s="87"/>
      <c r="H46" s="105"/>
      <c r="I46" s="105"/>
      <c r="J46" s="79"/>
    </row>
    <row r="47" spans="2:10">
      <c r="B47" s="77">
        <v>3</v>
      </c>
      <c r="C47" s="88" t="s">
        <v>92</v>
      </c>
      <c r="D47" s="78">
        <v>1</v>
      </c>
      <c r="E47" s="79" t="s">
        <v>178</v>
      </c>
      <c r="F47" s="87" t="s">
        <v>444</v>
      </c>
      <c r="G47" s="79"/>
      <c r="H47" s="105" t="s">
        <v>444</v>
      </c>
      <c r="I47" s="87" t="s">
        <v>444</v>
      </c>
      <c r="J47" s="79"/>
    </row>
    <row r="48" spans="2:10">
      <c r="B48" s="77"/>
      <c r="C48" s="79" t="s">
        <v>456</v>
      </c>
      <c r="D48" s="78">
        <v>2</v>
      </c>
      <c r="E48" s="79" t="s">
        <v>183</v>
      </c>
      <c r="F48" s="87" t="s">
        <v>444</v>
      </c>
      <c r="G48" s="79"/>
      <c r="H48" s="105" t="s">
        <v>444</v>
      </c>
      <c r="I48" s="87" t="s">
        <v>444</v>
      </c>
      <c r="J48" s="79"/>
    </row>
    <row r="49" spans="2:10">
      <c r="B49" s="77"/>
      <c r="C49" s="79"/>
      <c r="D49" s="78">
        <v>3</v>
      </c>
      <c r="E49" s="79" t="s">
        <v>184</v>
      </c>
      <c r="F49" s="87" t="s">
        <v>444</v>
      </c>
      <c r="G49" s="79"/>
      <c r="H49" s="105" t="s">
        <v>444</v>
      </c>
      <c r="I49" s="87" t="s">
        <v>444</v>
      </c>
      <c r="J49" s="79"/>
    </row>
    <row r="50" spans="2:10">
      <c r="B50" s="77"/>
      <c r="C50" s="79"/>
      <c r="D50" s="78">
        <v>4</v>
      </c>
      <c r="E50" s="268" t="s">
        <v>185</v>
      </c>
      <c r="F50" s="87" t="s">
        <v>444</v>
      </c>
      <c r="G50" s="79"/>
      <c r="H50" s="105" t="s">
        <v>444</v>
      </c>
      <c r="I50" s="87" t="s">
        <v>444</v>
      </c>
      <c r="J50" s="79"/>
    </row>
    <row r="51" spans="2:10">
      <c r="B51" s="77"/>
      <c r="C51" s="79"/>
      <c r="D51" s="78">
        <v>5</v>
      </c>
      <c r="E51" s="268" t="s">
        <v>186</v>
      </c>
      <c r="F51" s="87" t="s">
        <v>444</v>
      </c>
      <c r="G51" s="79"/>
      <c r="H51" s="105" t="s">
        <v>444</v>
      </c>
      <c r="I51" s="87" t="s">
        <v>444</v>
      </c>
      <c r="J51" s="79"/>
    </row>
    <row r="52" spans="2:10">
      <c r="B52" s="77"/>
      <c r="C52" s="79"/>
      <c r="D52" s="78">
        <v>6</v>
      </c>
      <c r="E52" s="268" t="s">
        <v>187</v>
      </c>
      <c r="F52" s="87" t="s">
        <v>444</v>
      </c>
      <c r="G52" s="79"/>
      <c r="H52" s="105" t="s">
        <v>444</v>
      </c>
      <c r="I52" s="87" t="s">
        <v>444</v>
      </c>
      <c r="J52" s="79"/>
    </row>
    <row r="53" spans="2:10">
      <c r="B53" s="77"/>
      <c r="C53" s="79"/>
      <c r="D53" s="78">
        <v>7</v>
      </c>
      <c r="E53" s="268" t="s">
        <v>188</v>
      </c>
      <c r="F53" s="87" t="s">
        <v>444</v>
      </c>
      <c r="G53" s="79"/>
      <c r="H53" s="105" t="s">
        <v>444</v>
      </c>
      <c r="I53" s="87" t="s">
        <v>444</v>
      </c>
      <c r="J53" s="79"/>
    </row>
    <row r="54" spans="2:10">
      <c r="B54" s="77"/>
      <c r="C54" s="79"/>
      <c r="D54" s="78">
        <v>8</v>
      </c>
      <c r="E54" s="268" t="s">
        <v>189</v>
      </c>
      <c r="F54" s="87" t="s">
        <v>444</v>
      </c>
      <c r="G54" s="79"/>
      <c r="H54" s="106"/>
      <c r="I54" s="87" t="s">
        <v>444</v>
      </c>
      <c r="J54" s="79"/>
    </row>
    <row r="55" spans="2:10">
      <c r="B55" s="77"/>
      <c r="C55" s="79"/>
      <c r="D55" s="78">
        <v>9</v>
      </c>
      <c r="E55" s="269" t="s">
        <v>190</v>
      </c>
      <c r="F55" s="87" t="s">
        <v>444</v>
      </c>
      <c r="G55" s="79"/>
      <c r="H55" s="105"/>
      <c r="I55" s="87" t="s">
        <v>444</v>
      </c>
      <c r="J55" s="79"/>
    </row>
    <row r="56" spans="2:10">
      <c r="B56" s="77"/>
      <c r="C56" s="79"/>
      <c r="D56" s="78">
        <v>10</v>
      </c>
      <c r="E56" s="268" t="s">
        <v>179</v>
      </c>
      <c r="F56" s="87" t="s">
        <v>444</v>
      </c>
      <c r="G56" s="79"/>
      <c r="H56" s="105" t="s">
        <v>444</v>
      </c>
      <c r="I56" s="87" t="s">
        <v>444</v>
      </c>
      <c r="J56" s="79"/>
    </row>
    <row r="57" spans="2:10">
      <c r="B57" s="77"/>
      <c r="C57" s="79"/>
      <c r="D57" s="78">
        <v>11</v>
      </c>
      <c r="E57" s="268" t="s">
        <v>180</v>
      </c>
      <c r="F57" s="87" t="s">
        <v>444</v>
      </c>
      <c r="G57" s="79"/>
      <c r="H57" s="105" t="s">
        <v>444</v>
      </c>
      <c r="I57" s="87" t="s">
        <v>444</v>
      </c>
      <c r="J57" s="79"/>
    </row>
    <row r="58" spans="2:10">
      <c r="B58" s="77"/>
      <c r="C58" s="79"/>
      <c r="D58" s="78">
        <v>12</v>
      </c>
      <c r="E58" s="268" t="s">
        <v>181</v>
      </c>
      <c r="F58" s="87" t="s">
        <v>444</v>
      </c>
      <c r="G58" s="79"/>
      <c r="H58" s="106"/>
      <c r="I58" s="87" t="s">
        <v>444</v>
      </c>
      <c r="J58" s="79"/>
    </row>
    <row r="59" spans="2:10">
      <c r="B59" s="77"/>
      <c r="C59" s="79"/>
      <c r="D59" s="78">
        <v>13</v>
      </c>
      <c r="E59" s="268" t="s">
        <v>182</v>
      </c>
      <c r="F59" s="87" t="s">
        <v>444</v>
      </c>
      <c r="G59" s="79"/>
      <c r="H59" s="105" t="s">
        <v>444</v>
      </c>
      <c r="I59" s="87" t="s">
        <v>444</v>
      </c>
      <c r="J59" s="79"/>
    </row>
    <row r="60" spans="2:10">
      <c r="B60" s="77"/>
      <c r="C60" s="79"/>
      <c r="D60" s="78">
        <v>14</v>
      </c>
      <c r="E60" s="268" t="s">
        <v>191</v>
      </c>
      <c r="F60" s="87" t="s">
        <v>444</v>
      </c>
      <c r="G60" s="79"/>
      <c r="H60" s="106"/>
      <c r="I60" s="87" t="s">
        <v>444</v>
      </c>
      <c r="J60" s="79"/>
    </row>
    <row r="61" spans="2:10">
      <c r="B61" s="77"/>
      <c r="C61" s="79"/>
      <c r="D61" s="78">
        <v>15</v>
      </c>
      <c r="E61" s="268" t="s">
        <v>192</v>
      </c>
      <c r="F61" s="87" t="s">
        <v>444</v>
      </c>
      <c r="G61" s="94"/>
      <c r="H61" s="105" t="s">
        <v>444</v>
      </c>
      <c r="I61" s="87" t="s">
        <v>444</v>
      </c>
      <c r="J61" s="79"/>
    </row>
    <row r="62" spans="2:10" ht="15" customHeight="1">
      <c r="B62" s="77"/>
      <c r="C62" s="79"/>
      <c r="D62" s="78">
        <v>16</v>
      </c>
      <c r="E62" s="268" t="s">
        <v>193</v>
      </c>
      <c r="F62" s="87" t="s">
        <v>444</v>
      </c>
      <c r="G62" s="87"/>
      <c r="H62" s="105" t="s">
        <v>444</v>
      </c>
      <c r="I62" s="87" t="s">
        <v>444</v>
      </c>
      <c r="J62" s="79"/>
    </row>
    <row r="63" spans="2:10">
      <c r="B63" s="77"/>
      <c r="C63" s="79"/>
      <c r="D63" s="78">
        <v>17</v>
      </c>
      <c r="E63" s="268" t="s">
        <v>194</v>
      </c>
      <c r="F63" s="87" t="s">
        <v>444</v>
      </c>
      <c r="G63" s="87"/>
      <c r="H63" s="105"/>
      <c r="I63" s="87" t="s">
        <v>444</v>
      </c>
      <c r="J63" s="79"/>
    </row>
    <row r="64" spans="2:10">
      <c r="B64" s="77"/>
      <c r="C64" s="79"/>
      <c r="D64" s="78">
        <v>18</v>
      </c>
      <c r="E64" s="268" t="s">
        <v>195</v>
      </c>
      <c r="F64" s="87" t="s">
        <v>444</v>
      </c>
      <c r="G64" s="87"/>
      <c r="H64" s="105" t="s">
        <v>444</v>
      </c>
      <c r="I64" s="87" t="s">
        <v>444</v>
      </c>
      <c r="J64" s="79"/>
    </row>
    <row r="65" spans="2:10">
      <c r="B65" s="77"/>
      <c r="C65" s="79"/>
      <c r="D65" s="78">
        <v>19</v>
      </c>
      <c r="E65" s="268" t="s">
        <v>196</v>
      </c>
      <c r="F65" s="87" t="s">
        <v>444</v>
      </c>
      <c r="G65" s="87"/>
      <c r="H65" s="106"/>
      <c r="I65" s="87" t="s">
        <v>444</v>
      </c>
      <c r="J65" s="79"/>
    </row>
    <row r="66" spans="2:10">
      <c r="B66" s="77"/>
      <c r="C66" s="79"/>
      <c r="D66" s="78">
        <v>20</v>
      </c>
      <c r="E66" s="268" t="s">
        <v>197</v>
      </c>
      <c r="F66" s="87" t="s">
        <v>444</v>
      </c>
      <c r="G66" s="87"/>
      <c r="H66" s="105" t="s">
        <v>444</v>
      </c>
      <c r="I66" s="87" t="s">
        <v>444</v>
      </c>
      <c r="J66" s="79"/>
    </row>
    <row r="67" spans="2:10">
      <c r="B67" s="77"/>
      <c r="C67" s="79"/>
      <c r="D67" s="78">
        <v>21</v>
      </c>
      <c r="E67" s="268" t="s">
        <v>198</v>
      </c>
      <c r="F67" s="87" t="s">
        <v>444</v>
      </c>
      <c r="G67" s="87"/>
      <c r="H67" s="106"/>
      <c r="I67" s="87" t="s">
        <v>444</v>
      </c>
      <c r="J67" s="79"/>
    </row>
    <row r="68" spans="2:10">
      <c r="B68" s="77"/>
      <c r="C68" s="79"/>
      <c r="D68" s="78">
        <v>22</v>
      </c>
      <c r="E68" s="268" t="s">
        <v>199</v>
      </c>
      <c r="F68" s="87" t="s">
        <v>444</v>
      </c>
      <c r="G68" s="87"/>
      <c r="H68" s="106"/>
      <c r="I68" s="87" t="s">
        <v>444</v>
      </c>
      <c r="J68" s="79"/>
    </row>
    <row r="69" spans="2:10">
      <c r="B69" s="77"/>
      <c r="C69" s="79"/>
      <c r="D69" s="78">
        <v>23</v>
      </c>
      <c r="E69" s="268" t="s">
        <v>200</v>
      </c>
      <c r="F69" s="87" t="s">
        <v>444</v>
      </c>
      <c r="G69" s="87"/>
      <c r="H69" s="106"/>
      <c r="I69" s="87" t="s">
        <v>444</v>
      </c>
      <c r="J69" s="79"/>
    </row>
    <row r="70" spans="2:10">
      <c r="B70" s="77"/>
      <c r="C70" s="79"/>
      <c r="D70" s="78">
        <v>24</v>
      </c>
      <c r="E70" s="268" t="s">
        <v>201</v>
      </c>
      <c r="F70" s="87" t="s">
        <v>444</v>
      </c>
      <c r="G70" s="87"/>
      <c r="H70" s="106"/>
      <c r="I70" s="87" t="s">
        <v>444</v>
      </c>
      <c r="J70" s="79"/>
    </row>
    <row r="71" spans="2:10">
      <c r="B71" s="77"/>
      <c r="C71" s="79"/>
      <c r="D71" s="78"/>
      <c r="E71" s="268"/>
      <c r="F71" s="87"/>
      <c r="G71" s="87"/>
      <c r="H71" s="106"/>
      <c r="I71" s="106"/>
      <c r="J71" s="79"/>
    </row>
    <row r="72" spans="2:10">
      <c r="B72" s="77">
        <v>4</v>
      </c>
      <c r="C72" s="88" t="s">
        <v>93</v>
      </c>
      <c r="D72" s="78">
        <v>1</v>
      </c>
      <c r="E72" s="268" t="s">
        <v>94</v>
      </c>
      <c r="F72" s="87" t="s">
        <v>444</v>
      </c>
      <c r="G72" s="79"/>
      <c r="H72" s="106"/>
      <c r="I72" s="87" t="s">
        <v>444</v>
      </c>
      <c r="J72" s="79"/>
    </row>
    <row r="73" spans="2:10">
      <c r="B73" s="77"/>
      <c r="C73" s="79" t="s">
        <v>457</v>
      </c>
      <c r="D73" s="78">
        <v>2</v>
      </c>
      <c r="E73" s="268" t="s">
        <v>95</v>
      </c>
      <c r="F73" s="87" t="s">
        <v>444</v>
      </c>
      <c r="G73" s="79"/>
      <c r="H73" s="105" t="s">
        <v>444</v>
      </c>
      <c r="I73" s="87" t="s">
        <v>444</v>
      </c>
      <c r="J73" s="79"/>
    </row>
    <row r="74" spans="2:10">
      <c r="B74" s="77"/>
      <c r="C74" s="79"/>
      <c r="D74" s="78">
        <v>3</v>
      </c>
      <c r="E74" s="79" t="s">
        <v>96</v>
      </c>
      <c r="F74" s="87" t="s">
        <v>444</v>
      </c>
      <c r="G74" s="79"/>
      <c r="H74" s="105" t="s">
        <v>444</v>
      </c>
      <c r="I74" s="87" t="s">
        <v>444</v>
      </c>
      <c r="J74" s="79"/>
    </row>
    <row r="75" spans="2:10">
      <c r="B75" s="77"/>
      <c r="C75" s="79"/>
      <c r="D75" s="78">
        <v>4</v>
      </c>
      <c r="E75" s="79" t="s">
        <v>97</v>
      </c>
      <c r="F75" s="87" t="s">
        <v>444</v>
      </c>
      <c r="G75" s="79"/>
      <c r="H75" s="105" t="s">
        <v>444</v>
      </c>
      <c r="I75" s="87" t="s">
        <v>444</v>
      </c>
      <c r="J75" s="79"/>
    </row>
    <row r="76" spans="2:10">
      <c r="B76" s="77"/>
      <c r="C76" s="79"/>
      <c r="D76" s="78">
        <v>5</v>
      </c>
      <c r="E76" s="79" t="s">
        <v>98</v>
      </c>
      <c r="F76" s="87" t="s">
        <v>444</v>
      </c>
      <c r="G76" s="79"/>
      <c r="H76" s="105" t="s">
        <v>444</v>
      </c>
      <c r="I76" s="87" t="s">
        <v>444</v>
      </c>
      <c r="J76" s="79"/>
    </row>
    <row r="77" spans="2:10">
      <c r="B77" s="77"/>
      <c r="C77" s="79"/>
      <c r="D77" s="78">
        <v>6</v>
      </c>
      <c r="E77" s="79" t="s">
        <v>99</v>
      </c>
      <c r="F77" s="87" t="s">
        <v>444</v>
      </c>
      <c r="G77" s="79"/>
      <c r="H77" s="105" t="s">
        <v>444</v>
      </c>
      <c r="I77" s="87" t="s">
        <v>444</v>
      </c>
      <c r="J77" s="79"/>
    </row>
    <row r="78" spans="2:10">
      <c r="B78" s="77"/>
      <c r="C78" s="79"/>
      <c r="D78" s="78">
        <v>7</v>
      </c>
      <c r="E78" s="79" t="s">
        <v>100</v>
      </c>
      <c r="F78" s="87" t="s">
        <v>444</v>
      </c>
      <c r="G78" s="79"/>
      <c r="H78" s="105" t="s">
        <v>444</v>
      </c>
      <c r="I78" s="87" t="s">
        <v>444</v>
      </c>
      <c r="J78" s="79"/>
    </row>
    <row r="79" spans="2:10">
      <c r="B79" s="77"/>
      <c r="C79" s="79"/>
      <c r="D79" s="78">
        <v>8</v>
      </c>
      <c r="E79" s="79" t="s">
        <v>101</v>
      </c>
      <c r="F79" s="87" t="s">
        <v>444</v>
      </c>
      <c r="G79" s="79"/>
      <c r="H79" s="106"/>
      <c r="I79" s="87" t="s">
        <v>444</v>
      </c>
      <c r="J79" s="79"/>
    </row>
    <row r="80" spans="2:10">
      <c r="B80" s="77"/>
      <c r="C80" s="79"/>
      <c r="D80" s="78">
        <v>9</v>
      </c>
      <c r="E80" s="79" t="s">
        <v>102</v>
      </c>
      <c r="F80" s="87" t="s">
        <v>444</v>
      </c>
      <c r="G80" s="79"/>
      <c r="H80" s="105" t="s">
        <v>444</v>
      </c>
      <c r="I80" s="87" t="s">
        <v>444</v>
      </c>
      <c r="J80" s="79"/>
    </row>
    <row r="81" spans="2:10">
      <c r="B81" s="77"/>
      <c r="C81" s="79"/>
      <c r="D81" s="78">
        <v>10</v>
      </c>
      <c r="E81" s="79" t="s">
        <v>103</v>
      </c>
      <c r="F81" s="87" t="s">
        <v>444</v>
      </c>
      <c r="G81" s="79"/>
      <c r="H81" s="105" t="s">
        <v>444</v>
      </c>
      <c r="I81" s="87" t="s">
        <v>444</v>
      </c>
      <c r="J81" s="79"/>
    </row>
    <row r="82" spans="2:10">
      <c r="B82" s="77"/>
      <c r="C82" s="79"/>
      <c r="D82" s="78">
        <v>11</v>
      </c>
      <c r="E82" s="79" t="s">
        <v>104</v>
      </c>
      <c r="F82" s="87" t="s">
        <v>444</v>
      </c>
      <c r="G82" s="79"/>
      <c r="H82" s="105" t="s">
        <v>444</v>
      </c>
      <c r="I82" s="87" t="s">
        <v>444</v>
      </c>
      <c r="J82" s="79"/>
    </row>
    <row r="83" spans="2:10">
      <c r="B83" s="77"/>
      <c r="C83" s="79"/>
      <c r="D83" s="78">
        <v>12</v>
      </c>
      <c r="E83" s="79" t="s">
        <v>105</v>
      </c>
      <c r="F83" s="87" t="s">
        <v>444</v>
      </c>
      <c r="G83" s="94"/>
      <c r="H83" s="105" t="s">
        <v>444</v>
      </c>
      <c r="I83" s="87" t="s">
        <v>444</v>
      </c>
      <c r="J83" s="79"/>
    </row>
    <row r="84" spans="2:10">
      <c r="B84" s="77"/>
      <c r="C84" s="79"/>
      <c r="D84" s="78">
        <v>13</v>
      </c>
      <c r="E84" s="79" t="s">
        <v>106</v>
      </c>
      <c r="F84" s="87" t="s">
        <v>444</v>
      </c>
      <c r="G84" s="87"/>
      <c r="H84" s="106"/>
      <c r="I84" s="87" t="s">
        <v>444</v>
      </c>
      <c r="J84" s="79"/>
    </row>
    <row r="85" spans="2:10">
      <c r="B85" s="77"/>
      <c r="C85" s="79"/>
      <c r="D85" s="78">
        <v>14</v>
      </c>
      <c r="E85" s="79" t="s">
        <v>107</v>
      </c>
      <c r="F85" s="87" t="s">
        <v>444</v>
      </c>
      <c r="G85" s="87"/>
      <c r="H85" s="105" t="s">
        <v>444</v>
      </c>
      <c r="I85" s="87" t="s">
        <v>444</v>
      </c>
      <c r="J85" s="79"/>
    </row>
    <row r="86" spans="2:10">
      <c r="B86" s="77"/>
      <c r="C86" s="79"/>
      <c r="D86" s="78"/>
      <c r="E86" s="79"/>
      <c r="F86" s="87"/>
      <c r="G86" s="87"/>
      <c r="H86" s="106"/>
      <c r="I86" s="106"/>
      <c r="J86" s="79"/>
    </row>
    <row r="87" spans="2:10">
      <c r="B87" s="77">
        <v>5</v>
      </c>
      <c r="C87" s="88" t="str">
        <f>'[1]Lamp_1 (Konstruksi 1-199)'!$D$531</f>
        <v>PEKERJAAN DINDING</v>
      </c>
      <c r="D87" s="78">
        <v>1</v>
      </c>
      <c r="E87" s="79" t="s">
        <v>450</v>
      </c>
      <c r="F87" s="87" t="s">
        <v>444</v>
      </c>
      <c r="G87" s="79"/>
      <c r="H87" s="105" t="s">
        <v>444</v>
      </c>
      <c r="I87" s="87" t="s">
        <v>444</v>
      </c>
      <c r="J87" s="79"/>
    </row>
    <row r="88" spans="2:10">
      <c r="B88" s="77"/>
      <c r="C88" s="79" t="s">
        <v>459</v>
      </c>
      <c r="D88" s="78">
        <v>2</v>
      </c>
      <c r="E88" s="79" t="s">
        <v>108</v>
      </c>
      <c r="F88" s="87" t="s">
        <v>444</v>
      </c>
      <c r="G88" s="79"/>
      <c r="H88" s="105" t="s">
        <v>444</v>
      </c>
      <c r="I88" s="87" t="s">
        <v>444</v>
      </c>
      <c r="J88" s="79"/>
    </row>
    <row r="89" spans="2:10">
      <c r="B89" s="77"/>
      <c r="C89" s="79"/>
      <c r="D89" s="78">
        <v>3</v>
      </c>
      <c r="E89" s="79" t="s">
        <v>109</v>
      </c>
      <c r="F89" s="87" t="s">
        <v>444</v>
      </c>
      <c r="G89" s="79"/>
      <c r="H89" s="105" t="s">
        <v>444</v>
      </c>
      <c r="I89" s="87" t="s">
        <v>444</v>
      </c>
      <c r="J89" s="79"/>
    </row>
    <row r="90" spans="2:10">
      <c r="B90" s="77"/>
      <c r="C90" s="79"/>
      <c r="D90" s="78">
        <v>4</v>
      </c>
      <c r="E90" s="79" t="s">
        <v>110</v>
      </c>
      <c r="F90" s="87" t="s">
        <v>444</v>
      </c>
      <c r="G90" s="79"/>
      <c r="H90" s="105" t="s">
        <v>444</v>
      </c>
      <c r="I90" s="87" t="s">
        <v>444</v>
      </c>
      <c r="J90" s="79"/>
    </row>
    <row r="91" spans="2:10">
      <c r="B91" s="77"/>
      <c r="C91" s="79"/>
      <c r="D91" s="78">
        <v>5</v>
      </c>
      <c r="E91" s="79" t="s">
        <v>111</v>
      </c>
      <c r="F91" s="87" t="s">
        <v>444</v>
      </c>
      <c r="G91" s="79"/>
      <c r="H91" s="105" t="s">
        <v>444</v>
      </c>
      <c r="I91" s="87" t="s">
        <v>444</v>
      </c>
      <c r="J91" s="79"/>
    </row>
    <row r="92" spans="2:10">
      <c r="B92" s="77"/>
      <c r="C92" s="79"/>
      <c r="D92" s="78">
        <v>6</v>
      </c>
      <c r="E92" s="79" t="s">
        <v>112</v>
      </c>
      <c r="F92" s="87" t="s">
        <v>444</v>
      </c>
      <c r="G92" s="79"/>
      <c r="H92" s="105" t="s">
        <v>444</v>
      </c>
      <c r="I92" s="87" t="s">
        <v>444</v>
      </c>
      <c r="J92" s="79"/>
    </row>
    <row r="93" spans="2:10">
      <c r="B93" s="77"/>
      <c r="C93" s="79"/>
      <c r="D93" s="78">
        <v>7</v>
      </c>
      <c r="E93" s="79" t="s">
        <v>113</v>
      </c>
      <c r="F93" s="87" t="s">
        <v>444</v>
      </c>
      <c r="G93" s="79"/>
      <c r="H93" s="105" t="s">
        <v>444</v>
      </c>
      <c r="I93" s="87" t="s">
        <v>444</v>
      </c>
      <c r="J93" s="79"/>
    </row>
    <row r="94" spans="2:10">
      <c r="B94" s="77"/>
      <c r="C94" s="79"/>
      <c r="D94" s="78">
        <v>8</v>
      </c>
      <c r="E94" s="79" t="s">
        <v>114</v>
      </c>
      <c r="F94" s="87" t="s">
        <v>444</v>
      </c>
      <c r="G94" s="79"/>
      <c r="H94" s="105" t="s">
        <v>444</v>
      </c>
      <c r="I94" s="87" t="s">
        <v>444</v>
      </c>
      <c r="J94" s="79"/>
    </row>
    <row r="95" spans="2:10">
      <c r="B95" s="77"/>
      <c r="C95" s="79"/>
      <c r="D95" s="78">
        <v>9</v>
      </c>
      <c r="E95" s="79" t="s">
        <v>115</v>
      </c>
      <c r="F95" s="87" t="s">
        <v>444</v>
      </c>
      <c r="G95" s="79"/>
      <c r="H95" s="105" t="s">
        <v>444</v>
      </c>
      <c r="I95" s="87" t="s">
        <v>444</v>
      </c>
      <c r="J95" s="79"/>
    </row>
    <row r="96" spans="2:10">
      <c r="B96" s="77"/>
      <c r="C96" s="79"/>
      <c r="D96" s="78">
        <v>10</v>
      </c>
      <c r="E96" s="79" t="s">
        <v>116</v>
      </c>
      <c r="F96" s="87" t="s">
        <v>444</v>
      </c>
      <c r="G96" s="79"/>
      <c r="H96" s="105" t="s">
        <v>444</v>
      </c>
      <c r="I96" s="87" t="s">
        <v>444</v>
      </c>
      <c r="J96" s="79"/>
    </row>
    <row r="97" spans="2:10">
      <c r="B97" s="77"/>
      <c r="C97" s="79"/>
      <c r="D97" s="78">
        <v>11</v>
      </c>
      <c r="E97" s="79" t="s">
        <v>117</v>
      </c>
      <c r="F97" s="87" t="s">
        <v>444</v>
      </c>
      <c r="G97" s="79"/>
      <c r="H97" s="105" t="s">
        <v>444</v>
      </c>
      <c r="I97" s="87" t="s">
        <v>444</v>
      </c>
      <c r="J97" s="79"/>
    </row>
    <row r="98" spans="2:10">
      <c r="B98" s="77"/>
      <c r="C98" s="79"/>
      <c r="D98" s="78">
        <v>12</v>
      </c>
      <c r="E98" s="79" t="s">
        <v>451</v>
      </c>
      <c r="F98" s="87" t="s">
        <v>444</v>
      </c>
      <c r="G98" s="79"/>
      <c r="H98" s="105" t="s">
        <v>444</v>
      </c>
      <c r="I98" s="87" t="s">
        <v>444</v>
      </c>
      <c r="J98" s="79"/>
    </row>
    <row r="99" spans="2:10">
      <c r="B99" s="77"/>
      <c r="C99" s="79"/>
      <c r="D99" s="78">
        <v>13</v>
      </c>
      <c r="E99" s="79" t="s">
        <v>118</v>
      </c>
      <c r="F99" s="87" t="s">
        <v>444</v>
      </c>
      <c r="G99" s="79"/>
      <c r="H99" s="105" t="s">
        <v>444</v>
      </c>
      <c r="I99" s="87" t="s">
        <v>444</v>
      </c>
      <c r="J99" s="79"/>
    </row>
    <row r="100" spans="2:10">
      <c r="B100" s="77"/>
      <c r="C100" s="79"/>
      <c r="D100" s="78">
        <v>14</v>
      </c>
      <c r="E100" s="79" t="s">
        <v>119</v>
      </c>
      <c r="F100" s="87" t="s">
        <v>444</v>
      </c>
      <c r="G100" s="79"/>
      <c r="H100" s="105" t="s">
        <v>444</v>
      </c>
      <c r="I100" s="87" t="s">
        <v>444</v>
      </c>
      <c r="J100" s="79"/>
    </row>
    <row r="101" spans="2:10">
      <c r="B101" s="77"/>
      <c r="C101" s="79"/>
      <c r="D101" s="78">
        <v>15</v>
      </c>
      <c r="E101" s="79" t="s">
        <v>120</v>
      </c>
      <c r="F101" s="87" t="s">
        <v>444</v>
      </c>
      <c r="G101" s="79"/>
      <c r="H101" s="105" t="s">
        <v>444</v>
      </c>
      <c r="I101" s="87" t="s">
        <v>444</v>
      </c>
      <c r="J101" s="79"/>
    </row>
    <row r="102" spans="2:10">
      <c r="B102" s="77"/>
      <c r="C102" s="79"/>
      <c r="D102" s="78">
        <v>16</v>
      </c>
      <c r="E102" s="79" t="s">
        <v>121</v>
      </c>
      <c r="F102" s="87" t="s">
        <v>444</v>
      </c>
      <c r="G102" s="79"/>
      <c r="H102" s="105" t="s">
        <v>444</v>
      </c>
      <c r="I102" s="87" t="s">
        <v>444</v>
      </c>
      <c r="J102" s="79"/>
    </row>
    <row r="103" spans="2:10">
      <c r="B103" s="77"/>
      <c r="C103" s="79"/>
      <c r="D103" s="78">
        <v>17</v>
      </c>
      <c r="E103" s="79" t="s">
        <v>122</v>
      </c>
      <c r="F103" s="87" t="s">
        <v>444</v>
      </c>
      <c r="G103" s="79"/>
      <c r="H103" s="105" t="s">
        <v>444</v>
      </c>
      <c r="I103" s="87" t="s">
        <v>444</v>
      </c>
      <c r="J103" s="79"/>
    </row>
    <row r="104" spans="2:10">
      <c r="B104" s="77"/>
      <c r="C104" s="79"/>
      <c r="D104" s="78">
        <v>18</v>
      </c>
      <c r="E104" s="79" t="s">
        <v>123</v>
      </c>
      <c r="F104" s="87" t="s">
        <v>444</v>
      </c>
      <c r="G104" s="79"/>
      <c r="H104" s="105" t="s">
        <v>444</v>
      </c>
      <c r="I104" s="87" t="s">
        <v>444</v>
      </c>
      <c r="J104" s="79"/>
    </row>
    <row r="105" spans="2:10">
      <c r="B105" s="77"/>
      <c r="C105" s="79"/>
      <c r="D105" s="78">
        <v>19</v>
      </c>
      <c r="E105" s="79" t="s">
        <v>124</v>
      </c>
      <c r="F105" s="87" t="s">
        <v>444</v>
      </c>
      <c r="G105" s="79"/>
      <c r="H105" s="105" t="s">
        <v>444</v>
      </c>
      <c r="I105" s="87" t="s">
        <v>444</v>
      </c>
      <c r="J105" s="79"/>
    </row>
    <row r="106" spans="2:10">
      <c r="B106" s="77"/>
      <c r="C106" s="79"/>
      <c r="D106" s="78">
        <v>20</v>
      </c>
      <c r="E106" s="79" t="s">
        <v>125</v>
      </c>
      <c r="F106" s="87" t="s">
        <v>444</v>
      </c>
      <c r="G106" s="79"/>
      <c r="H106" s="105" t="s">
        <v>444</v>
      </c>
      <c r="I106" s="87" t="s">
        <v>444</v>
      </c>
      <c r="J106" s="79"/>
    </row>
    <row r="107" spans="2:10">
      <c r="B107" s="77"/>
      <c r="C107" s="79"/>
      <c r="D107" s="78">
        <v>21</v>
      </c>
      <c r="E107" s="79" t="s">
        <v>126</v>
      </c>
      <c r="F107" s="87" t="s">
        <v>444</v>
      </c>
      <c r="G107" s="79"/>
      <c r="H107" s="105" t="s">
        <v>444</v>
      </c>
      <c r="I107" s="87" t="s">
        <v>444</v>
      </c>
      <c r="J107" s="79"/>
    </row>
    <row r="108" spans="2:10">
      <c r="B108" s="77"/>
      <c r="C108" s="79"/>
      <c r="D108" s="78">
        <v>22</v>
      </c>
      <c r="E108" s="79" t="s">
        <v>127</v>
      </c>
      <c r="F108" s="87" t="s">
        <v>444</v>
      </c>
      <c r="G108" s="79"/>
      <c r="H108" s="106"/>
      <c r="I108" s="87" t="s">
        <v>444</v>
      </c>
      <c r="J108" s="79"/>
    </row>
    <row r="109" spans="2:10">
      <c r="B109" s="77"/>
      <c r="C109" s="79"/>
      <c r="D109" s="78">
        <v>23</v>
      </c>
      <c r="E109" s="79" t="s">
        <v>128</v>
      </c>
      <c r="F109" s="87" t="s">
        <v>444</v>
      </c>
      <c r="G109" s="79"/>
      <c r="H109" s="105"/>
      <c r="I109" s="87" t="s">
        <v>444</v>
      </c>
      <c r="J109" s="79"/>
    </row>
    <row r="110" spans="2:10">
      <c r="B110" s="77"/>
      <c r="C110" s="79"/>
      <c r="D110" s="78">
        <v>24</v>
      </c>
      <c r="E110" s="79" t="s">
        <v>129</v>
      </c>
      <c r="F110" s="87" t="s">
        <v>444</v>
      </c>
      <c r="G110" s="79"/>
      <c r="H110" s="106"/>
      <c r="I110" s="87" t="s">
        <v>444</v>
      </c>
      <c r="J110" s="79"/>
    </row>
    <row r="111" spans="2:10">
      <c r="B111" s="77"/>
      <c r="C111" s="79"/>
      <c r="D111" s="78">
        <v>25</v>
      </c>
      <c r="E111" s="79" t="s">
        <v>130</v>
      </c>
      <c r="F111" s="87" t="s">
        <v>444</v>
      </c>
      <c r="G111" s="94"/>
      <c r="H111" s="105" t="s">
        <v>444</v>
      </c>
      <c r="I111" s="87" t="s">
        <v>444</v>
      </c>
      <c r="J111" s="79"/>
    </row>
    <row r="112" spans="2:10">
      <c r="B112" s="77"/>
      <c r="C112" s="79"/>
      <c r="D112" s="78">
        <v>26</v>
      </c>
      <c r="E112" s="79" t="s">
        <v>131</v>
      </c>
      <c r="F112" s="87" t="s">
        <v>444</v>
      </c>
      <c r="G112" s="94"/>
      <c r="H112" s="105" t="s">
        <v>444</v>
      </c>
      <c r="I112" s="87" t="s">
        <v>444</v>
      </c>
      <c r="J112" s="79"/>
    </row>
    <row r="113" spans="2:10">
      <c r="B113" s="77"/>
      <c r="C113" s="79"/>
      <c r="D113" s="78">
        <v>27</v>
      </c>
      <c r="E113" s="79" t="s">
        <v>132</v>
      </c>
      <c r="F113" s="87" t="s">
        <v>444</v>
      </c>
      <c r="G113" s="94"/>
      <c r="H113" s="105" t="s">
        <v>444</v>
      </c>
      <c r="I113" s="87" t="s">
        <v>444</v>
      </c>
      <c r="J113" s="79"/>
    </row>
    <row r="114" spans="2:10">
      <c r="B114" s="77"/>
      <c r="C114" s="79"/>
      <c r="D114" s="78">
        <v>28</v>
      </c>
      <c r="E114" s="79" t="s">
        <v>133</v>
      </c>
      <c r="F114" s="87" t="s">
        <v>444</v>
      </c>
      <c r="G114" s="87"/>
      <c r="H114" s="106"/>
      <c r="I114" s="87" t="s">
        <v>444</v>
      </c>
      <c r="J114" s="79"/>
    </row>
    <row r="115" spans="2:10">
      <c r="B115" s="77"/>
      <c r="C115" s="79"/>
      <c r="D115" s="78"/>
      <c r="E115" s="79"/>
      <c r="F115" s="79"/>
      <c r="G115" s="79"/>
      <c r="H115" s="106"/>
      <c r="I115" s="106"/>
      <c r="J115" s="79"/>
    </row>
    <row r="116" spans="2:10">
      <c r="B116" s="77">
        <v>6</v>
      </c>
      <c r="C116" s="89" t="str">
        <f>'[1]Lamp_1 (Konstruksi 1-199)'!$D$815</f>
        <v>PEKERJAAN BETON</v>
      </c>
      <c r="D116" s="78">
        <v>1</v>
      </c>
      <c r="E116" s="79" t="s">
        <v>218</v>
      </c>
      <c r="F116" s="87" t="s">
        <v>444</v>
      </c>
      <c r="G116" s="79"/>
      <c r="H116" s="105" t="s">
        <v>444</v>
      </c>
      <c r="I116" s="87" t="s">
        <v>444</v>
      </c>
      <c r="J116" s="79"/>
    </row>
    <row r="117" spans="2:10">
      <c r="B117" s="77"/>
      <c r="C117" s="79" t="s">
        <v>463</v>
      </c>
      <c r="D117" s="78">
        <v>2</v>
      </c>
      <c r="E117" s="79" t="s">
        <v>219</v>
      </c>
      <c r="F117" s="87" t="s">
        <v>444</v>
      </c>
      <c r="G117" s="79"/>
      <c r="H117" s="105" t="s">
        <v>444</v>
      </c>
      <c r="I117" s="87" t="s">
        <v>444</v>
      </c>
      <c r="J117" s="79"/>
    </row>
    <row r="118" spans="2:10">
      <c r="B118" s="77"/>
      <c r="C118" s="79"/>
      <c r="D118" s="78">
        <v>3</v>
      </c>
      <c r="E118" s="79" t="s">
        <v>220</v>
      </c>
      <c r="F118" s="87" t="s">
        <v>444</v>
      </c>
      <c r="G118" s="79"/>
      <c r="H118" s="105" t="s">
        <v>444</v>
      </c>
      <c r="I118" s="87" t="s">
        <v>444</v>
      </c>
      <c r="J118" s="79"/>
    </row>
    <row r="119" spans="2:10">
      <c r="B119" s="77"/>
      <c r="C119" s="79"/>
      <c r="D119" s="78">
        <v>4</v>
      </c>
      <c r="E119" s="79" t="s">
        <v>221</v>
      </c>
      <c r="F119" s="87" t="s">
        <v>444</v>
      </c>
      <c r="G119" s="79"/>
      <c r="H119" s="105" t="s">
        <v>444</v>
      </c>
      <c r="I119" s="87" t="s">
        <v>444</v>
      </c>
      <c r="J119" s="79"/>
    </row>
    <row r="120" spans="2:10">
      <c r="B120" s="77"/>
      <c r="C120" s="79"/>
      <c r="D120" s="78">
        <v>5</v>
      </c>
      <c r="E120" s="79" t="s">
        <v>222</v>
      </c>
      <c r="F120" s="87" t="s">
        <v>444</v>
      </c>
      <c r="G120" s="79"/>
      <c r="H120" s="105" t="s">
        <v>444</v>
      </c>
      <c r="I120" s="87" t="s">
        <v>444</v>
      </c>
      <c r="J120" s="79"/>
    </row>
    <row r="121" spans="2:10">
      <c r="B121" s="77"/>
      <c r="C121" s="79"/>
      <c r="D121" s="78">
        <v>6</v>
      </c>
      <c r="E121" s="79" t="s">
        <v>223</v>
      </c>
      <c r="F121" s="87" t="s">
        <v>444</v>
      </c>
      <c r="G121" s="79"/>
      <c r="H121" s="105" t="s">
        <v>444</v>
      </c>
      <c r="I121" s="87" t="s">
        <v>444</v>
      </c>
      <c r="J121" s="79"/>
    </row>
    <row r="122" spans="2:10">
      <c r="B122" s="77"/>
      <c r="C122" s="79"/>
      <c r="D122" s="78">
        <v>7</v>
      </c>
      <c r="E122" s="79" t="s">
        <v>224</v>
      </c>
      <c r="F122" s="87" t="s">
        <v>444</v>
      </c>
      <c r="G122" s="79"/>
      <c r="H122" s="105" t="s">
        <v>444</v>
      </c>
      <c r="I122" s="87" t="s">
        <v>444</v>
      </c>
      <c r="J122" s="79"/>
    </row>
    <row r="123" spans="2:10">
      <c r="B123" s="77"/>
      <c r="C123" s="79"/>
      <c r="D123" s="78">
        <v>8</v>
      </c>
      <c r="E123" s="79" t="s">
        <v>225</v>
      </c>
      <c r="F123" s="87" t="s">
        <v>444</v>
      </c>
      <c r="G123" s="79"/>
      <c r="H123" s="105" t="s">
        <v>444</v>
      </c>
      <c r="I123" s="87" t="s">
        <v>444</v>
      </c>
      <c r="J123" s="79"/>
    </row>
    <row r="124" spans="2:10">
      <c r="B124" s="77"/>
      <c r="C124" s="79"/>
      <c r="D124" s="78">
        <v>9</v>
      </c>
      <c r="E124" s="79" t="s">
        <v>226</v>
      </c>
      <c r="F124" s="87" t="s">
        <v>444</v>
      </c>
      <c r="G124" s="79"/>
      <c r="H124" s="105" t="s">
        <v>444</v>
      </c>
      <c r="I124" s="87" t="s">
        <v>444</v>
      </c>
      <c r="J124" s="79"/>
    </row>
    <row r="125" spans="2:10">
      <c r="B125" s="77"/>
      <c r="C125" s="79"/>
      <c r="D125" s="78">
        <v>10</v>
      </c>
      <c r="E125" s="79" t="s">
        <v>227</v>
      </c>
      <c r="F125" s="87" t="s">
        <v>444</v>
      </c>
      <c r="G125" s="79"/>
      <c r="H125" s="105" t="s">
        <v>444</v>
      </c>
      <c r="I125" s="87" t="s">
        <v>444</v>
      </c>
      <c r="J125" s="79"/>
    </row>
    <row r="126" spans="2:10">
      <c r="B126" s="77"/>
      <c r="C126" s="79"/>
      <c r="D126" s="78">
        <v>11</v>
      </c>
      <c r="E126" s="79" t="s">
        <v>228</v>
      </c>
      <c r="F126" s="87" t="s">
        <v>444</v>
      </c>
      <c r="G126" s="79"/>
      <c r="H126" s="105" t="s">
        <v>444</v>
      </c>
      <c r="I126" s="87" t="s">
        <v>444</v>
      </c>
      <c r="J126" s="79"/>
    </row>
    <row r="127" spans="2:10">
      <c r="B127" s="77"/>
      <c r="C127" s="79"/>
      <c r="D127" s="78">
        <v>12</v>
      </c>
      <c r="E127" s="79" t="s">
        <v>229</v>
      </c>
      <c r="F127" s="87" t="s">
        <v>444</v>
      </c>
      <c r="G127" s="79"/>
      <c r="H127" s="105" t="s">
        <v>444</v>
      </c>
      <c r="I127" s="87" t="s">
        <v>444</v>
      </c>
      <c r="J127" s="79"/>
    </row>
    <row r="128" spans="2:10">
      <c r="B128" s="77"/>
      <c r="C128" s="79"/>
      <c r="D128" s="78">
        <v>13</v>
      </c>
      <c r="E128" s="79" t="s">
        <v>230</v>
      </c>
      <c r="F128" s="87" t="s">
        <v>444</v>
      </c>
      <c r="G128" s="79"/>
      <c r="H128" s="105" t="s">
        <v>444</v>
      </c>
      <c r="I128" s="87" t="s">
        <v>444</v>
      </c>
      <c r="J128" s="79"/>
    </row>
    <row r="129" spans="2:10">
      <c r="B129" s="77"/>
      <c r="C129" s="79"/>
      <c r="D129" s="78">
        <v>14</v>
      </c>
      <c r="E129" s="79" t="s">
        <v>231</v>
      </c>
      <c r="F129" s="87" t="s">
        <v>444</v>
      </c>
      <c r="G129" s="79"/>
      <c r="H129" s="105" t="s">
        <v>444</v>
      </c>
      <c r="I129" s="87" t="s">
        <v>444</v>
      </c>
      <c r="J129" s="79"/>
    </row>
    <row r="130" spans="2:10">
      <c r="B130" s="77"/>
      <c r="C130" s="79"/>
      <c r="D130" s="78">
        <v>15</v>
      </c>
      <c r="E130" s="79" t="s">
        <v>232</v>
      </c>
      <c r="F130" s="87" t="s">
        <v>444</v>
      </c>
      <c r="G130" s="79"/>
      <c r="H130" s="105" t="s">
        <v>444</v>
      </c>
      <c r="I130" s="87" t="s">
        <v>444</v>
      </c>
      <c r="J130" s="79"/>
    </row>
    <row r="131" spans="2:10">
      <c r="B131" s="77"/>
      <c r="C131" s="79"/>
      <c r="D131" s="78">
        <v>16</v>
      </c>
      <c r="E131" s="79" t="s">
        <v>233</v>
      </c>
      <c r="F131" s="87" t="s">
        <v>444</v>
      </c>
      <c r="G131" s="79"/>
      <c r="H131" s="105" t="s">
        <v>444</v>
      </c>
      <c r="I131" s="87" t="s">
        <v>444</v>
      </c>
      <c r="J131" s="79"/>
    </row>
    <row r="132" spans="2:10">
      <c r="B132" s="77"/>
      <c r="C132" s="79"/>
      <c r="D132" s="78">
        <v>17</v>
      </c>
      <c r="E132" s="79" t="s">
        <v>234</v>
      </c>
      <c r="F132" s="87" t="s">
        <v>444</v>
      </c>
      <c r="G132" s="79"/>
      <c r="H132" s="105" t="s">
        <v>444</v>
      </c>
      <c r="I132" s="87" t="s">
        <v>444</v>
      </c>
      <c r="J132" s="79"/>
    </row>
    <row r="133" spans="2:10">
      <c r="B133" s="77"/>
      <c r="C133" s="79"/>
      <c r="D133" s="78">
        <v>18</v>
      </c>
      <c r="E133" s="79" t="s">
        <v>235</v>
      </c>
      <c r="F133" s="87" t="s">
        <v>444</v>
      </c>
      <c r="G133" s="79"/>
      <c r="H133" s="105" t="s">
        <v>444</v>
      </c>
      <c r="I133" s="87" t="s">
        <v>444</v>
      </c>
      <c r="J133" s="79"/>
    </row>
    <row r="134" spans="2:10">
      <c r="B134" s="77"/>
      <c r="C134" s="79"/>
      <c r="D134" s="78">
        <v>19</v>
      </c>
      <c r="E134" s="79" t="s">
        <v>236</v>
      </c>
      <c r="F134" s="87" t="s">
        <v>444</v>
      </c>
      <c r="G134" s="79"/>
      <c r="H134" s="105" t="s">
        <v>444</v>
      </c>
      <c r="I134" s="87" t="s">
        <v>444</v>
      </c>
      <c r="J134" s="79"/>
    </row>
    <row r="135" spans="2:10">
      <c r="B135" s="77"/>
      <c r="C135" s="79"/>
      <c r="D135" s="78">
        <v>20</v>
      </c>
      <c r="E135" s="79" t="s">
        <v>237</v>
      </c>
      <c r="F135" s="87" t="s">
        <v>444</v>
      </c>
      <c r="G135" s="79"/>
      <c r="H135" s="105" t="s">
        <v>444</v>
      </c>
      <c r="I135" s="87" t="s">
        <v>444</v>
      </c>
      <c r="J135" s="79"/>
    </row>
    <row r="136" spans="2:10">
      <c r="B136" s="77"/>
      <c r="C136" s="79"/>
      <c r="D136" s="78">
        <v>21</v>
      </c>
      <c r="E136" s="79" t="s">
        <v>238</v>
      </c>
      <c r="F136" s="87" t="s">
        <v>444</v>
      </c>
      <c r="G136" s="79"/>
      <c r="H136" s="106"/>
      <c r="I136" s="87" t="s">
        <v>444</v>
      </c>
      <c r="J136" s="79"/>
    </row>
    <row r="137" spans="2:10">
      <c r="B137" s="77"/>
      <c r="C137" s="79"/>
      <c r="D137" s="78">
        <v>22</v>
      </c>
      <c r="E137" s="79" t="s">
        <v>239</v>
      </c>
      <c r="F137" s="87" t="s">
        <v>444</v>
      </c>
      <c r="G137" s="79"/>
      <c r="H137" s="106"/>
      <c r="I137" s="87" t="s">
        <v>444</v>
      </c>
      <c r="J137" s="79"/>
    </row>
    <row r="138" spans="2:10">
      <c r="B138" s="77"/>
      <c r="C138" s="79"/>
      <c r="D138" s="78">
        <v>23</v>
      </c>
      <c r="E138" s="79" t="s">
        <v>240</v>
      </c>
      <c r="F138" s="87" t="s">
        <v>444</v>
      </c>
      <c r="G138" s="79"/>
      <c r="H138" s="106"/>
      <c r="I138" s="87" t="s">
        <v>444</v>
      </c>
      <c r="J138" s="79"/>
    </row>
    <row r="139" spans="2:10">
      <c r="B139" s="77"/>
      <c r="C139" s="79"/>
      <c r="D139" s="78">
        <v>24</v>
      </c>
      <c r="E139" s="79" t="s">
        <v>241</v>
      </c>
      <c r="F139" s="87" t="s">
        <v>444</v>
      </c>
      <c r="G139" s="79"/>
      <c r="H139" s="106"/>
      <c r="I139" s="87" t="s">
        <v>444</v>
      </c>
      <c r="J139" s="79"/>
    </row>
    <row r="140" spans="2:10">
      <c r="B140" s="77"/>
      <c r="C140" s="79"/>
      <c r="D140" s="78">
        <v>25</v>
      </c>
      <c r="E140" s="79" t="s">
        <v>242</v>
      </c>
      <c r="F140" s="87" t="s">
        <v>444</v>
      </c>
      <c r="G140" s="79"/>
      <c r="H140" s="106"/>
      <c r="I140" s="87" t="s">
        <v>444</v>
      </c>
      <c r="J140" s="79"/>
    </row>
    <row r="141" spans="2:10">
      <c r="B141" s="77"/>
      <c r="C141" s="79"/>
      <c r="D141" s="78">
        <v>26</v>
      </c>
      <c r="E141" s="79" t="s">
        <v>243</v>
      </c>
      <c r="F141" s="87" t="s">
        <v>444</v>
      </c>
      <c r="G141" s="79"/>
      <c r="H141" s="106"/>
      <c r="I141" s="87" t="s">
        <v>444</v>
      </c>
      <c r="J141" s="79"/>
    </row>
    <row r="142" spans="2:10">
      <c r="B142" s="77"/>
      <c r="C142" s="79"/>
      <c r="D142" s="78">
        <v>27</v>
      </c>
      <c r="E142" s="79" t="s">
        <v>244</v>
      </c>
      <c r="F142" s="87" t="s">
        <v>444</v>
      </c>
      <c r="G142" s="79"/>
      <c r="H142" s="106"/>
      <c r="I142" s="87" t="s">
        <v>444</v>
      </c>
      <c r="J142" s="79"/>
    </row>
    <row r="143" spans="2:10">
      <c r="B143" s="77"/>
      <c r="C143" s="79"/>
      <c r="D143" s="78">
        <v>28</v>
      </c>
      <c r="E143" s="79" t="s">
        <v>245</v>
      </c>
      <c r="F143" s="87" t="s">
        <v>444</v>
      </c>
      <c r="G143" s="79"/>
      <c r="H143" s="106"/>
      <c r="I143" s="87" t="s">
        <v>444</v>
      </c>
      <c r="J143" s="79"/>
    </row>
    <row r="144" spans="2:10">
      <c r="B144" s="77"/>
      <c r="C144" s="79"/>
      <c r="D144" s="78">
        <v>29</v>
      </c>
      <c r="E144" s="79" t="s">
        <v>246</v>
      </c>
      <c r="F144" s="87" t="s">
        <v>444</v>
      </c>
      <c r="G144" s="79"/>
      <c r="H144" s="106"/>
      <c r="I144" s="87" t="s">
        <v>444</v>
      </c>
      <c r="J144" s="79"/>
    </row>
    <row r="145" spans="2:10">
      <c r="B145" s="77"/>
      <c r="C145" s="79"/>
      <c r="D145" s="78">
        <v>30</v>
      </c>
      <c r="E145" s="79" t="s">
        <v>247</v>
      </c>
      <c r="F145" s="87" t="s">
        <v>444</v>
      </c>
      <c r="G145" s="79"/>
      <c r="H145" s="106"/>
      <c r="I145" s="87" t="s">
        <v>444</v>
      </c>
      <c r="J145" s="79"/>
    </row>
    <row r="146" spans="2:10">
      <c r="B146" s="77"/>
      <c r="C146" s="79"/>
      <c r="D146" s="78">
        <v>31</v>
      </c>
      <c r="E146" s="79" t="s">
        <v>248</v>
      </c>
      <c r="F146" s="87" t="s">
        <v>444</v>
      </c>
      <c r="G146" s="79"/>
      <c r="H146" s="105" t="s">
        <v>444</v>
      </c>
      <c r="I146" s="87" t="s">
        <v>444</v>
      </c>
      <c r="J146" s="79"/>
    </row>
    <row r="147" spans="2:10">
      <c r="B147" s="77"/>
      <c r="C147" s="79"/>
      <c r="D147" s="78">
        <v>32</v>
      </c>
      <c r="E147" s="79" t="s">
        <v>249</v>
      </c>
      <c r="F147" s="87" t="s">
        <v>444</v>
      </c>
      <c r="G147" s="79"/>
      <c r="H147" s="105" t="s">
        <v>444</v>
      </c>
      <c r="I147" s="87" t="s">
        <v>444</v>
      </c>
      <c r="J147" s="79"/>
    </row>
    <row r="148" spans="2:10">
      <c r="B148" s="77"/>
      <c r="C148" s="79"/>
      <c r="D148" s="78">
        <v>33</v>
      </c>
      <c r="E148" s="79" t="s">
        <v>250</v>
      </c>
      <c r="F148" s="87" t="s">
        <v>444</v>
      </c>
      <c r="G148" s="79"/>
      <c r="H148" s="105" t="s">
        <v>444</v>
      </c>
      <c r="I148" s="87" t="s">
        <v>444</v>
      </c>
      <c r="J148" s="79"/>
    </row>
    <row r="149" spans="2:10">
      <c r="B149" s="77"/>
      <c r="C149" s="79"/>
      <c r="D149" s="78">
        <v>34</v>
      </c>
      <c r="E149" s="79" t="s">
        <v>251</v>
      </c>
      <c r="F149" s="87" t="s">
        <v>444</v>
      </c>
      <c r="G149" s="79"/>
      <c r="H149" s="105" t="s">
        <v>444</v>
      </c>
      <c r="I149" s="87" t="s">
        <v>444</v>
      </c>
      <c r="J149" s="79"/>
    </row>
    <row r="150" spans="2:10">
      <c r="B150" s="77"/>
      <c r="C150" s="79"/>
      <c r="D150" s="78">
        <v>35</v>
      </c>
      <c r="E150" s="79" t="s">
        <v>252</v>
      </c>
      <c r="F150" s="87" t="s">
        <v>444</v>
      </c>
      <c r="G150" s="79"/>
      <c r="H150" s="105" t="s">
        <v>444</v>
      </c>
      <c r="I150" s="87" t="s">
        <v>444</v>
      </c>
      <c r="J150" s="79"/>
    </row>
    <row r="151" spans="2:10">
      <c r="B151" s="77"/>
      <c r="C151" s="79"/>
      <c r="D151" s="78">
        <v>36</v>
      </c>
      <c r="E151" s="79" t="s">
        <v>253</v>
      </c>
      <c r="F151" s="87" t="s">
        <v>444</v>
      </c>
      <c r="G151" s="79"/>
      <c r="H151" s="105" t="s">
        <v>444</v>
      </c>
      <c r="I151" s="87" t="s">
        <v>444</v>
      </c>
      <c r="J151" s="79"/>
    </row>
    <row r="152" spans="2:10">
      <c r="B152" s="77"/>
      <c r="C152" s="79"/>
      <c r="D152" s="78">
        <v>37</v>
      </c>
      <c r="E152" s="79" t="s">
        <v>254</v>
      </c>
      <c r="F152" s="87" t="s">
        <v>444</v>
      </c>
      <c r="G152" s="87"/>
      <c r="H152" s="105" t="s">
        <v>444</v>
      </c>
      <c r="I152" s="87" t="s">
        <v>444</v>
      </c>
      <c r="J152" s="79"/>
    </row>
    <row r="153" spans="2:10">
      <c r="B153" s="77"/>
      <c r="C153" s="79"/>
      <c r="D153" s="78">
        <v>38</v>
      </c>
      <c r="E153" s="79" t="s">
        <v>255</v>
      </c>
      <c r="F153" s="87" t="s">
        <v>444</v>
      </c>
      <c r="G153" s="87"/>
      <c r="H153" s="105" t="s">
        <v>444</v>
      </c>
      <c r="I153" s="87" t="s">
        <v>444</v>
      </c>
      <c r="J153" s="79"/>
    </row>
    <row r="154" spans="2:10">
      <c r="B154" s="77"/>
      <c r="C154" s="79"/>
      <c r="D154" s="78">
        <v>39</v>
      </c>
      <c r="E154" s="79" t="s">
        <v>256</v>
      </c>
      <c r="F154" s="87" t="s">
        <v>444</v>
      </c>
      <c r="G154" s="87"/>
      <c r="H154" s="105" t="s">
        <v>444</v>
      </c>
      <c r="I154" s="87" t="s">
        <v>444</v>
      </c>
      <c r="J154" s="79"/>
    </row>
    <row r="155" spans="2:10">
      <c r="B155" s="77"/>
      <c r="C155" s="79"/>
      <c r="D155" s="78">
        <v>40</v>
      </c>
      <c r="E155" s="79" t="s">
        <v>257</v>
      </c>
      <c r="F155" s="87" t="s">
        <v>444</v>
      </c>
      <c r="G155" s="87"/>
      <c r="H155" s="105" t="s">
        <v>444</v>
      </c>
      <c r="I155" s="87" t="s">
        <v>444</v>
      </c>
      <c r="J155" s="79"/>
    </row>
    <row r="156" spans="2:10">
      <c r="B156" s="77"/>
      <c r="C156" s="79"/>
      <c r="D156" s="78">
        <v>41</v>
      </c>
      <c r="E156" s="79" t="s">
        <v>258</v>
      </c>
      <c r="F156" s="87" t="s">
        <v>444</v>
      </c>
      <c r="G156" s="87"/>
      <c r="H156" s="105" t="s">
        <v>444</v>
      </c>
      <c r="I156" s="87" t="s">
        <v>444</v>
      </c>
      <c r="J156" s="79"/>
    </row>
    <row r="157" spans="2:10">
      <c r="B157" s="77"/>
      <c r="C157" s="79"/>
      <c r="D157" s="78">
        <v>42</v>
      </c>
      <c r="E157" s="79" t="s">
        <v>259</v>
      </c>
      <c r="F157" s="87" t="s">
        <v>444</v>
      </c>
      <c r="G157" s="87"/>
      <c r="H157" s="105" t="s">
        <v>444</v>
      </c>
      <c r="I157" s="87" t="s">
        <v>444</v>
      </c>
      <c r="J157" s="79"/>
    </row>
    <row r="158" spans="2:10">
      <c r="B158" s="77"/>
      <c r="C158" s="79"/>
      <c r="D158" s="78">
        <v>43</v>
      </c>
      <c r="E158" s="79" t="s">
        <v>260</v>
      </c>
      <c r="F158" s="87" t="s">
        <v>444</v>
      </c>
      <c r="G158" s="87"/>
      <c r="H158" s="105" t="s">
        <v>444</v>
      </c>
      <c r="I158" s="87" t="s">
        <v>444</v>
      </c>
      <c r="J158" s="79"/>
    </row>
    <row r="159" spans="2:10">
      <c r="B159" s="77"/>
      <c r="C159" s="79"/>
      <c r="D159" s="78">
        <v>44</v>
      </c>
      <c r="E159" s="79" t="s">
        <v>261</v>
      </c>
      <c r="F159" s="87" t="s">
        <v>444</v>
      </c>
      <c r="G159" s="87"/>
      <c r="H159" s="105" t="s">
        <v>444</v>
      </c>
      <c r="I159" s="87" t="s">
        <v>444</v>
      </c>
      <c r="J159" s="79"/>
    </row>
    <row r="160" spans="2:10">
      <c r="B160" s="77"/>
      <c r="C160" s="79"/>
      <c r="D160" s="78">
        <v>45</v>
      </c>
      <c r="E160" s="79" t="s">
        <v>262</v>
      </c>
      <c r="F160" s="87" t="s">
        <v>444</v>
      </c>
      <c r="G160" s="87"/>
      <c r="H160" s="105" t="s">
        <v>444</v>
      </c>
      <c r="I160" s="87" t="s">
        <v>444</v>
      </c>
      <c r="J160" s="79"/>
    </row>
    <row r="161" spans="2:10">
      <c r="B161" s="77"/>
      <c r="C161" s="79"/>
      <c r="D161" s="78">
        <v>46</v>
      </c>
      <c r="E161" s="79" t="s">
        <v>263</v>
      </c>
      <c r="F161" s="87" t="s">
        <v>444</v>
      </c>
      <c r="G161" s="87"/>
      <c r="H161" s="105" t="s">
        <v>444</v>
      </c>
      <c r="I161" s="87" t="s">
        <v>444</v>
      </c>
      <c r="J161" s="79"/>
    </row>
    <row r="162" spans="2:10">
      <c r="B162" s="77"/>
      <c r="C162" s="79"/>
      <c r="D162" s="78">
        <v>47</v>
      </c>
      <c r="E162" s="79" t="s">
        <v>264</v>
      </c>
      <c r="F162" s="87" t="s">
        <v>444</v>
      </c>
      <c r="G162" s="87"/>
      <c r="H162" s="105" t="s">
        <v>444</v>
      </c>
      <c r="I162" s="87" t="s">
        <v>444</v>
      </c>
      <c r="J162" s="79"/>
    </row>
    <row r="163" spans="2:10">
      <c r="B163" s="77"/>
      <c r="C163" s="79"/>
      <c r="D163" s="78">
        <v>48</v>
      </c>
      <c r="E163" s="79" t="s">
        <v>265</v>
      </c>
      <c r="F163" s="87" t="s">
        <v>444</v>
      </c>
      <c r="G163" s="87"/>
      <c r="H163" s="106"/>
      <c r="I163" s="87" t="s">
        <v>444</v>
      </c>
      <c r="J163" s="79"/>
    </row>
    <row r="164" spans="2:10">
      <c r="B164" s="77"/>
      <c r="C164" s="79"/>
      <c r="D164" s="78">
        <v>49</v>
      </c>
      <c r="E164" s="79" t="s">
        <v>266</v>
      </c>
      <c r="F164" s="87" t="s">
        <v>444</v>
      </c>
      <c r="G164" s="87"/>
      <c r="H164" s="106"/>
      <c r="I164" s="87" t="s">
        <v>444</v>
      </c>
      <c r="J164" s="79"/>
    </row>
    <row r="165" spans="2:10">
      <c r="B165" s="77"/>
      <c r="C165" s="79"/>
      <c r="D165" s="78">
        <v>50</v>
      </c>
      <c r="E165" s="79" t="s">
        <v>267</v>
      </c>
      <c r="F165" s="87" t="s">
        <v>444</v>
      </c>
      <c r="G165" s="87"/>
      <c r="H165" s="106"/>
      <c r="I165" s="87" t="s">
        <v>444</v>
      </c>
      <c r="J165" s="79"/>
    </row>
    <row r="166" spans="2:10">
      <c r="B166" s="77"/>
      <c r="C166" s="79"/>
      <c r="D166" s="78">
        <v>51</v>
      </c>
      <c r="E166" s="79" t="s">
        <v>268</v>
      </c>
      <c r="F166" s="87" t="s">
        <v>444</v>
      </c>
      <c r="G166" s="87"/>
      <c r="H166" s="106"/>
      <c r="I166" s="87" t="s">
        <v>444</v>
      </c>
      <c r="J166" s="79"/>
    </row>
    <row r="167" spans="2:10">
      <c r="B167" s="77"/>
      <c r="C167" s="79"/>
      <c r="D167" s="78">
        <v>52</v>
      </c>
      <c r="E167" s="79" t="s">
        <v>269</v>
      </c>
      <c r="F167" s="87" t="s">
        <v>444</v>
      </c>
      <c r="G167" s="87"/>
      <c r="H167" s="106"/>
      <c r="I167" s="87" t="s">
        <v>444</v>
      </c>
      <c r="J167" s="79"/>
    </row>
    <row r="168" spans="2:10">
      <c r="B168" s="77"/>
      <c r="C168" s="79"/>
      <c r="D168" s="78">
        <v>53</v>
      </c>
      <c r="E168" s="79" t="s">
        <v>270</v>
      </c>
      <c r="F168" s="87" t="s">
        <v>444</v>
      </c>
      <c r="G168" s="87"/>
      <c r="H168" s="106"/>
      <c r="I168" s="87" t="s">
        <v>444</v>
      </c>
      <c r="J168" s="79"/>
    </row>
    <row r="169" spans="2:10">
      <c r="B169" s="77"/>
      <c r="C169" s="79"/>
      <c r="D169" s="78">
        <v>54</v>
      </c>
      <c r="E169" s="79" t="s">
        <v>271</v>
      </c>
      <c r="F169" s="87" t="s">
        <v>444</v>
      </c>
      <c r="G169" s="87"/>
      <c r="H169" s="106"/>
      <c r="I169" s="87" t="s">
        <v>444</v>
      </c>
      <c r="J169" s="79"/>
    </row>
    <row r="170" spans="2:10">
      <c r="B170" s="77"/>
      <c r="C170" s="79"/>
      <c r="D170" s="78">
        <v>55</v>
      </c>
      <c r="E170" s="79" t="s">
        <v>272</v>
      </c>
      <c r="F170" s="87" t="s">
        <v>444</v>
      </c>
      <c r="G170" s="87"/>
      <c r="H170" s="106"/>
      <c r="I170" s="87" t="s">
        <v>444</v>
      </c>
      <c r="J170" s="79"/>
    </row>
    <row r="171" spans="2:10">
      <c r="B171" s="77"/>
      <c r="C171" s="79"/>
      <c r="D171" s="78">
        <v>56</v>
      </c>
      <c r="E171" s="79" t="s">
        <v>273</v>
      </c>
      <c r="F171" s="87" t="s">
        <v>444</v>
      </c>
      <c r="G171" s="87"/>
      <c r="H171" s="106"/>
      <c r="I171" s="87" t="s">
        <v>444</v>
      </c>
      <c r="J171" s="79"/>
    </row>
    <row r="172" spans="2:10">
      <c r="B172" s="77"/>
      <c r="C172" s="79"/>
      <c r="D172" s="78"/>
      <c r="E172" s="79"/>
      <c r="F172" s="79"/>
      <c r="G172" s="79"/>
      <c r="H172" s="106"/>
      <c r="I172" s="106"/>
      <c r="J172" s="79"/>
    </row>
    <row r="173" spans="2:10">
      <c r="B173" s="77">
        <v>7</v>
      </c>
      <c r="C173" s="90" t="str">
        <f>'[1]Lamp_1 (Konstruksi 1-199)'!$D$1432</f>
        <v>PEKERJAAN PLESTERAN</v>
      </c>
      <c r="D173" s="78">
        <v>1</v>
      </c>
      <c r="E173" s="79" t="s">
        <v>298</v>
      </c>
      <c r="F173" s="87" t="s">
        <v>444</v>
      </c>
      <c r="G173" s="79"/>
      <c r="H173" s="105" t="s">
        <v>444</v>
      </c>
      <c r="I173" s="87" t="s">
        <v>444</v>
      </c>
      <c r="J173" s="79"/>
    </row>
    <row r="174" spans="2:10">
      <c r="B174" s="77"/>
      <c r="C174" s="79" t="s">
        <v>460</v>
      </c>
      <c r="D174" s="78">
        <v>2</v>
      </c>
      <c r="E174" s="79" t="s">
        <v>299</v>
      </c>
      <c r="F174" s="87" t="s">
        <v>444</v>
      </c>
      <c r="G174" s="79"/>
      <c r="H174" s="105" t="s">
        <v>444</v>
      </c>
      <c r="I174" s="87" t="s">
        <v>444</v>
      </c>
      <c r="J174" s="79"/>
    </row>
    <row r="175" spans="2:10">
      <c r="B175" s="77"/>
      <c r="C175" s="79"/>
      <c r="D175" s="78">
        <v>3</v>
      </c>
      <c r="E175" s="79" t="s">
        <v>300</v>
      </c>
      <c r="F175" s="87" t="s">
        <v>444</v>
      </c>
      <c r="G175" s="79"/>
      <c r="H175" s="105" t="s">
        <v>444</v>
      </c>
      <c r="I175" s="87" t="s">
        <v>444</v>
      </c>
      <c r="J175" s="79"/>
    </row>
    <row r="176" spans="2:10">
      <c r="B176" s="77"/>
      <c r="C176" s="79"/>
      <c r="D176" s="78">
        <v>4</v>
      </c>
      <c r="E176" s="79" t="s">
        <v>301</v>
      </c>
      <c r="F176" s="87" t="s">
        <v>444</v>
      </c>
      <c r="G176" s="79"/>
      <c r="H176" s="105" t="s">
        <v>444</v>
      </c>
      <c r="I176" s="87" t="s">
        <v>444</v>
      </c>
      <c r="J176" s="79"/>
    </row>
    <row r="177" spans="2:10">
      <c r="B177" s="77"/>
      <c r="C177" s="79"/>
      <c r="D177" s="78">
        <v>5</v>
      </c>
      <c r="E177" s="79" t="s">
        <v>302</v>
      </c>
      <c r="F177" s="87" t="s">
        <v>444</v>
      </c>
      <c r="G177" s="79"/>
      <c r="H177" s="105" t="s">
        <v>444</v>
      </c>
      <c r="I177" s="87" t="s">
        <v>444</v>
      </c>
      <c r="J177" s="79"/>
    </row>
    <row r="178" spans="2:10">
      <c r="B178" s="77"/>
      <c r="C178" s="79"/>
      <c r="D178" s="78">
        <v>6</v>
      </c>
      <c r="E178" s="79" t="s">
        <v>303</v>
      </c>
      <c r="F178" s="87" t="s">
        <v>444</v>
      </c>
      <c r="G178" s="79"/>
      <c r="H178" s="105" t="s">
        <v>444</v>
      </c>
      <c r="I178" s="87" t="s">
        <v>444</v>
      </c>
      <c r="J178" s="79"/>
    </row>
    <row r="179" spans="2:10">
      <c r="B179" s="77"/>
      <c r="C179" s="79"/>
      <c r="D179" s="78">
        <v>7</v>
      </c>
      <c r="E179" s="79" t="s">
        <v>304</v>
      </c>
      <c r="F179" s="87" t="s">
        <v>444</v>
      </c>
      <c r="G179" s="79"/>
      <c r="H179" s="105" t="s">
        <v>444</v>
      </c>
      <c r="I179" s="87" t="s">
        <v>444</v>
      </c>
      <c r="J179" s="79"/>
    </row>
    <row r="180" spans="2:10">
      <c r="B180" s="77"/>
      <c r="C180" s="79"/>
      <c r="D180" s="78">
        <v>8</v>
      </c>
      <c r="E180" s="79" t="s">
        <v>305</v>
      </c>
      <c r="F180" s="87" t="s">
        <v>444</v>
      </c>
      <c r="G180" s="79"/>
      <c r="H180" s="105" t="s">
        <v>444</v>
      </c>
      <c r="I180" s="87" t="s">
        <v>444</v>
      </c>
      <c r="J180" s="79"/>
    </row>
    <row r="181" spans="2:10">
      <c r="B181" s="77"/>
      <c r="C181" s="79"/>
      <c r="D181" s="78">
        <v>9</v>
      </c>
      <c r="E181" s="79" t="s">
        <v>306</v>
      </c>
      <c r="F181" s="87" t="s">
        <v>444</v>
      </c>
      <c r="G181" s="79"/>
      <c r="H181" s="105" t="s">
        <v>444</v>
      </c>
      <c r="I181" s="87" t="s">
        <v>444</v>
      </c>
      <c r="J181" s="79"/>
    </row>
    <row r="182" spans="2:10">
      <c r="B182" s="77"/>
      <c r="C182" s="79"/>
      <c r="D182" s="78">
        <v>10</v>
      </c>
      <c r="E182" s="79" t="s">
        <v>307</v>
      </c>
      <c r="F182" s="87" t="s">
        <v>444</v>
      </c>
      <c r="G182" s="79"/>
      <c r="H182" s="105" t="s">
        <v>444</v>
      </c>
      <c r="I182" s="87" t="s">
        <v>444</v>
      </c>
      <c r="J182" s="79"/>
    </row>
    <row r="183" spans="2:10">
      <c r="B183" s="77"/>
      <c r="C183" s="79"/>
      <c r="D183" s="78">
        <v>11</v>
      </c>
      <c r="E183" s="79" t="s">
        <v>308</v>
      </c>
      <c r="F183" s="87" t="s">
        <v>444</v>
      </c>
      <c r="G183" s="79"/>
      <c r="H183" s="105" t="s">
        <v>444</v>
      </c>
      <c r="I183" s="87" t="s">
        <v>444</v>
      </c>
      <c r="J183" s="79"/>
    </row>
    <row r="184" spans="2:10">
      <c r="B184" s="77"/>
      <c r="C184" s="79"/>
      <c r="D184" s="78">
        <v>12</v>
      </c>
      <c r="E184" s="79" t="s">
        <v>309</v>
      </c>
      <c r="F184" s="87" t="s">
        <v>444</v>
      </c>
      <c r="G184" s="79"/>
      <c r="H184" s="105" t="s">
        <v>444</v>
      </c>
      <c r="I184" s="87" t="s">
        <v>444</v>
      </c>
      <c r="J184" s="79"/>
    </row>
    <row r="185" spans="2:10">
      <c r="B185" s="77"/>
      <c r="C185" s="79"/>
      <c r="D185" s="78">
        <v>13</v>
      </c>
      <c r="E185" s="79" t="s">
        <v>310</v>
      </c>
      <c r="F185" s="87" t="s">
        <v>444</v>
      </c>
      <c r="G185" s="79"/>
      <c r="H185" s="106"/>
      <c r="I185" s="87" t="s">
        <v>444</v>
      </c>
      <c r="J185" s="79"/>
    </row>
    <row r="186" spans="2:10">
      <c r="B186" s="77"/>
      <c r="C186" s="79"/>
      <c r="D186" s="78">
        <v>14</v>
      </c>
      <c r="E186" s="79" t="s">
        <v>311</v>
      </c>
      <c r="F186" s="87" t="s">
        <v>444</v>
      </c>
      <c r="G186" s="79"/>
      <c r="H186" s="105" t="s">
        <v>444</v>
      </c>
      <c r="I186" s="87" t="s">
        <v>444</v>
      </c>
      <c r="J186" s="79"/>
    </row>
    <row r="187" spans="2:10">
      <c r="B187" s="77"/>
      <c r="C187" s="79"/>
      <c r="D187" s="78">
        <v>15</v>
      </c>
      <c r="E187" s="79" t="s">
        <v>312</v>
      </c>
      <c r="F187" s="87" t="s">
        <v>444</v>
      </c>
      <c r="G187" s="79"/>
      <c r="H187" s="105" t="s">
        <v>444</v>
      </c>
      <c r="I187" s="87" t="s">
        <v>444</v>
      </c>
      <c r="J187" s="79"/>
    </row>
    <row r="188" spans="2:10">
      <c r="B188" s="77"/>
      <c r="C188" s="79"/>
      <c r="D188" s="78">
        <v>16</v>
      </c>
      <c r="E188" s="79" t="s">
        <v>313</v>
      </c>
      <c r="F188" s="87" t="s">
        <v>444</v>
      </c>
      <c r="G188" s="79"/>
      <c r="H188" s="105" t="s">
        <v>444</v>
      </c>
      <c r="I188" s="87" t="s">
        <v>444</v>
      </c>
      <c r="J188" s="79"/>
    </row>
    <row r="189" spans="2:10">
      <c r="B189" s="77"/>
      <c r="C189" s="79"/>
      <c r="D189" s="78">
        <v>17</v>
      </c>
      <c r="E189" s="79" t="s">
        <v>314</v>
      </c>
      <c r="F189" s="87" t="s">
        <v>444</v>
      </c>
      <c r="G189" s="79"/>
      <c r="H189" s="105" t="s">
        <v>444</v>
      </c>
      <c r="I189" s="87" t="s">
        <v>444</v>
      </c>
      <c r="J189" s="79"/>
    </row>
    <row r="190" spans="2:10">
      <c r="B190" s="77"/>
      <c r="C190" s="79"/>
      <c r="D190" s="78">
        <v>18</v>
      </c>
      <c r="E190" s="79" t="s">
        <v>315</v>
      </c>
      <c r="F190" s="87" t="s">
        <v>444</v>
      </c>
      <c r="G190" s="79"/>
      <c r="H190" s="105" t="s">
        <v>444</v>
      </c>
      <c r="I190" s="87" t="s">
        <v>444</v>
      </c>
      <c r="J190" s="79"/>
    </row>
    <row r="191" spans="2:10">
      <c r="B191" s="77"/>
      <c r="C191" s="79"/>
      <c r="D191" s="78">
        <v>19</v>
      </c>
      <c r="E191" s="79" t="s">
        <v>316</v>
      </c>
      <c r="F191" s="87" t="s">
        <v>444</v>
      </c>
      <c r="G191" s="79"/>
      <c r="H191" s="105" t="s">
        <v>444</v>
      </c>
      <c r="I191" s="87" t="s">
        <v>444</v>
      </c>
      <c r="J191" s="79"/>
    </row>
    <row r="192" spans="2:10">
      <c r="B192" s="77"/>
      <c r="C192" s="79"/>
      <c r="D192" s="78">
        <v>20</v>
      </c>
      <c r="E192" s="79" t="s">
        <v>317</v>
      </c>
      <c r="F192" s="87" t="s">
        <v>444</v>
      </c>
      <c r="G192" s="79"/>
      <c r="H192" s="105" t="s">
        <v>444</v>
      </c>
      <c r="I192" s="87" t="s">
        <v>444</v>
      </c>
      <c r="J192" s="79"/>
    </row>
    <row r="193" spans="2:10">
      <c r="B193" s="77"/>
      <c r="C193" s="79"/>
      <c r="D193" s="78">
        <v>21</v>
      </c>
      <c r="E193" s="79" t="s">
        <v>318</v>
      </c>
      <c r="F193" s="87" t="s">
        <v>444</v>
      </c>
      <c r="G193" s="79"/>
      <c r="H193" s="105" t="s">
        <v>444</v>
      </c>
      <c r="I193" s="87" t="s">
        <v>444</v>
      </c>
      <c r="J193" s="79"/>
    </row>
    <row r="194" spans="2:10">
      <c r="B194" s="77"/>
      <c r="C194" s="79"/>
      <c r="D194" s="78">
        <v>22</v>
      </c>
      <c r="E194" s="79" t="s">
        <v>319</v>
      </c>
      <c r="F194" s="87" t="s">
        <v>444</v>
      </c>
      <c r="G194" s="79"/>
      <c r="H194" s="105"/>
      <c r="I194" s="87" t="s">
        <v>444</v>
      </c>
      <c r="J194" s="79"/>
    </row>
    <row r="195" spans="2:10">
      <c r="B195" s="77"/>
      <c r="C195" s="79"/>
      <c r="D195" s="78">
        <v>23</v>
      </c>
      <c r="E195" s="79" t="s">
        <v>320</v>
      </c>
      <c r="F195" s="87" t="s">
        <v>444</v>
      </c>
      <c r="G195" s="79"/>
      <c r="H195" s="105" t="s">
        <v>444</v>
      </c>
      <c r="I195" s="87" t="s">
        <v>444</v>
      </c>
      <c r="J195" s="79"/>
    </row>
    <row r="196" spans="2:10">
      <c r="B196" s="77"/>
      <c r="C196" s="79"/>
      <c r="D196" s="78">
        <v>24</v>
      </c>
      <c r="E196" s="79" t="s">
        <v>321</v>
      </c>
      <c r="F196" s="87" t="s">
        <v>444</v>
      </c>
      <c r="G196" s="79"/>
      <c r="H196" s="105" t="s">
        <v>444</v>
      </c>
      <c r="I196" s="87" t="s">
        <v>444</v>
      </c>
      <c r="J196" s="79"/>
    </row>
    <row r="197" spans="2:10">
      <c r="B197" s="77"/>
      <c r="C197" s="79"/>
      <c r="D197" s="78">
        <v>25</v>
      </c>
      <c r="E197" s="79" t="s">
        <v>322</v>
      </c>
      <c r="F197" s="87" t="s">
        <v>444</v>
      </c>
      <c r="G197" s="79"/>
      <c r="H197" s="105" t="s">
        <v>444</v>
      </c>
      <c r="I197" s="87" t="s">
        <v>444</v>
      </c>
      <c r="J197" s="79"/>
    </row>
    <row r="198" spans="2:10">
      <c r="B198" s="77"/>
      <c r="C198" s="79"/>
      <c r="D198" s="78">
        <v>26</v>
      </c>
      <c r="E198" s="79" t="s">
        <v>323</v>
      </c>
      <c r="F198" s="87" t="s">
        <v>444</v>
      </c>
      <c r="G198" s="79"/>
      <c r="H198" s="105" t="s">
        <v>444</v>
      </c>
      <c r="I198" s="87" t="s">
        <v>444</v>
      </c>
      <c r="J198" s="79"/>
    </row>
    <row r="199" spans="2:10">
      <c r="B199" s="77"/>
      <c r="C199" s="79"/>
      <c r="D199" s="78">
        <v>27</v>
      </c>
      <c r="E199" s="79" t="s">
        <v>324</v>
      </c>
      <c r="F199" s="87" t="s">
        <v>444</v>
      </c>
      <c r="G199" s="79"/>
      <c r="H199" s="105" t="s">
        <v>444</v>
      </c>
      <c r="I199" s="87" t="s">
        <v>444</v>
      </c>
      <c r="J199" s="79"/>
    </row>
    <row r="200" spans="2:10">
      <c r="B200" s="77"/>
      <c r="C200" s="79"/>
      <c r="D200" s="78">
        <v>28</v>
      </c>
      <c r="E200" s="79" t="s">
        <v>325</v>
      </c>
      <c r="F200" s="87" t="s">
        <v>444</v>
      </c>
      <c r="G200" s="87"/>
      <c r="H200" s="105" t="s">
        <v>444</v>
      </c>
      <c r="I200" s="87" t="s">
        <v>444</v>
      </c>
      <c r="J200" s="79"/>
    </row>
    <row r="201" spans="2:10">
      <c r="B201" s="77"/>
      <c r="C201" s="79"/>
      <c r="D201" s="78">
        <v>29</v>
      </c>
      <c r="E201" s="79" t="s">
        <v>326</v>
      </c>
      <c r="F201" s="87" t="s">
        <v>444</v>
      </c>
      <c r="G201" s="87"/>
      <c r="H201" s="105" t="s">
        <v>444</v>
      </c>
      <c r="I201" s="87" t="s">
        <v>444</v>
      </c>
      <c r="J201" s="79"/>
    </row>
    <row r="202" spans="2:10">
      <c r="B202" s="77"/>
      <c r="C202" s="79"/>
      <c r="D202" s="78">
        <v>30</v>
      </c>
      <c r="E202" s="79" t="s">
        <v>327</v>
      </c>
      <c r="F202" s="87" t="s">
        <v>444</v>
      </c>
      <c r="G202" s="87"/>
      <c r="H202" s="106"/>
      <c r="I202" s="87" t="s">
        <v>444</v>
      </c>
      <c r="J202" s="79"/>
    </row>
    <row r="203" spans="2:10">
      <c r="B203" s="77"/>
      <c r="C203" s="79"/>
      <c r="D203" s="78">
        <v>31</v>
      </c>
      <c r="E203" s="79" t="s">
        <v>328</v>
      </c>
      <c r="F203" s="87" t="s">
        <v>444</v>
      </c>
      <c r="G203" s="87"/>
      <c r="H203" s="106"/>
      <c r="I203" s="87" t="s">
        <v>444</v>
      </c>
      <c r="J203" s="79"/>
    </row>
    <row r="204" spans="2:10">
      <c r="B204" s="77"/>
      <c r="C204" s="79"/>
      <c r="D204" s="78">
        <v>32</v>
      </c>
      <c r="E204" s="79" t="s">
        <v>329</v>
      </c>
      <c r="F204" s="87" t="s">
        <v>444</v>
      </c>
      <c r="G204" s="87"/>
      <c r="H204" s="106"/>
      <c r="I204" s="87" t="s">
        <v>444</v>
      </c>
      <c r="J204" s="79"/>
    </row>
    <row r="205" spans="2:10">
      <c r="B205" s="77"/>
      <c r="C205" s="79"/>
      <c r="D205" s="78">
        <v>33</v>
      </c>
      <c r="E205" s="79" t="s">
        <v>330</v>
      </c>
      <c r="F205" s="87" t="s">
        <v>444</v>
      </c>
      <c r="G205" s="87"/>
      <c r="H205" s="106"/>
      <c r="I205" s="87" t="s">
        <v>444</v>
      </c>
      <c r="J205" s="79"/>
    </row>
    <row r="206" spans="2:10">
      <c r="B206" s="77"/>
      <c r="C206" s="79"/>
      <c r="D206" s="78"/>
      <c r="E206" s="79"/>
      <c r="F206" s="79"/>
      <c r="G206" s="79"/>
      <c r="H206" s="106"/>
      <c r="I206" s="106"/>
      <c r="J206" s="79"/>
    </row>
    <row r="207" spans="2:10" ht="24.75" customHeight="1">
      <c r="B207" s="77">
        <v>8</v>
      </c>
      <c r="C207" s="91" t="str">
        <f>'[1]Lamp_1 (Konstruksi 1-199)'!$D$1703</f>
        <v>PEKERJAAN PENUTUP LANTAI DAN DINDING</v>
      </c>
      <c r="D207" s="78">
        <v>1</v>
      </c>
      <c r="E207" s="79" t="s">
        <v>331</v>
      </c>
      <c r="F207" s="87" t="s">
        <v>444</v>
      </c>
      <c r="G207" s="79"/>
      <c r="H207" s="105" t="s">
        <v>444</v>
      </c>
      <c r="I207" s="87" t="s">
        <v>444</v>
      </c>
      <c r="J207" s="79"/>
    </row>
    <row r="208" spans="2:10">
      <c r="B208" s="77"/>
      <c r="C208" s="91" t="s">
        <v>461</v>
      </c>
      <c r="D208" s="78">
        <v>2</v>
      </c>
      <c r="E208" s="79" t="s">
        <v>332</v>
      </c>
      <c r="F208" s="87" t="s">
        <v>444</v>
      </c>
      <c r="G208" s="79"/>
      <c r="H208" s="105" t="s">
        <v>444</v>
      </c>
      <c r="I208" s="87" t="s">
        <v>444</v>
      </c>
      <c r="J208" s="79"/>
    </row>
    <row r="209" spans="2:10">
      <c r="B209" s="77"/>
      <c r="C209" s="91"/>
      <c r="D209" s="78">
        <v>3</v>
      </c>
      <c r="E209" s="79" t="s">
        <v>333</v>
      </c>
      <c r="F209" s="87" t="s">
        <v>444</v>
      </c>
      <c r="G209" s="79"/>
      <c r="H209" s="105" t="s">
        <v>444</v>
      </c>
      <c r="I209" s="87" t="s">
        <v>444</v>
      </c>
      <c r="J209" s="79"/>
    </row>
    <row r="210" spans="2:10">
      <c r="B210" s="77"/>
      <c r="C210" s="79"/>
      <c r="D210" s="78">
        <v>4</v>
      </c>
      <c r="E210" s="79" t="s">
        <v>334</v>
      </c>
      <c r="F210" s="87" t="s">
        <v>444</v>
      </c>
      <c r="G210" s="79"/>
      <c r="H210" s="105" t="s">
        <v>444</v>
      </c>
      <c r="I210" s="87" t="s">
        <v>444</v>
      </c>
      <c r="J210" s="79"/>
    </row>
    <row r="211" spans="2:10">
      <c r="B211" s="77"/>
      <c r="C211" s="79"/>
      <c r="D211" s="78">
        <v>5</v>
      </c>
      <c r="E211" s="79" t="s">
        <v>335</v>
      </c>
      <c r="F211" s="87" t="s">
        <v>444</v>
      </c>
      <c r="G211" s="79"/>
      <c r="H211" s="105" t="s">
        <v>444</v>
      </c>
      <c r="I211" s="87" t="s">
        <v>444</v>
      </c>
      <c r="J211" s="79"/>
    </row>
    <row r="212" spans="2:10">
      <c r="B212" s="77"/>
      <c r="C212" s="79"/>
      <c r="D212" s="78">
        <v>6</v>
      </c>
      <c r="E212" s="79" t="s">
        <v>336</v>
      </c>
      <c r="F212" s="87" t="s">
        <v>444</v>
      </c>
      <c r="G212" s="79"/>
      <c r="H212" s="105" t="s">
        <v>444</v>
      </c>
      <c r="I212" s="87" t="s">
        <v>444</v>
      </c>
      <c r="J212" s="79"/>
    </row>
    <row r="213" spans="2:10">
      <c r="B213" s="77"/>
      <c r="C213" s="79"/>
      <c r="D213" s="78">
        <v>7</v>
      </c>
      <c r="E213" s="79" t="s">
        <v>337</v>
      </c>
      <c r="F213" s="87" t="s">
        <v>444</v>
      </c>
      <c r="G213" s="79"/>
      <c r="H213" s="105" t="s">
        <v>444</v>
      </c>
      <c r="I213" s="87" t="s">
        <v>444</v>
      </c>
      <c r="J213" s="79"/>
    </row>
    <row r="214" spans="2:10">
      <c r="B214" s="77"/>
      <c r="C214" s="79"/>
      <c r="D214" s="78">
        <v>8</v>
      </c>
      <c r="E214" s="79" t="s">
        <v>338</v>
      </c>
      <c r="F214" s="87" t="s">
        <v>444</v>
      </c>
      <c r="G214" s="79"/>
      <c r="H214" s="105" t="s">
        <v>444</v>
      </c>
      <c r="I214" s="87" t="s">
        <v>444</v>
      </c>
      <c r="J214" s="79"/>
    </row>
    <row r="215" spans="2:10">
      <c r="B215" s="77"/>
      <c r="C215" s="79"/>
      <c r="D215" s="78">
        <v>9</v>
      </c>
      <c r="E215" s="79" t="s">
        <v>339</v>
      </c>
      <c r="F215" s="87" t="s">
        <v>444</v>
      </c>
      <c r="G215" s="79"/>
      <c r="H215" s="105" t="s">
        <v>444</v>
      </c>
      <c r="I215" s="87" t="s">
        <v>444</v>
      </c>
      <c r="J215" s="79"/>
    </row>
    <row r="216" spans="2:10">
      <c r="B216" s="77"/>
      <c r="C216" s="79"/>
      <c r="D216" s="78">
        <v>10</v>
      </c>
      <c r="E216" s="79" t="s">
        <v>340</v>
      </c>
      <c r="F216" s="87" t="s">
        <v>444</v>
      </c>
      <c r="G216" s="79"/>
      <c r="H216" s="105" t="s">
        <v>444</v>
      </c>
      <c r="I216" s="87" t="s">
        <v>444</v>
      </c>
      <c r="J216" s="79"/>
    </row>
    <row r="217" spans="2:10">
      <c r="B217" s="77"/>
      <c r="C217" s="79"/>
      <c r="D217" s="78">
        <v>11</v>
      </c>
      <c r="E217" s="79" t="s">
        <v>341</v>
      </c>
      <c r="F217" s="87" t="s">
        <v>444</v>
      </c>
      <c r="G217" s="79"/>
      <c r="H217" s="105" t="s">
        <v>444</v>
      </c>
      <c r="I217" s="87" t="s">
        <v>444</v>
      </c>
      <c r="J217" s="79"/>
    </row>
    <row r="218" spans="2:10">
      <c r="B218" s="77"/>
      <c r="C218" s="79"/>
      <c r="D218" s="78">
        <v>12</v>
      </c>
      <c r="E218" s="79" t="s">
        <v>342</v>
      </c>
      <c r="F218" s="87" t="s">
        <v>444</v>
      </c>
      <c r="G218" s="79"/>
      <c r="H218" s="105" t="s">
        <v>444</v>
      </c>
      <c r="I218" s="87" t="s">
        <v>444</v>
      </c>
      <c r="J218" s="79"/>
    </row>
    <row r="219" spans="2:10">
      <c r="B219" s="77"/>
      <c r="C219" s="79"/>
      <c r="D219" s="78">
        <v>13</v>
      </c>
      <c r="E219" s="79" t="s">
        <v>343</v>
      </c>
      <c r="F219" s="87" t="s">
        <v>444</v>
      </c>
      <c r="G219" s="79"/>
      <c r="H219" s="105" t="s">
        <v>444</v>
      </c>
      <c r="I219" s="87" t="s">
        <v>444</v>
      </c>
      <c r="J219" s="79"/>
    </row>
    <row r="220" spans="2:10">
      <c r="B220" s="77"/>
      <c r="C220" s="79"/>
      <c r="D220" s="78">
        <v>14</v>
      </c>
      <c r="E220" s="79" t="s">
        <v>344</v>
      </c>
      <c r="F220" s="87" t="s">
        <v>444</v>
      </c>
      <c r="G220" s="79"/>
      <c r="H220" s="105" t="s">
        <v>444</v>
      </c>
      <c r="I220" s="87" t="s">
        <v>444</v>
      </c>
      <c r="J220" s="79"/>
    </row>
    <row r="221" spans="2:10">
      <c r="B221" s="77"/>
      <c r="C221" s="79"/>
      <c r="D221" s="78">
        <v>15</v>
      </c>
      <c r="E221" s="79" t="s">
        <v>345</v>
      </c>
      <c r="F221" s="87" t="s">
        <v>444</v>
      </c>
      <c r="G221" s="79"/>
      <c r="H221" s="105" t="s">
        <v>444</v>
      </c>
      <c r="I221" s="87" t="s">
        <v>444</v>
      </c>
      <c r="J221" s="79"/>
    </row>
    <row r="222" spans="2:10">
      <c r="B222" s="77"/>
      <c r="C222" s="79"/>
      <c r="D222" s="78">
        <v>16</v>
      </c>
      <c r="E222" s="79" t="s">
        <v>346</v>
      </c>
      <c r="F222" s="87" t="s">
        <v>444</v>
      </c>
      <c r="G222" s="79"/>
      <c r="H222" s="105" t="s">
        <v>444</v>
      </c>
      <c r="I222" s="87" t="s">
        <v>444</v>
      </c>
      <c r="J222" s="79"/>
    </row>
    <row r="223" spans="2:10">
      <c r="B223" s="77"/>
      <c r="C223" s="79"/>
      <c r="D223" s="78">
        <v>17</v>
      </c>
      <c r="E223" s="79" t="s">
        <v>347</v>
      </c>
      <c r="F223" s="87" t="s">
        <v>444</v>
      </c>
      <c r="G223" s="79"/>
      <c r="H223" s="105" t="s">
        <v>444</v>
      </c>
      <c r="I223" s="87" t="s">
        <v>444</v>
      </c>
      <c r="J223" s="79"/>
    </row>
    <row r="224" spans="2:10">
      <c r="B224" s="77"/>
      <c r="C224" s="79"/>
      <c r="D224" s="78">
        <v>18</v>
      </c>
      <c r="E224" s="79" t="s">
        <v>348</v>
      </c>
      <c r="F224" s="87" t="s">
        <v>444</v>
      </c>
      <c r="G224" s="79"/>
      <c r="H224" s="105" t="s">
        <v>444</v>
      </c>
      <c r="I224" s="87" t="s">
        <v>444</v>
      </c>
      <c r="J224" s="79"/>
    </row>
    <row r="225" spans="2:10">
      <c r="B225" s="77"/>
      <c r="C225" s="79"/>
      <c r="D225" s="78">
        <v>19</v>
      </c>
      <c r="E225" s="79" t="s">
        <v>349</v>
      </c>
      <c r="F225" s="87" t="s">
        <v>444</v>
      </c>
      <c r="G225" s="79"/>
      <c r="H225" s="105"/>
      <c r="I225" s="87" t="s">
        <v>444</v>
      </c>
      <c r="J225" s="79"/>
    </row>
    <row r="226" spans="2:10">
      <c r="B226" s="77"/>
      <c r="C226" s="79"/>
      <c r="D226" s="78">
        <v>20</v>
      </c>
      <c r="E226" s="79" t="s">
        <v>350</v>
      </c>
      <c r="F226" s="87" t="s">
        <v>444</v>
      </c>
      <c r="G226" s="79"/>
      <c r="H226" s="105" t="s">
        <v>444</v>
      </c>
      <c r="I226" s="87" t="s">
        <v>444</v>
      </c>
      <c r="J226" s="79"/>
    </row>
    <row r="227" spans="2:10">
      <c r="B227" s="77"/>
      <c r="C227" s="79"/>
      <c r="D227" s="78">
        <v>21</v>
      </c>
      <c r="E227" s="79" t="s">
        <v>351</v>
      </c>
      <c r="F227" s="87" t="s">
        <v>444</v>
      </c>
      <c r="G227" s="79"/>
      <c r="H227" s="105" t="s">
        <v>444</v>
      </c>
      <c r="I227" s="87" t="s">
        <v>444</v>
      </c>
      <c r="J227" s="79"/>
    </row>
    <row r="228" spans="2:10">
      <c r="B228" s="77"/>
      <c r="C228" s="79"/>
      <c r="D228" s="78">
        <v>22</v>
      </c>
      <c r="E228" s="79" t="s">
        <v>352</v>
      </c>
      <c r="F228" s="87" t="s">
        <v>444</v>
      </c>
      <c r="G228" s="79"/>
      <c r="H228" s="105" t="s">
        <v>444</v>
      </c>
      <c r="I228" s="87" t="s">
        <v>444</v>
      </c>
      <c r="J228" s="79"/>
    </row>
    <row r="229" spans="2:10">
      <c r="B229" s="77"/>
      <c r="C229" s="79"/>
      <c r="D229" s="78">
        <v>23</v>
      </c>
      <c r="E229" s="79" t="s">
        <v>353</v>
      </c>
      <c r="F229" s="87" t="s">
        <v>444</v>
      </c>
      <c r="G229" s="79"/>
      <c r="H229" s="105" t="s">
        <v>444</v>
      </c>
      <c r="I229" s="87" t="s">
        <v>444</v>
      </c>
      <c r="J229" s="79"/>
    </row>
    <row r="230" spans="2:10">
      <c r="B230" s="77"/>
      <c r="C230" s="79"/>
      <c r="D230" s="78">
        <v>24</v>
      </c>
      <c r="E230" s="79" t="s">
        <v>354</v>
      </c>
      <c r="F230" s="87" t="s">
        <v>444</v>
      </c>
      <c r="G230" s="79"/>
      <c r="H230" s="105" t="s">
        <v>444</v>
      </c>
      <c r="I230" s="87" t="s">
        <v>444</v>
      </c>
      <c r="J230" s="79"/>
    </row>
    <row r="231" spans="2:10">
      <c r="B231" s="77"/>
      <c r="C231" s="79"/>
      <c r="D231" s="78">
        <v>25</v>
      </c>
      <c r="E231" s="79" t="s">
        <v>355</v>
      </c>
      <c r="F231" s="87" t="s">
        <v>444</v>
      </c>
      <c r="G231" s="79"/>
      <c r="H231" s="105" t="s">
        <v>444</v>
      </c>
      <c r="I231" s="87" t="s">
        <v>444</v>
      </c>
      <c r="J231" s="79"/>
    </row>
    <row r="232" spans="2:10">
      <c r="B232" s="77"/>
      <c r="C232" s="79"/>
      <c r="D232" s="78">
        <v>26</v>
      </c>
      <c r="E232" s="79" t="s">
        <v>356</v>
      </c>
      <c r="F232" s="87" t="s">
        <v>444</v>
      </c>
      <c r="G232" s="79"/>
      <c r="H232" s="105" t="s">
        <v>444</v>
      </c>
      <c r="I232" s="87" t="s">
        <v>444</v>
      </c>
      <c r="J232" s="79"/>
    </row>
    <row r="233" spans="2:10">
      <c r="B233" s="77"/>
      <c r="C233" s="79"/>
      <c r="D233" s="78">
        <v>27</v>
      </c>
      <c r="E233" s="79" t="s">
        <v>357</v>
      </c>
      <c r="F233" s="87" t="s">
        <v>444</v>
      </c>
      <c r="G233" s="79"/>
      <c r="H233" s="105" t="s">
        <v>444</v>
      </c>
      <c r="I233" s="87" t="s">
        <v>444</v>
      </c>
      <c r="J233" s="79"/>
    </row>
    <row r="234" spans="2:10">
      <c r="B234" s="77"/>
      <c r="C234" s="79"/>
      <c r="D234" s="78">
        <v>28</v>
      </c>
      <c r="E234" s="79" t="s">
        <v>358</v>
      </c>
      <c r="F234" s="87" t="s">
        <v>444</v>
      </c>
      <c r="G234" s="79"/>
      <c r="H234" s="105" t="s">
        <v>444</v>
      </c>
      <c r="I234" s="87" t="s">
        <v>444</v>
      </c>
      <c r="J234" s="79"/>
    </row>
    <row r="235" spans="2:10">
      <c r="B235" s="77"/>
      <c r="C235" s="79"/>
      <c r="D235" s="78">
        <v>29</v>
      </c>
      <c r="E235" s="79" t="s">
        <v>359</v>
      </c>
      <c r="F235" s="87" t="s">
        <v>444</v>
      </c>
      <c r="G235" s="79"/>
      <c r="H235" s="105" t="s">
        <v>444</v>
      </c>
      <c r="I235" s="87" t="s">
        <v>444</v>
      </c>
      <c r="J235" s="79"/>
    </row>
    <row r="236" spans="2:10">
      <c r="B236" s="77"/>
      <c r="C236" s="79"/>
      <c r="D236" s="78">
        <v>30</v>
      </c>
      <c r="E236" s="79" t="s">
        <v>360</v>
      </c>
      <c r="F236" s="87" t="s">
        <v>444</v>
      </c>
      <c r="G236" s="79"/>
      <c r="H236" s="105" t="s">
        <v>444</v>
      </c>
      <c r="I236" s="87" t="s">
        <v>444</v>
      </c>
      <c r="J236" s="79"/>
    </row>
    <row r="237" spans="2:10">
      <c r="B237" s="77"/>
      <c r="C237" s="79"/>
      <c r="D237" s="78">
        <v>31</v>
      </c>
      <c r="E237" s="79" t="s">
        <v>361</v>
      </c>
      <c r="F237" s="87" t="s">
        <v>444</v>
      </c>
      <c r="G237" s="79"/>
      <c r="H237" s="105" t="s">
        <v>444</v>
      </c>
      <c r="I237" s="87" t="s">
        <v>444</v>
      </c>
      <c r="J237" s="79"/>
    </row>
    <row r="238" spans="2:10">
      <c r="B238" s="77"/>
      <c r="C238" s="79"/>
      <c r="D238" s="78">
        <v>32</v>
      </c>
      <c r="E238" s="79" t="s">
        <v>362</v>
      </c>
      <c r="F238" s="87" t="s">
        <v>444</v>
      </c>
      <c r="G238" s="79"/>
      <c r="H238" s="105" t="s">
        <v>444</v>
      </c>
      <c r="I238" s="87" t="s">
        <v>444</v>
      </c>
      <c r="J238" s="79"/>
    </row>
    <row r="239" spans="2:10">
      <c r="B239" s="77"/>
      <c r="C239" s="79"/>
      <c r="D239" s="78">
        <v>33</v>
      </c>
      <c r="E239" s="79" t="s">
        <v>363</v>
      </c>
      <c r="F239" s="87" t="s">
        <v>444</v>
      </c>
      <c r="G239" s="79"/>
      <c r="H239" s="105" t="s">
        <v>444</v>
      </c>
      <c r="I239" s="87" t="s">
        <v>444</v>
      </c>
      <c r="J239" s="79"/>
    </row>
    <row r="240" spans="2:10">
      <c r="B240" s="77"/>
      <c r="C240" s="79"/>
      <c r="D240" s="78">
        <v>34</v>
      </c>
      <c r="E240" s="79" t="s">
        <v>364</v>
      </c>
      <c r="F240" s="87" t="s">
        <v>444</v>
      </c>
      <c r="G240" s="79"/>
      <c r="H240" s="105" t="s">
        <v>444</v>
      </c>
      <c r="I240" s="87" t="s">
        <v>444</v>
      </c>
      <c r="J240" s="79"/>
    </row>
    <row r="241" spans="2:10">
      <c r="B241" s="77"/>
      <c r="C241" s="79"/>
      <c r="D241" s="78">
        <v>35</v>
      </c>
      <c r="E241" s="79" t="s">
        <v>365</v>
      </c>
      <c r="F241" s="87" t="s">
        <v>444</v>
      </c>
      <c r="G241" s="79"/>
      <c r="H241" s="106"/>
      <c r="I241" s="87" t="s">
        <v>444</v>
      </c>
      <c r="J241" s="79"/>
    </row>
    <row r="242" spans="2:10">
      <c r="B242" s="77"/>
      <c r="C242" s="79"/>
      <c r="D242" s="78">
        <v>36</v>
      </c>
      <c r="E242" s="79" t="s">
        <v>366</v>
      </c>
      <c r="F242" s="87" t="s">
        <v>444</v>
      </c>
      <c r="G242" s="79"/>
      <c r="H242" s="105" t="s">
        <v>444</v>
      </c>
      <c r="I242" s="87" t="s">
        <v>444</v>
      </c>
      <c r="J242" s="79"/>
    </row>
    <row r="243" spans="2:10">
      <c r="B243" s="77"/>
      <c r="C243" s="79"/>
      <c r="D243" s="78">
        <v>37</v>
      </c>
      <c r="E243" s="79" t="s">
        <v>367</v>
      </c>
      <c r="F243" s="87" t="s">
        <v>444</v>
      </c>
      <c r="G243" s="79"/>
      <c r="H243" s="105" t="s">
        <v>444</v>
      </c>
      <c r="I243" s="87" t="s">
        <v>444</v>
      </c>
      <c r="J243" s="79"/>
    </row>
    <row r="244" spans="2:10">
      <c r="B244" s="77"/>
      <c r="C244" s="79"/>
      <c r="D244" s="78">
        <v>38</v>
      </c>
      <c r="E244" s="79" t="s">
        <v>368</v>
      </c>
      <c r="F244" s="87" t="s">
        <v>444</v>
      </c>
      <c r="G244" s="79"/>
      <c r="H244" s="105" t="s">
        <v>444</v>
      </c>
      <c r="I244" s="87" t="s">
        <v>444</v>
      </c>
      <c r="J244" s="79"/>
    </row>
    <row r="245" spans="2:10">
      <c r="B245" s="77"/>
      <c r="C245" s="79"/>
      <c r="D245" s="78">
        <v>39</v>
      </c>
      <c r="E245" s="79" t="s">
        <v>369</v>
      </c>
      <c r="F245" s="87" t="s">
        <v>444</v>
      </c>
      <c r="G245" s="79"/>
      <c r="H245" s="106"/>
      <c r="I245" s="87" t="s">
        <v>444</v>
      </c>
      <c r="J245" s="79"/>
    </row>
    <row r="246" spans="2:10">
      <c r="B246" s="77"/>
      <c r="C246" s="79"/>
      <c r="D246" s="78">
        <v>40</v>
      </c>
      <c r="E246" s="79" t="s">
        <v>370</v>
      </c>
      <c r="F246" s="87" t="s">
        <v>444</v>
      </c>
      <c r="G246" s="79"/>
      <c r="H246" s="106"/>
      <c r="I246" s="87" t="s">
        <v>444</v>
      </c>
      <c r="J246" s="79"/>
    </row>
    <row r="247" spans="2:10">
      <c r="B247" s="77"/>
      <c r="C247" s="79"/>
      <c r="D247" s="78">
        <v>41</v>
      </c>
      <c r="E247" s="79" t="s">
        <v>371</v>
      </c>
      <c r="F247" s="87" t="s">
        <v>444</v>
      </c>
      <c r="G247" s="79"/>
      <c r="H247" s="105" t="s">
        <v>444</v>
      </c>
      <c r="I247" s="87" t="s">
        <v>444</v>
      </c>
      <c r="J247" s="79"/>
    </row>
    <row r="248" spans="2:10">
      <c r="B248" s="77"/>
      <c r="C248" s="79"/>
      <c r="D248" s="78">
        <v>42</v>
      </c>
      <c r="E248" s="79" t="s">
        <v>372</v>
      </c>
      <c r="F248" s="87" t="s">
        <v>444</v>
      </c>
      <c r="G248" s="79"/>
      <c r="H248" s="105" t="s">
        <v>444</v>
      </c>
      <c r="I248" s="87" t="s">
        <v>444</v>
      </c>
      <c r="J248" s="79"/>
    </row>
    <row r="249" spans="2:10">
      <c r="B249" s="77"/>
      <c r="C249" s="79"/>
      <c r="D249" s="78">
        <v>43</v>
      </c>
      <c r="E249" s="79" t="s">
        <v>373</v>
      </c>
      <c r="F249" s="87" t="s">
        <v>444</v>
      </c>
      <c r="G249" s="79"/>
      <c r="H249" s="105" t="s">
        <v>444</v>
      </c>
      <c r="I249" s="87" t="s">
        <v>444</v>
      </c>
      <c r="J249" s="79"/>
    </row>
    <row r="250" spans="2:10">
      <c r="B250" s="77"/>
      <c r="C250" s="79"/>
      <c r="D250" s="78">
        <v>44</v>
      </c>
      <c r="E250" s="79" t="s">
        <v>374</v>
      </c>
      <c r="F250" s="87" t="s">
        <v>444</v>
      </c>
      <c r="G250" s="79"/>
      <c r="H250" s="105" t="s">
        <v>444</v>
      </c>
      <c r="I250" s="87" t="s">
        <v>444</v>
      </c>
      <c r="J250" s="79"/>
    </row>
    <row r="251" spans="2:10">
      <c r="B251" s="77"/>
      <c r="C251" s="79"/>
      <c r="D251" s="78">
        <v>45</v>
      </c>
      <c r="E251" s="79" t="s">
        <v>375</v>
      </c>
      <c r="F251" s="87" t="s">
        <v>444</v>
      </c>
      <c r="G251" s="79"/>
      <c r="H251" s="105" t="s">
        <v>444</v>
      </c>
      <c r="I251" s="87" t="s">
        <v>444</v>
      </c>
      <c r="J251" s="79"/>
    </row>
    <row r="252" spans="2:10">
      <c r="B252" s="77"/>
      <c r="C252" s="79"/>
      <c r="D252" s="78">
        <v>46</v>
      </c>
      <c r="E252" s="79" t="s">
        <v>376</v>
      </c>
      <c r="F252" s="87" t="s">
        <v>444</v>
      </c>
      <c r="G252" s="79"/>
      <c r="H252" s="106"/>
      <c r="I252" s="87" t="s">
        <v>444</v>
      </c>
      <c r="J252" s="79"/>
    </row>
    <row r="253" spans="2:10">
      <c r="B253" s="77"/>
      <c r="C253" s="79"/>
      <c r="D253" s="78">
        <v>47</v>
      </c>
      <c r="E253" s="79" t="s">
        <v>377</v>
      </c>
      <c r="F253" s="87" t="s">
        <v>444</v>
      </c>
      <c r="G253" s="79"/>
      <c r="H253" s="106"/>
      <c r="I253" s="87" t="s">
        <v>444</v>
      </c>
      <c r="J253" s="79"/>
    </row>
    <row r="254" spans="2:10">
      <c r="B254" s="77"/>
      <c r="C254" s="79"/>
      <c r="D254" s="78">
        <v>48</v>
      </c>
      <c r="E254" s="79" t="s">
        <v>378</v>
      </c>
      <c r="F254" s="87" t="s">
        <v>444</v>
      </c>
      <c r="G254" s="79"/>
      <c r="H254" s="105" t="s">
        <v>444</v>
      </c>
      <c r="I254" s="87" t="s">
        <v>444</v>
      </c>
      <c r="J254" s="79"/>
    </row>
    <row r="255" spans="2:10">
      <c r="B255" s="77"/>
      <c r="C255" s="79"/>
      <c r="D255" s="78">
        <v>49</v>
      </c>
      <c r="E255" s="79" t="s">
        <v>379</v>
      </c>
      <c r="F255" s="87" t="s">
        <v>444</v>
      </c>
      <c r="G255" s="79"/>
      <c r="H255" s="105" t="s">
        <v>444</v>
      </c>
      <c r="I255" s="87" t="s">
        <v>444</v>
      </c>
      <c r="J255" s="79"/>
    </row>
    <row r="256" spans="2:10">
      <c r="B256" s="77"/>
      <c r="C256" s="79"/>
      <c r="D256" s="78">
        <v>50</v>
      </c>
      <c r="E256" s="79" t="s">
        <v>380</v>
      </c>
      <c r="F256" s="87" t="s">
        <v>444</v>
      </c>
      <c r="G256" s="79"/>
      <c r="H256" s="105" t="s">
        <v>444</v>
      </c>
      <c r="I256" s="87" t="s">
        <v>444</v>
      </c>
      <c r="J256" s="79"/>
    </row>
    <row r="257" spans="2:10">
      <c r="B257" s="77"/>
      <c r="C257" s="79"/>
      <c r="D257" s="78">
        <v>51</v>
      </c>
      <c r="E257" s="79" t="s">
        <v>381</v>
      </c>
      <c r="F257" s="87" t="s">
        <v>444</v>
      </c>
      <c r="G257" s="79"/>
      <c r="H257" s="105" t="s">
        <v>444</v>
      </c>
      <c r="I257" s="87" t="s">
        <v>444</v>
      </c>
      <c r="J257" s="79"/>
    </row>
    <row r="258" spans="2:10">
      <c r="B258" s="77"/>
      <c r="C258" s="79"/>
      <c r="D258" s="78">
        <v>52</v>
      </c>
      <c r="E258" s="79" t="s">
        <v>382</v>
      </c>
      <c r="F258" s="87" t="s">
        <v>444</v>
      </c>
      <c r="G258" s="79"/>
      <c r="H258" s="105" t="s">
        <v>444</v>
      </c>
      <c r="I258" s="87" t="s">
        <v>444</v>
      </c>
      <c r="J258" s="79"/>
    </row>
    <row r="259" spans="2:10">
      <c r="B259" s="77"/>
      <c r="C259" s="79"/>
      <c r="D259" s="78">
        <v>53</v>
      </c>
      <c r="E259" s="79" t="s">
        <v>383</v>
      </c>
      <c r="F259" s="87" t="s">
        <v>444</v>
      </c>
      <c r="G259" s="79"/>
      <c r="H259" s="105" t="s">
        <v>444</v>
      </c>
      <c r="I259" s="87" t="s">
        <v>444</v>
      </c>
      <c r="J259" s="79"/>
    </row>
    <row r="260" spans="2:10">
      <c r="B260" s="77"/>
      <c r="C260" s="79"/>
      <c r="D260" s="78">
        <v>54</v>
      </c>
      <c r="E260" s="79" t="s">
        <v>384</v>
      </c>
      <c r="F260" s="87" t="s">
        <v>444</v>
      </c>
      <c r="G260" s="79"/>
      <c r="H260" s="105" t="s">
        <v>444</v>
      </c>
      <c r="I260" s="87" t="s">
        <v>444</v>
      </c>
      <c r="J260" s="79"/>
    </row>
    <row r="261" spans="2:10">
      <c r="B261" s="77"/>
      <c r="C261" s="79"/>
      <c r="D261" s="78">
        <v>55</v>
      </c>
      <c r="E261" s="79" t="s">
        <v>385</v>
      </c>
      <c r="F261" s="87" t="s">
        <v>444</v>
      </c>
      <c r="G261" s="79"/>
      <c r="H261" s="105" t="s">
        <v>444</v>
      </c>
      <c r="I261" s="87" t="s">
        <v>444</v>
      </c>
      <c r="J261" s="79"/>
    </row>
    <row r="262" spans="2:10">
      <c r="B262" s="77"/>
      <c r="C262" s="79"/>
      <c r="D262" s="78">
        <v>56</v>
      </c>
      <c r="E262" s="79" t="s">
        <v>386</v>
      </c>
      <c r="F262" s="87" t="s">
        <v>444</v>
      </c>
      <c r="G262" s="79"/>
      <c r="H262" s="105" t="s">
        <v>444</v>
      </c>
      <c r="I262" s="87" t="s">
        <v>444</v>
      </c>
      <c r="J262" s="79"/>
    </row>
    <row r="263" spans="2:10">
      <c r="B263" s="77"/>
      <c r="C263" s="79"/>
      <c r="D263" s="78">
        <v>57</v>
      </c>
      <c r="E263" s="79" t="s">
        <v>387</v>
      </c>
      <c r="F263" s="87" t="s">
        <v>444</v>
      </c>
      <c r="G263" s="79"/>
      <c r="H263" s="105" t="s">
        <v>444</v>
      </c>
      <c r="I263" s="87" t="s">
        <v>444</v>
      </c>
      <c r="J263" s="79"/>
    </row>
    <row r="264" spans="2:10">
      <c r="B264" s="77"/>
      <c r="C264" s="79"/>
      <c r="D264" s="78">
        <v>58</v>
      </c>
      <c r="E264" s="79" t="s">
        <v>388</v>
      </c>
      <c r="F264" s="87" t="s">
        <v>444</v>
      </c>
      <c r="G264" s="79"/>
      <c r="H264" s="105" t="s">
        <v>444</v>
      </c>
      <c r="I264" s="87" t="s">
        <v>444</v>
      </c>
      <c r="J264" s="79"/>
    </row>
    <row r="265" spans="2:10">
      <c r="B265" s="77"/>
      <c r="C265" s="79"/>
      <c r="D265" s="78">
        <v>59</v>
      </c>
      <c r="E265" s="79" t="s">
        <v>389</v>
      </c>
      <c r="F265" s="87" t="s">
        <v>444</v>
      </c>
      <c r="G265" s="79"/>
      <c r="H265" s="105" t="s">
        <v>444</v>
      </c>
      <c r="I265" s="87" t="s">
        <v>444</v>
      </c>
      <c r="J265" s="79"/>
    </row>
    <row r="266" spans="2:10">
      <c r="B266" s="77"/>
      <c r="C266" s="79"/>
      <c r="D266" s="78">
        <v>60</v>
      </c>
      <c r="E266" s="79" t="s">
        <v>390</v>
      </c>
      <c r="F266" s="87" t="s">
        <v>444</v>
      </c>
      <c r="G266" s="79"/>
      <c r="H266" s="105" t="s">
        <v>444</v>
      </c>
      <c r="I266" s="87" t="s">
        <v>444</v>
      </c>
      <c r="J266" s="79"/>
    </row>
    <row r="267" spans="2:10">
      <c r="B267" s="77"/>
      <c r="C267" s="79"/>
      <c r="D267" s="78">
        <v>61</v>
      </c>
      <c r="E267" s="79" t="s">
        <v>391</v>
      </c>
      <c r="F267" s="87" t="s">
        <v>444</v>
      </c>
      <c r="G267" s="79"/>
      <c r="H267" s="105" t="s">
        <v>444</v>
      </c>
      <c r="I267" s="87" t="s">
        <v>444</v>
      </c>
      <c r="J267" s="79"/>
    </row>
    <row r="268" spans="2:10">
      <c r="B268" s="77"/>
      <c r="C268" s="79"/>
      <c r="D268" s="78">
        <v>62</v>
      </c>
      <c r="E268" s="79" t="s">
        <v>392</v>
      </c>
      <c r="F268" s="87" t="s">
        <v>444</v>
      </c>
      <c r="G268" s="79"/>
      <c r="H268" s="105" t="s">
        <v>444</v>
      </c>
      <c r="I268" s="87" t="s">
        <v>444</v>
      </c>
      <c r="J268" s="79"/>
    </row>
    <row r="269" spans="2:10">
      <c r="B269" s="77"/>
      <c r="C269" s="79"/>
      <c r="D269" s="78">
        <v>63</v>
      </c>
      <c r="E269" s="79" t="s">
        <v>393</v>
      </c>
      <c r="F269" s="87" t="s">
        <v>444</v>
      </c>
      <c r="G269" s="79"/>
      <c r="H269" s="105" t="s">
        <v>444</v>
      </c>
      <c r="I269" s="87" t="s">
        <v>444</v>
      </c>
      <c r="J269" s="79"/>
    </row>
    <row r="270" spans="2:10">
      <c r="B270" s="77"/>
      <c r="C270" s="79"/>
      <c r="D270" s="78">
        <v>64</v>
      </c>
      <c r="E270" s="79" t="s">
        <v>394</v>
      </c>
      <c r="F270" s="87" t="s">
        <v>444</v>
      </c>
      <c r="G270" s="94"/>
      <c r="H270" s="105" t="s">
        <v>444</v>
      </c>
      <c r="I270" s="87" t="s">
        <v>444</v>
      </c>
      <c r="J270" s="79"/>
    </row>
    <row r="271" spans="2:10">
      <c r="B271" s="77"/>
      <c r="C271" s="79"/>
      <c r="D271" s="78">
        <v>65</v>
      </c>
      <c r="E271" s="79" t="s">
        <v>395</v>
      </c>
      <c r="F271" s="87" t="s">
        <v>444</v>
      </c>
      <c r="G271" s="87"/>
      <c r="H271" s="105" t="s">
        <v>444</v>
      </c>
      <c r="I271" s="87" t="s">
        <v>444</v>
      </c>
      <c r="J271" s="79"/>
    </row>
    <row r="272" spans="2:10">
      <c r="B272" s="77"/>
      <c r="C272" s="79"/>
      <c r="D272" s="78">
        <v>66</v>
      </c>
      <c r="E272" s="79" t="s">
        <v>396</v>
      </c>
      <c r="F272" s="87" t="s">
        <v>444</v>
      </c>
      <c r="G272" s="87"/>
      <c r="H272" s="105"/>
      <c r="I272" s="87" t="s">
        <v>444</v>
      </c>
      <c r="J272" s="79"/>
    </row>
    <row r="273" spans="2:10">
      <c r="B273" s="77"/>
      <c r="C273" s="79"/>
      <c r="D273" s="78">
        <v>67</v>
      </c>
      <c r="E273" s="79" t="s">
        <v>397</v>
      </c>
      <c r="F273" s="87" t="s">
        <v>444</v>
      </c>
      <c r="G273" s="87"/>
      <c r="H273" s="105" t="s">
        <v>444</v>
      </c>
      <c r="I273" s="87" t="s">
        <v>444</v>
      </c>
      <c r="J273" s="79"/>
    </row>
    <row r="274" spans="2:10">
      <c r="B274" s="77"/>
      <c r="C274" s="79"/>
      <c r="D274" s="78">
        <v>68</v>
      </c>
      <c r="E274" s="79" t="s">
        <v>398</v>
      </c>
      <c r="F274" s="87" t="s">
        <v>444</v>
      </c>
      <c r="G274" s="87"/>
      <c r="H274" s="105" t="s">
        <v>444</v>
      </c>
      <c r="I274" s="87" t="s">
        <v>444</v>
      </c>
      <c r="J274" s="79"/>
    </row>
    <row r="275" spans="2:10">
      <c r="B275" s="77"/>
      <c r="C275" s="79"/>
      <c r="D275" s="78">
        <v>69</v>
      </c>
      <c r="E275" s="79" t="s">
        <v>399</v>
      </c>
      <c r="F275" s="87" t="s">
        <v>444</v>
      </c>
      <c r="G275" s="87"/>
      <c r="H275" s="105" t="s">
        <v>444</v>
      </c>
      <c r="I275" s="87" t="s">
        <v>444</v>
      </c>
      <c r="J275" s="79"/>
    </row>
    <row r="276" spans="2:10">
      <c r="B276" s="77"/>
      <c r="C276" s="79"/>
      <c r="D276" s="78">
        <v>70</v>
      </c>
      <c r="E276" s="79" t="s">
        <v>400</v>
      </c>
      <c r="F276" s="87" t="s">
        <v>444</v>
      </c>
      <c r="G276" s="87"/>
      <c r="H276" s="105" t="s">
        <v>444</v>
      </c>
      <c r="I276" s="87" t="s">
        <v>444</v>
      </c>
      <c r="J276" s="79"/>
    </row>
    <row r="277" spans="2:10">
      <c r="B277" s="77"/>
      <c r="C277" s="79"/>
      <c r="D277" s="78">
        <v>71</v>
      </c>
      <c r="E277" s="79" t="s">
        <v>401</v>
      </c>
      <c r="F277" s="87" t="s">
        <v>444</v>
      </c>
      <c r="G277" s="87"/>
      <c r="H277" s="105"/>
      <c r="I277" s="87" t="s">
        <v>444</v>
      </c>
      <c r="J277" s="79"/>
    </row>
    <row r="278" spans="2:10">
      <c r="B278" s="77"/>
      <c r="C278" s="79"/>
      <c r="D278" s="78">
        <v>72</v>
      </c>
      <c r="E278" s="79" t="s">
        <v>402</v>
      </c>
      <c r="F278" s="87" t="s">
        <v>444</v>
      </c>
      <c r="G278" s="87"/>
      <c r="H278" s="106"/>
      <c r="I278" s="87" t="s">
        <v>444</v>
      </c>
      <c r="J278" s="79"/>
    </row>
    <row r="279" spans="2:10">
      <c r="B279" s="77"/>
      <c r="C279" s="79"/>
      <c r="D279" s="78">
        <v>73</v>
      </c>
      <c r="E279" s="79" t="s">
        <v>403</v>
      </c>
      <c r="F279" s="87" t="s">
        <v>444</v>
      </c>
      <c r="G279" s="87"/>
      <c r="H279" s="106"/>
      <c r="I279" s="87" t="s">
        <v>444</v>
      </c>
      <c r="J279" s="79"/>
    </row>
    <row r="280" spans="2:10">
      <c r="B280" s="77"/>
      <c r="C280" s="79"/>
      <c r="D280" s="78">
        <v>74</v>
      </c>
      <c r="E280" s="79" t="s">
        <v>404</v>
      </c>
      <c r="F280" s="87" t="s">
        <v>444</v>
      </c>
      <c r="G280" s="87"/>
      <c r="H280" s="106"/>
      <c r="I280" s="87" t="s">
        <v>444</v>
      </c>
      <c r="J280" s="79"/>
    </row>
    <row r="281" spans="2:10">
      <c r="B281" s="77"/>
      <c r="C281" s="79"/>
      <c r="D281" s="78">
        <v>75</v>
      </c>
      <c r="E281" s="79" t="s">
        <v>405</v>
      </c>
      <c r="F281" s="87" t="s">
        <v>444</v>
      </c>
      <c r="G281" s="87"/>
      <c r="H281" s="106"/>
      <c r="I281" s="87" t="s">
        <v>444</v>
      </c>
      <c r="J281" s="79"/>
    </row>
    <row r="282" spans="2:10">
      <c r="B282" s="77"/>
      <c r="C282" s="79"/>
      <c r="D282" s="78"/>
      <c r="E282" s="79"/>
      <c r="F282" s="87"/>
      <c r="G282" s="87"/>
      <c r="H282" s="106"/>
      <c r="I282" s="106"/>
      <c r="J282" s="79"/>
    </row>
    <row r="283" spans="2:10">
      <c r="B283" s="77">
        <v>9</v>
      </c>
      <c r="C283" s="88" t="s">
        <v>420</v>
      </c>
      <c r="D283" s="78">
        <v>1</v>
      </c>
      <c r="E283" s="79" t="s">
        <v>421</v>
      </c>
      <c r="F283" s="87" t="s">
        <v>444</v>
      </c>
      <c r="G283" s="87"/>
      <c r="H283" s="106"/>
      <c r="I283" s="87" t="s">
        <v>444</v>
      </c>
      <c r="J283" s="79"/>
    </row>
    <row r="284" spans="2:10">
      <c r="B284" s="77"/>
      <c r="C284" s="79" t="s">
        <v>462</v>
      </c>
      <c r="D284" s="78">
        <v>2</v>
      </c>
      <c r="E284" s="79" t="s">
        <v>422</v>
      </c>
      <c r="F284" s="87" t="s">
        <v>444</v>
      </c>
      <c r="G284" s="87"/>
      <c r="H284" s="106"/>
      <c r="I284" s="87" t="s">
        <v>444</v>
      </c>
      <c r="J284" s="79"/>
    </row>
    <row r="285" spans="2:10">
      <c r="B285" s="77"/>
      <c r="C285" s="79"/>
      <c r="D285" s="78">
        <v>3</v>
      </c>
      <c r="E285" s="79" t="s">
        <v>423</v>
      </c>
      <c r="F285" s="87" t="s">
        <v>444</v>
      </c>
      <c r="G285" s="87"/>
      <c r="H285" s="106"/>
      <c r="I285" s="87" t="s">
        <v>444</v>
      </c>
      <c r="J285" s="79"/>
    </row>
    <row r="286" spans="2:10">
      <c r="B286" s="77"/>
      <c r="C286" s="79"/>
      <c r="D286" s="78">
        <v>4</v>
      </c>
      <c r="E286" s="79" t="s">
        <v>424</v>
      </c>
      <c r="F286" s="87" t="s">
        <v>444</v>
      </c>
      <c r="G286" s="87"/>
      <c r="H286" s="106"/>
      <c r="I286" s="87" t="s">
        <v>444</v>
      </c>
      <c r="J286" s="79"/>
    </row>
    <row r="287" spans="2:10">
      <c r="B287" s="77"/>
      <c r="C287" s="79"/>
      <c r="D287" s="78">
        <v>5</v>
      </c>
      <c r="E287" s="79" t="s">
        <v>425</v>
      </c>
      <c r="F287" s="87" t="s">
        <v>444</v>
      </c>
      <c r="G287" s="87"/>
      <c r="H287" s="106"/>
      <c r="I287" s="87" t="s">
        <v>444</v>
      </c>
      <c r="J287" s="79"/>
    </row>
    <row r="288" spans="2:10">
      <c r="B288" s="77"/>
      <c r="C288" s="79"/>
      <c r="D288" s="78">
        <v>6</v>
      </c>
      <c r="E288" s="79" t="s">
        <v>426</v>
      </c>
      <c r="F288" s="87" t="s">
        <v>444</v>
      </c>
      <c r="G288" s="87"/>
      <c r="H288" s="106"/>
      <c r="I288" s="87" t="s">
        <v>444</v>
      </c>
      <c r="J288" s="79"/>
    </row>
    <row r="289" spans="2:10">
      <c r="B289" s="77"/>
      <c r="C289" s="79"/>
      <c r="D289" s="78">
        <v>7</v>
      </c>
      <c r="E289" s="79" t="s">
        <v>427</v>
      </c>
      <c r="F289" s="87" t="s">
        <v>444</v>
      </c>
      <c r="G289" s="87"/>
      <c r="H289" s="106"/>
      <c r="I289" s="87" t="s">
        <v>444</v>
      </c>
      <c r="J289" s="79"/>
    </row>
    <row r="290" spans="2:10">
      <c r="B290" s="77"/>
      <c r="C290" s="79"/>
      <c r="D290" s="78">
        <v>8</v>
      </c>
      <c r="E290" s="79" t="s">
        <v>428</v>
      </c>
      <c r="F290" s="87" t="s">
        <v>444</v>
      </c>
      <c r="G290" s="87"/>
      <c r="H290" s="106"/>
      <c r="I290" s="87" t="s">
        <v>444</v>
      </c>
      <c r="J290" s="79"/>
    </row>
    <row r="291" spans="2:10">
      <c r="B291" s="77"/>
      <c r="C291" s="79"/>
      <c r="D291" s="78">
        <v>9</v>
      </c>
      <c r="E291" s="79" t="s">
        <v>429</v>
      </c>
      <c r="F291" s="87" t="s">
        <v>444</v>
      </c>
      <c r="G291" s="87"/>
      <c r="H291" s="106"/>
      <c r="I291" s="87" t="s">
        <v>444</v>
      </c>
      <c r="J291" s="79"/>
    </row>
    <row r="292" spans="2:10">
      <c r="B292" s="77"/>
      <c r="C292" s="79"/>
      <c r="D292" s="78">
        <v>10</v>
      </c>
      <c r="E292" s="79" t="s">
        <v>430</v>
      </c>
      <c r="F292" s="87" t="s">
        <v>444</v>
      </c>
      <c r="G292" s="87"/>
      <c r="H292" s="106"/>
      <c r="I292" s="87" t="s">
        <v>444</v>
      </c>
      <c r="J292" s="79"/>
    </row>
    <row r="293" spans="2:10">
      <c r="B293" s="77"/>
      <c r="C293" s="79"/>
      <c r="D293" s="78">
        <v>11</v>
      </c>
      <c r="E293" s="79" t="s">
        <v>431</v>
      </c>
      <c r="F293" s="87" t="s">
        <v>444</v>
      </c>
      <c r="G293" s="87"/>
      <c r="H293" s="106"/>
      <c r="I293" s="87" t="s">
        <v>444</v>
      </c>
      <c r="J293" s="79"/>
    </row>
    <row r="294" spans="2:10">
      <c r="B294" s="77"/>
      <c r="C294" s="79"/>
      <c r="D294" s="78">
        <v>12</v>
      </c>
      <c r="E294" s="79" t="s">
        <v>432</v>
      </c>
      <c r="F294" s="87" t="s">
        <v>444</v>
      </c>
      <c r="G294" s="87"/>
      <c r="H294" s="106"/>
      <c r="I294" s="87" t="s">
        <v>444</v>
      </c>
      <c r="J294" s="79"/>
    </row>
    <row r="295" spans="2:10">
      <c r="B295" s="77"/>
      <c r="C295" s="79"/>
      <c r="D295" s="78">
        <v>13</v>
      </c>
      <c r="E295" s="79" t="s">
        <v>433</v>
      </c>
      <c r="F295" s="87" t="s">
        <v>444</v>
      </c>
      <c r="G295" s="87"/>
      <c r="H295" s="106"/>
      <c r="I295" s="87" t="s">
        <v>444</v>
      </c>
      <c r="J295" s="79"/>
    </row>
    <row r="296" spans="2:10">
      <c r="B296" s="77"/>
      <c r="C296" s="79"/>
      <c r="D296" s="78">
        <v>14</v>
      </c>
      <c r="E296" s="79" t="s">
        <v>434</v>
      </c>
      <c r="F296" s="87" t="s">
        <v>444</v>
      </c>
      <c r="G296" s="87"/>
      <c r="H296" s="106"/>
      <c r="I296" s="87" t="s">
        <v>444</v>
      </c>
      <c r="J296" s="79"/>
    </row>
    <row r="297" spans="2:10">
      <c r="B297" s="77"/>
      <c r="C297" s="79"/>
      <c r="D297" s="78">
        <v>15</v>
      </c>
      <c r="E297" s="79" t="s">
        <v>435</v>
      </c>
      <c r="F297" s="87" t="s">
        <v>444</v>
      </c>
      <c r="G297" s="87"/>
      <c r="H297" s="106"/>
      <c r="I297" s="87" t="s">
        <v>444</v>
      </c>
      <c r="J297" s="79"/>
    </row>
    <row r="298" spans="2:10">
      <c r="B298" s="77"/>
      <c r="C298" s="79"/>
      <c r="D298" s="78">
        <v>16</v>
      </c>
      <c r="E298" s="79" t="s">
        <v>436</v>
      </c>
      <c r="F298" s="87" t="s">
        <v>444</v>
      </c>
      <c r="G298" s="87"/>
      <c r="H298" s="106"/>
      <c r="I298" s="87" t="s">
        <v>444</v>
      </c>
      <c r="J298" s="79"/>
    </row>
    <row r="299" spans="2:10">
      <c r="B299" s="77"/>
      <c r="C299" s="79"/>
      <c r="D299" s="78">
        <v>17</v>
      </c>
      <c r="E299" s="79" t="s">
        <v>437</v>
      </c>
      <c r="F299" s="87" t="s">
        <v>444</v>
      </c>
      <c r="G299" s="87"/>
      <c r="H299" s="106"/>
      <c r="I299" s="87" t="s">
        <v>444</v>
      </c>
      <c r="J299" s="79"/>
    </row>
    <row r="300" spans="2:10">
      <c r="B300" s="77"/>
      <c r="C300" s="79"/>
      <c r="D300" s="78">
        <v>18</v>
      </c>
      <c r="E300" s="79" t="s">
        <v>438</v>
      </c>
      <c r="F300" s="87" t="s">
        <v>444</v>
      </c>
      <c r="G300" s="87"/>
      <c r="H300" s="106"/>
      <c r="I300" s="87" t="s">
        <v>444</v>
      </c>
      <c r="J300" s="79"/>
    </row>
  </sheetData>
  <mergeCells count="1">
    <mergeCell ref="B7:J7"/>
  </mergeCells>
  <pageMargins left="0.70866141732283472" right="0.70866141732283472" top="1.968503937007874E-2" bottom="1.968503937007874E-2" header="0.31496062992125984" footer="0.31496062992125984"/>
  <pageSetup paperSize="9" scale="52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2:L360"/>
  <sheetViews>
    <sheetView showGridLines="0" tabSelected="1" view="pageBreakPreview" zoomScale="115" zoomScaleNormal="120" zoomScaleSheetLayoutView="115" zoomScalePageLayoutView="70" workbookViewId="0">
      <selection activeCell="C10" sqref="C10:D10"/>
    </sheetView>
  </sheetViews>
  <sheetFormatPr defaultRowHeight="12.75"/>
  <cols>
    <col min="1" max="1" width="8.140625" style="338" customWidth="1"/>
    <col min="2" max="2" width="4.7109375" style="905" customWidth="1"/>
    <col min="3" max="3" width="4.5703125" style="11" customWidth="1"/>
    <col min="4" max="4" width="31.42578125" style="338" bestFit="1" customWidth="1"/>
    <col min="5" max="5" width="5.42578125" style="3" customWidth="1"/>
    <col min="6" max="6" width="6" style="338" customWidth="1"/>
    <col min="7" max="7" width="10" style="342" customWidth="1"/>
    <col min="8" max="8" width="16.5703125" style="339" customWidth="1"/>
    <col min="9" max="9" width="16.7109375" style="339" customWidth="1"/>
    <col min="10" max="16384" width="9.140625" style="338"/>
  </cols>
  <sheetData>
    <row r="2" spans="1:9">
      <c r="E2" s="12"/>
      <c r="F2" s="338" t="s">
        <v>465</v>
      </c>
      <c r="G2" s="339"/>
      <c r="H2" s="338"/>
    </row>
    <row r="3" spans="1:9">
      <c r="E3" s="12"/>
      <c r="F3" s="338" t="s">
        <v>464</v>
      </c>
      <c r="G3" s="339"/>
      <c r="H3" s="338"/>
    </row>
    <row r="4" spans="1:9">
      <c r="E4" s="12"/>
      <c r="F4" s="338" t="s">
        <v>466</v>
      </c>
      <c r="G4" s="11"/>
      <c r="H4" s="338"/>
    </row>
    <row r="5" spans="1:9">
      <c r="F5" s="1064" t="s">
        <v>467</v>
      </c>
      <c r="G5" s="1064"/>
      <c r="H5" s="1064"/>
      <c r="I5" s="1064"/>
    </row>
    <row r="6" spans="1:9">
      <c r="F6" s="1064" t="s">
        <v>468</v>
      </c>
      <c r="G6" s="1064"/>
      <c r="H6" s="1064"/>
      <c r="I6" s="1064"/>
    </row>
    <row r="7" spans="1:9">
      <c r="B7" s="978"/>
      <c r="F7" s="978"/>
      <c r="G7" s="978"/>
      <c r="H7" s="978"/>
      <c r="I7" s="978"/>
    </row>
    <row r="8" spans="1:9">
      <c r="B8" s="1278" t="s">
        <v>1663</v>
      </c>
      <c r="C8" s="1278"/>
      <c r="D8" s="1278"/>
      <c r="E8" s="1278"/>
      <c r="F8" s="1278"/>
      <c r="G8" s="1278"/>
      <c r="H8" s="1278"/>
      <c r="I8" s="1278"/>
    </row>
    <row r="9" spans="1:9">
      <c r="B9" s="978"/>
      <c r="F9" s="978"/>
      <c r="G9" s="978"/>
      <c r="H9" s="978"/>
      <c r="I9" s="978"/>
    </row>
    <row r="10" spans="1:9">
      <c r="B10" s="906" t="s">
        <v>469</v>
      </c>
      <c r="C10" s="1065" t="s">
        <v>470</v>
      </c>
      <c r="D10" s="1065"/>
      <c r="G10" s="12"/>
    </row>
    <row r="11" spans="1:9">
      <c r="C11" s="12"/>
      <c r="D11" s="12"/>
      <c r="G11" s="12"/>
    </row>
    <row r="12" spans="1:9">
      <c r="B12" s="910" t="s">
        <v>454</v>
      </c>
      <c r="C12" s="341" t="str">
        <f>REKAP!C10</f>
        <v>PEKERJAAN PERSIAPAN</v>
      </c>
    </row>
    <row r="13" spans="1:9" s="309" customFormat="1" ht="7.5" customHeight="1">
      <c r="C13" s="343"/>
      <c r="F13" s="797"/>
    </row>
    <row r="14" spans="1:9" s="570" customFormat="1" ht="15.95" customHeight="1" thickBot="1">
      <c r="A14" s="908"/>
      <c r="B14" s="570">
        <v>1</v>
      </c>
      <c r="D14" s="572" t="s">
        <v>960</v>
      </c>
      <c r="E14" s="569"/>
      <c r="F14" s="798"/>
      <c r="G14" s="569"/>
      <c r="H14" s="569"/>
    </row>
    <row r="15" spans="1:9" s="309" customFormat="1" ht="35.1" customHeight="1" thickBot="1">
      <c r="C15" s="334" t="s">
        <v>840</v>
      </c>
      <c r="D15" s="335" t="s">
        <v>841</v>
      </c>
      <c r="E15" s="335" t="s">
        <v>842</v>
      </c>
      <c r="F15" s="799" t="s">
        <v>843</v>
      </c>
      <c r="G15" s="431" t="s">
        <v>844</v>
      </c>
      <c r="H15" s="335" t="s">
        <v>845</v>
      </c>
      <c r="I15" s="509" t="s">
        <v>736</v>
      </c>
    </row>
    <row r="16" spans="1:9" s="309" customFormat="1" ht="12.75" customHeight="1">
      <c r="C16" s="344" t="s">
        <v>917</v>
      </c>
      <c r="D16" s="345" t="s">
        <v>918</v>
      </c>
      <c r="E16" s="346"/>
      <c r="F16" s="800"/>
      <c r="G16" s="346"/>
      <c r="H16" s="347"/>
      <c r="I16" s="348"/>
    </row>
    <row r="17" spans="3:9" s="309" customFormat="1" ht="12.75" customHeight="1">
      <c r="C17" s="349">
        <v>1</v>
      </c>
      <c r="D17" s="350" t="s">
        <v>10</v>
      </c>
      <c r="E17" s="351" t="s">
        <v>16</v>
      </c>
      <c r="F17" s="801" t="s">
        <v>726</v>
      </c>
      <c r="G17" s="352">
        <v>0.4</v>
      </c>
      <c r="H17" s="347"/>
      <c r="I17" s="348"/>
    </row>
    <row r="18" spans="3:9" s="309" customFormat="1" ht="12.75" customHeight="1">
      <c r="C18" s="349">
        <v>2</v>
      </c>
      <c r="D18" s="350" t="s">
        <v>26</v>
      </c>
      <c r="E18" s="351" t="s">
        <v>22</v>
      </c>
      <c r="F18" s="801" t="s">
        <v>726</v>
      </c>
      <c r="G18" s="352">
        <v>0.2</v>
      </c>
      <c r="H18" s="347"/>
      <c r="I18" s="348"/>
    </row>
    <row r="19" spans="3:9" s="309" customFormat="1" ht="12.75" customHeight="1">
      <c r="C19" s="349">
        <v>3</v>
      </c>
      <c r="D19" s="350" t="s">
        <v>20</v>
      </c>
      <c r="E19" s="351" t="s">
        <v>21</v>
      </c>
      <c r="F19" s="801" t="s">
        <v>726</v>
      </c>
      <c r="G19" s="352">
        <v>0.02</v>
      </c>
      <c r="H19" s="347"/>
      <c r="I19" s="348"/>
    </row>
    <row r="20" spans="3:9" s="309" customFormat="1" ht="12.75" customHeight="1">
      <c r="C20" s="353">
        <v>4</v>
      </c>
      <c r="D20" s="350" t="s">
        <v>11</v>
      </c>
      <c r="E20" s="354" t="s">
        <v>17</v>
      </c>
      <c r="F20" s="801" t="s">
        <v>726</v>
      </c>
      <c r="G20" s="355">
        <v>0.02</v>
      </c>
      <c r="H20" s="347"/>
      <c r="I20" s="348"/>
    </row>
    <row r="21" spans="3:9" s="309" customFormat="1" ht="12.75" customHeight="1">
      <c r="C21" s="356"/>
      <c r="D21" s="357"/>
      <c r="E21" s="357"/>
      <c r="F21" s="802"/>
      <c r="G21" s="1049" t="s">
        <v>727</v>
      </c>
      <c r="H21" s="1049"/>
      <c r="I21" s="358"/>
    </row>
    <row r="22" spans="3:9" s="309" customFormat="1" ht="12.75" customHeight="1">
      <c r="C22" s="359" t="s">
        <v>919</v>
      </c>
      <c r="D22" s="360" t="s">
        <v>920</v>
      </c>
      <c r="E22" s="361"/>
      <c r="F22" s="803"/>
      <c r="G22" s="361"/>
      <c r="H22" s="361"/>
      <c r="I22" s="362"/>
    </row>
    <row r="23" spans="3:9" s="309" customFormat="1" ht="12.75" customHeight="1">
      <c r="C23" s="349">
        <v>1</v>
      </c>
      <c r="D23" s="363" t="s">
        <v>921</v>
      </c>
      <c r="E23" s="346"/>
      <c r="F23" s="804" t="s">
        <v>733</v>
      </c>
      <c r="G23" s="364">
        <v>1250</v>
      </c>
      <c r="H23" s="346"/>
      <c r="I23" s="348"/>
    </row>
    <row r="24" spans="3:9" s="309" customFormat="1" ht="12.75" customHeight="1">
      <c r="C24" s="349">
        <v>2</v>
      </c>
      <c r="D24" s="365" t="s">
        <v>737</v>
      </c>
      <c r="E24" s="346"/>
      <c r="F24" s="804" t="s">
        <v>734</v>
      </c>
      <c r="G24" s="364">
        <v>5000</v>
      </c>
      <c r="H24" s="346"/>
      <c r="I24" s="348"/>
    </row>
    <row r="25" spans="3:9" s="309" customFormat="1" ht="12.75" customHeight="1">
      <c r="C25" s="349">
        <v>3</v>
      </c>
      <c r="D25" s="365" t="s">
        <v>144</v>
      </c>
      <c r="E25" s="346"/>
      <c r="F25" s="407" t="s">
        <v>19</v>
      </c>
      <c r="G25" s="352">
        <v>5.0000000000000001E-3</v>
      </c>
      <c r="H25" s="346"/>
      <c r="I25" s="348"/>
    </row>
    <row r="26" spans="3:9" s="309" customFormat="1" ht="12.75" customHeight="1">
      <c r="C26" s="349">
        <v>4</v>
      </c>
      <c r="D26" s="365" t="s">
        <v>735</v>
      </c>
      <c r="E26" s="346"/>
      <c r="F26" s="407" t="s">
        <v>19</v>
      </c>
      <c r="G26" s="352">
        <v>8.9999999999999993E-3</v>
      </c>
      <c r="H26" s="346"/>
      <c r="I26" s="348"/>
    </row>
    <row r="27" spans="3:9" s="309" customFormat="1" ht="12.75" customHeight="1">
      <c r="C27" s="349">
        <v>5</v>
      </c>
      <c r="D27" s="365" t="s">
        <v>738</v>
      </c>
      <c r="E27" s="346"/>
      <c r="F27" s="407" t="s">
        <v>19</v>
      </c>
      <c r="G27" s="352">
        <v>7.1999999999999995E-2</v>
      </c>
      <c r="H27" s="346"/>
      <c r="I27" s="348"/>
    </row>
    <row r="28" spans="3:9" s="309" customFormat="1" ht="12.75" customHeight="1">
      <c r="C28" s="349">
        <v>6</v>
      </c>
      <c r="D28" s="365" t="s">
        <v>739</v>
      </c>
      <c r="E28" s="346"/>
      <c r="F28" s="804" t="s">
        <v>734</v>
      </c>
      <c r="G28" s="352">
        <v>0.06</v>
      </c>
      <c r="H28" s="346"/>
      <c r="I28" s="348"/>
    </row>
    <row r="29" spans="3:9" s="309" customFormat="1" ht="12.75" customHeight="1">
      <c r="C29" s="349">
        <v>7</v>
      </c>
      <c r="D29" s="365" t="s">
        <v>147</v>
      </c>
      <c r="E29" s="346"/>
      <c r="F29" s="804" t="s">
        <v>275</v>
      </c>
      <c r="G29" s="352">
        <v>0.4</v>
      </c>
      <c r="H29" s="346"/>
      <c r="I29" s="366"/>
    </row>
    <row r="30" spans="3:9" s="309" customFormat="1" ht="12.75" customHeight="1">
      <c r="C30" s="367"/>
      <c r="D30" s="368"/>
      <c r="E30" s="368"/>
      <c r="F30" s="805"/>
      <c r="G30" s="1050" t="s">
        <v>728</v>
      </c>
      <c r="H30" s="1028"/>
      <c r="I30" s="369"/>
    </row>
    <row r="31" spans="3:9" s="309" customFormat="1" ht="12.75" customHeight="1">
      <c r="C31" s="370" t="s">
        <v>922</v>
      </c>
      <c r="D31" s="371" t="s">
        <v>923</v>
      </c>
      <c r="E31" s="372"/>
      <c r="F31" s="806"/>
      <c r="G31" s="373"/>
      <c r="H31" s="372"/>
      <c r="I31" s="374"/>
    </row>
    <row r="32" spans="3:9" s="309" customFormat="1" ht="12.75" customHeight="1">
      <c r="C32" s="367"/>
      <c r="D32" s="368"/>
      <c r="E32" s="368"/>
      <c r="F32" s="805"/>
      <c r="G32" s="1050" t="s">
        <v>729</v>
      </c>
      <c r="H32" s="1028"/>
      <c r="I32" s="375"/>
    </row>
    <row r="33" spans="2:9" s="309" customFormat="1" ht="12.75" customHeight="1">
      <c r="C33" s="376" t="s">
        <v>12</v>
      </c>
      <c r="D33" s="1022" t="s">
        <v>730</v>
      </c>
      <c r="E33" s="1034"/>
      <c r="F33" s="1034"/>
      <c r="G33" s="1034"/>
      <c r="H33" s="1023"/>
      <c r="I33" s="374"/>
    </row>
    <row r="34" spans="2:9" s="309" customFormat="1" ht="12.75" customHeight="1">
      <c r="C34" s="377" t="s">
        <v>13</v>
      </c>
      <c r="D34" s="1036" t="s">
        <v>731</v>
      </c>
      <c r="E34" s="1037"/>
      <c r="F34" s="1038"/>
      <c r="G34" s="1039" t="s">
        <v>740</v>
      </c>
      <c r="H34" s="1051"/>
      <c r="I34" s="374"/>
    </row>
    <row r="35" spans="2:9" s="309" customFormat="1" ht="12.75" customHeight="1" thickBot="1">
      <c r="C35" s="378" t="s">
        <v>924</v>
      </c>
      <c r="D35" s="1040" t="s">
        <v>925</v>
      </c>
      <c r="E35" s="1041"/>
      <c r="F35" s="1041"/>
      <c r="G35" s="1041"/>
      <c r="H35" s="1052"/>
      <c r="I35" s="379"/>
    </row>
    <row r="36" spans="2:9" s="309" customFormat="1" ht="12" customHeight="1">
      <c r="C36" s="380"/>
      <c r="D36" s="345"/>
      <c r="E36" s="345"/>
      <c r="F36" s="807"/>
      <c r="G36" s="345"/>
      <c r="H36" s="345"/>
      <c r="I36" s="347"/>
    </row>
    <row r="37" spans="2:9" s="570" customFormat="1" ht="19.5" customHeight="1" thickBot="1">
      <c r="B37" s="570">
        <v>2</v>
      </c>
      <c r="D37" s="1018" t="s">
        <v>961</v>
      </c>
      <c r="E37" s="1018"/>
      <c r="F37" s="1018"/>
      <c r="G37" s="1018"/>
      <c r="H37" s="1018"/>
      <c r="I37" s="1018"/>
    </row>
    <row r="38" spans="2:9" s="309" customFormat="1" ht="32.1" customHeight="1" thickBot="1">
      <c r="C38" s="334" t="s">
        <v>840</v>
      </c>
      <c r="D38" s="335" t="s">
        <v>841</v>
      </c>
      <c r="E38" s="335" t="s">
        <v>842</v>
      </c>
      <c r="F38" s="799" t="s">
        <v>843</v>
      </c>
      <c r="G38" s="431" t="s">
        <v>844</v>
      </c>
      <c r="H38" s="335" t="s">
        <v>845</v>
      </c>
      <c r="I38" s="337" t="s">
        <v>846</v>
      </c>
    </row>
    <row r="39" spans="2:9" s="309" customFormat="1" ht="14.1" customHeight="1">
      <c r="C39" s="344" t="s">
        <v>917</v>
      </c>
      <c r="D39" s="381" t="s">
        <v>918</v>
      </c>
      <c r="E39" s="382"/>
      <c r="F39" s="808"/>
      <c r="G39" s="382"/>
      <c r="H39" s="382"/>
      <c r="I39" s="384"/>
    </row>
    <row r="40" spans="2:9" s="309" customFormat="1" ht="14.1" customHeight="1">
      <c r="C40" s="385">
        <v>1</v>
      </c>
      <c r="D40" s="365" t="s">
        <v>10</v>
      </c>
      <c r="E40" s="351" t="s">
        <v>16</v>
      </c>
      <c r="F40" s="667" t="s">
        <v>726</v>
      </c>
      <c r="G40" s="352">
        <v>0.2</v>
      </c>
      <c r="H40" s="382"/>
      <c r="I40" s="384"/>
    </row>
    <row r="41" spans="2:9" s="309" customFormat="1" ht="14.1" customHeight="1">
      <c r="C41" s="385">
        <v>2</v>
      </c>
      <c r="D41" s="365" t="s">
        <v>26</v>
      </c>
      <c r="E41" s="351" t="s">
        <v>22</v>
      </c>
      <c r="F41" s="667" t="s">
        <v>726</v>
      </c>
      <c r="G41" s="352">
        <v>0.4</v>
      </c>
      <c r="H41" s="382"/>
      <c r="I41" s="384"/>
    </row>
    <row r="42" spans="2:9" s="309" customFormat="1" ht="14.1" customHeight="1">
      <c r="C42" s="385">
        <v>3</v>
      </c>
      <c r="D42" s="365" t="s">
        <v>20</v>
      </c>
      <c r="E42" s="351" t="s">
        <v>21</v>
      </c>
      <c r="F42" s="667" t="s">
        <v>726</v>
      </c>
      <c r="G42" s="352">
        <v>0.02</v>
      </c>
      <c r="H42" s="382"/>
      <c r="I42" s="384"/>
    </row>
    <row r="43" spans="2:9" s="309" customFormat="1" ht="14.1" customHeight="1">
      <c r="C43" s="386">
        <v>4</v>
      </c>
      <c r="D43" s="387" t="s">
        <v>11</v>
      </c>
      <c r="E43" s="354" t="s">
        <v>17</v>
      </c>
      <c r="F43" s="668" t="s">
        <v>726</v>
      </c>
      <c r="G43" s="355">
        <v>0.02</v>
      </c>
      <c r="H43" s="388"/>
      <c r="I43" s="389"/>
    </row>
    <row r="44" spans="2:9" s="309" customFormat="1" ht="14.1" customHeight="1">
      <c r="C44" s="390"/>
      <c r="D44" s="391"/>
      <c r="E44" s="391"/>
      <c r="F44" s="809"/>
      <c r="G44" s="1053" t="s">
        <v>727</v>
      </c>
      <c r="H44" s="1054"/>
      <c r="I44" s="392"/>
    </row>
    <row r="45" spans="2:9" s="309" customFormat="1" ht="14.1" customHeight="1">
      <c r="C45" s="359" t="s">
        <v>919</v>
      </c>
      <c r="D45" s="360" t="s">
        <v>920</v>
      </c>
      <c r="E45" s="393"/>
      <c r="F45" s="810"/>
      <c r="G45" s="393"/>
      <c r="H45" s="393"/>
      <c r="I45" s="395"/>
    </row>
    <row r="46" spans="2:9" s="309" customFormat="1" ht="14.1" customHeight="1">
      <c r="C46" s="385">
        <v>1</v>
      </c>
      <c r="D46" s="365" t="s">
        <v>926</v>
      </c>
      <c r="E46" s="382"/>
      <c r="F46" s="667" t="s">
        <v>733</v>
      </c>
      <c r="G46" s="352">
        <v>1.25</v>
      </c>
      <c r="H46" s="382"/>
      <c r="I46" s="395"/>
    </row>
    <row r="47" spans="2:9" s="309" customFormat="1" ht="14.1" customHeight="1">
      <c r="C47" s="385">
        <v>2</v>
      </c>
      <c r="D47" s="365" t="s">
        <v>737</v>
      </c>
      <c r="E47" s="382"/>
      <c r="F47" s="667" t="s">
        <v>734</v>
      </c>
      <c r="G47" s="396">
        <v>2.5</v>
      </c>
      <c r="H47" s="382"/>
      <c r="I47" s="395"/>
    </row>
    <row r="48" spans="2:9" s="309" customFormat="1" ht="14.1" customHeight="1">
      <c r="C48" s="385">
        <v>3</v>
      </c>
      <c r="D48" s="365" t="s">
        <v>927</v>
      </c>
      <c r="E48" s="382"/>
      <c r="F48" s="667" t="s">
        <v>822</v>
      </c>
      <c r="G48" s="351" t="s">
        <v>928</v>
      </c>
      <c r="H48" s="382"/>
      <c r="I48" s="395"/>
    </row>
    <row r="49" spans="2:9" s="309" customFormat="1" ht="14.1" customHeight="1">
      <c r="C49" s="385">
        <v>4</v>
      </c>
      <c r="D49" s="365" t="s">
        <v>144</v>
      </c>
      <c r="E49" s="382"/>
      <c r="F49" s="407" t="s">
        <v>19</v>
      </c>
      <c r="G49" s="352">
        <v>5.0000000000000001E-3</v>
      </c>
      <c r="H49" s="382"/>
      <c r="I49" s="395"/>
    </row>
    <row r="50" spans="2:9" s="309" customFormat="1" ht="14.1" customHeight="1">
      <c r="C50" s="385">
        <v>5</v>
      </c>
      <c r="D50" s="365" t="s">
        <v>735</v>
      </c>
      <c r="E50" s="382"/>
      <c r="F50" s="407" t="s">
        <v>19</v>
      </c>
      <c r="G50" s="352">
        <v>8.9999999999999993E-3</v>
      </c>
      <c r="H50" s="382"/>
      <c r="I50" s="395"/>
    </row>
    <row r="51" spans="2:9" s="309" customFormat="1" ht="14.1" customHeight="1">
      <c r="C51" s="385">
        <v>6</v>
      </c>
      <c r="D51" s="365" t="s">
        <v>738</v>
      </c>
      <c r="E51" s="382"/>
      <c r="F51" s="407" t="s">
        <v>19</v>
      </c>
      <c r="G51" s="352">
        <v>7.1999999999999995E-2</v>
      </c>
      <c r="H51" s="382"/>
      <c r="I51" s="395"/>
    </row>
    <row r="52" spans="2:9" s="309" customFormat="1" ht="14.1" customHeight="1">
      <c r="C52" s="385">
        <v>7</v>
      </c>
      <c r="D52" s="365" t="s">
        <v>739</v>
      </c>
      <c r="E52" s="382"/>
      <c r="F52" s="667" t="s">
        <v>734</v>
      </c>
      <c r="G52" s="352">
        <v>0.06</v>
      </c>
      <c r="H52" s="382"/>
      <c r="I52" s="395"/>
    </row>
    <row r="53" spans="2:9" s="309" customFormat="1" ht="14.1" customHeight="1">
      <c r="C53" s="385">
        <v>8</v>
      </c>
      <c r="D53" s="365" t="s">
        <v>929</v>
      </c>
      <c r="E53" s="382"/>
      <c r="F53" s="668" t="s">
        <v>275</v>
      </c>
      <c r="G53" s="397">
        <v>0.45</v>
      </c>
      <c r="H53" s="388"/>
      <c r="I53" s="395"/>
    </row>
    <row r="54" spans="2:9" s="309" customFormat="1" ht="14.1" customHeight="1">
      <c r="C54" s="390"/>
      <c r="D54" s="391"/>
      <c r="E54" s="391"/>
      <c r="F54" s="809"/>
      <c r="G54" s="1050" t="s">
        <v>728</v>
      </c>
      <c r="H54" s="1028"/>
      <c r="I54" s="398"/>
    </row>
    <row r="55" spans="2:9" s="309" customFormat="1" ht="14.1" customHeight="1">
      <c r="C55" s="370" t="s">
        <v>922</v>
      </c>
      <c r="D55" s="371" t="s">
        <v>923</v>
      </c>
      <c r="E55" s="399"/>
      <c r="F55" s="811"/>
      <c r="G55" s="400"/>
      <c r="H55" s="399"/>
      <c r="I55" s="401"/>
    </row>
    <row r="56" spans="2:9" s="309" customFormat="1" ht="14.1" customHeight="1">
      <c r="C56" s="390"/>
      <c r="D56" s="391"/>
      <c r="E56" s="391"/>
      <c r="F56" s="809"/>
      <c r="G56" s="1050" t="s">
        <v>729</v>
      </c>
      <c r="H56" s="1028"/>
      <c r="I56" s="402"/>
    </row>
    <row r="57" spans="2:9" s="309" customFormat="1" ht="14.1" customHeight="1">
      <c r="C57" s="376" t="s">
        <v>12</v>
      </c>
      <c r="D57" s="1022" t="s">
        <v>730</v>
      </c>
      <c r="E57" s="1034"/>
      <c r="F57" s="1034"/>
      <c r="G57" s="1034"/>
      <c r="H57" s="1023"/>
      <c r="I57" s="403"/>
    </row>
    <row r="58" spans="2:9" s="309" customFormat="1" ht="14.1" customHeight="1">
      <c r="C58" s="377" t="s">
        <v>13</v>
      </c>
      <c r="D58" s="1036" t="s">
        <v>731</v>
      </c>
      <c r="E58" s="1037"/>
      <c r="F58" s="1038"/>
      <c r="G58" s="1039" t="s">
        <v>740</v>
      </c>
      <c r="H58" s="1051"/>
      <c r="I58" s="403"/>
    </row>
    <row r="59" spans="2:9" s="309" customFormat="1" ht="14.1" customHeight="1" thickBot="1">
      <c r="C59" s="378" t="s">
        <v>924</v>
      </c>
      <c r="D59" s="1040" t="s">
        <v>925</v>
      </c>
      <c r="E59" s="1041"/>
      <c r="F59" s="1041"/>
      <c r="G59" s="1041"/>
      <c r="H59" s="1052"/>
      <c r="I59" s="404"/>
    </row>
    <row r="60" spans="2:9" s="309" customFormat="1" ht="14.1" customHeight="1">
      <c r="C60" s="308"/>
      <c r="F60" s="797"/>
    </row>
    <row r="61" spans="2:9" s="570" customFormat="1" ht="15.95" customHeight="1" thickBot="1">
      <c r="B61" s="570">
        <v>3</v>
      </c>
      <c r="C61" s="571"/>
      <c r="D61" s="506" t="s">
        <v>741</v>
      </c>
      <c r="E61" s="506"/>
      <c r="F61" s="506"/>
      <c r="G61" s="506"/>
      <c r="H61" s="506"/>
      <c r="I61" s="506"/>
    </row>
    <row r="62" spans="2:9" s="309" customFormat="1" ht="27.75" customHeight="1" thickBot="1">
      <c r="C62" s="321" t="s">
        <v>0</v>
      </c>
      <c r="D62" s="322" t="s">
        <v>1</v>
      </c>
      <c r="E62" s="322" t="s">
        <v>2</v>
      </c>
      <c r="F62" s="812" t="s">
        <v>3</v>
      </c>
      <c r="G62" s="322" t="s">
        <v>4</v>
      </c>
      <c r="H62" s="323" t="s">
        <v>742</v>
      </c>
      <c r="I62" s="324" t="s">
        <v>736</v>
      </c>
    </row>
    <row r="63" spans="2:9" s="309" customFormat="1" ht="14.1" customHeight="1">
      <c r="C63" s="64" t="s">
        <v>743</v>
      </c>
      <c r="D63" s="407" t="s">
        <v>744</v>
      </c>
      <c r="E63" s="407"/>
      <c r="F63" s="407"/>
      <c r="G63" s="407"/>
      <c r="H63" s="407"/>
      <c r="I63" s="408"/>
    </row>
    <row r="64" spans="2:9" s="309" customFormat="1" ht="14.1" customHeight="1">
      <c r="C64" s="64">
        <v>1</v>
      </c>
      <c r="D64" s="407" t="s">
        <v>10</v>
      </c>
      <c r="E64" s="407" t="s">
        <v>16</v>
      </c>
      <c r="F64" s="407" t="s">
        <v>726</v>
      </c>
      <c r="G64" s="407">
        <v>0.2</v>
      </c>
      <c r="H64" s="407"/>
      <c r="I64" s="408"/>
    </row>
    <row r="65" spans="3:9" s="309" customFormat="1" ht="14.1" customHeight="1">
      <c r="C65" s="64">
        <v>2</v>
      </c>
      <c r="D65" s="407" t="s">
        <v>26</v>
      </c>
      <c r="E65" s="407" t="s">
        <v>22</v>
      </c>
      <c r="F65" s="407" t="s">
        <v>726</v>
      </c>
      <c r="G65" s="407">
        <v>0.3</v>
      </c>
      <c r="H65" s="407"/>
      <c r="I65" s="408"/>
    </row>
    <row r="66" spans="3:9" s="309" customFormat="1" ht="14.1" customHeight="1">
      <c r="C66" s="64">
        <v>3</v>
      </c>
      <c r="D66" s="407" t="s">
        <v>20</v>
      </c>
      <c r="E66" s="407" t="s">
        <v>21</v>
      </c>
      <c r="F66" s="407" t="s">
        <v>726</v>
      </c>
      <c r="G66" s="407">
        <v>0.02</v>
      </c>
      <c r="H66" s="407"/>
      <c r="I66" s="408"/>
    </row>
    <row r="67" spans="3:9" s="309" customFormat="1" ht="14.1" customHeight="1">
      <c r="C67" s="64">
        <v>4</v>
      </c>
      <c r="D67" s="409" t="s">
        <v>11</v>
      </c>
      <c r="E67" s="409" t="s">
        <v>17</v>
      </c>
      <c r="F67" s="409" t="s">
        <v>726</v>
      </c>
      <c r="G67" s="409">
        <v>0.02</v>
      </c>
      <c r="H67" s="409"/>
      <c r="I67" s="410"/>
    </row>
    <row r="68" spans="3:9" s="309" customFormat="1" ht="14.1" customHeight="1">
      <c r="C68" s="411"/>
      <c r="D68" s="412"/>
      <c r="E68" s="412"/>
      <c r="F68" s="784"/>
      <c r="G68" s="1055" t="s">
        <v>727</v>
      </c>
      <c r="H68" s="1056"/>
      <c r="I68" s="413"/>
    </row>
    <row r="69" spans="3:9" s="309" customFormat="1" ht="14.1" customHeight="1">
      <c r="C69" s="313" t="s">
        <v>745</v>
      </c>
      <c r="D69" s="414" t="s">
        <v>746</v>
      </c>
      <c r="E69" s="414"/>
      <c r="F69" s="414"/>
      <c r="G69" s="415"/>
      <c r="H69" s="414"/>
      <c r="I69" s="416"/>
    </row>
    <row r="70" spans="3:9" s="309" customFormat="1" ht="14.1" customHeight="1">
      <c r="C70" s="417">
        <v>1</v>
      </c>
      <c r="D70" s="407" t="s">
        <v>747</v>
      </c>
      <c r="E70" s="407"/>
      <c r="F70" s="407" t="s">
        <v>733</v>
      </c>
      <c r="G70" s="418">
        <v>1</v>
      </c>
      <c r="H70" s="407"/>
      <c r="I70" s="408"/>
    </row>
    <row r="71" spans="3:9" s="309" customFormat="1" ht="14.1" customHeight="1">
      <c r="C71" s="417">
        <v>2</v>
      </c>
      <c r="D71" s="407" t="s">
        <v>737</v>
      </c>
      <c r="E71" s="407"/>
      <c r="F71" s="407" t="s">
        <v>734</v>
      </c>
      <c r="G71" s="418">
        <v>2</v>
      </c>
      <c r="H71" s="407"/>
      <c r="I71" s="408"/>
    </row>
    <row r="72" spans="3:9" s="309" customFormat="1" ht="14.1" customHeight="1">
      <c r="C72" s="417">
        <v>3</v>
      </c>
      <c r="D72" s="407" t="s">
        <v>748</v>
      </c>
      <c r="E72" s="407"/>
      <c r="F72" s="407" t="s">
        <v>749</v>
      </c>
      <c r="G72" s="418">
        <v>25</v>
      </c>
      <c r="H72" s="407"/>
      <c r="I72" s="408"/>
    </row>
    <row r="73" spans="3:9" s="309" customFormat="1" ht="14.1" customHeight="1">
      <c r="C73" s="417">
        <v>4</v>
      </c>
      <c r="D73" s="407" t="s">
        <v>144</v>
      </c>
      <c r="E73" s="407"/>
      <c r="F73" s="407" t="s">
        <v>750</v>
      </c>
      <c r="G73" s="418">
        <v>5.0000000000000001E-3</v>
      </c>
      <c r="H73" s="407"/>
      <c r="I73" s="408"/>
    </row>
    <row r="74" spans="3:9" s="309" customFormat="1" ht="14.1" customHeight="1">
      <c r="C74" s="417">
        <v>5</v>
      </c>
      <c r="D74" s="407" t="s">
        <v>735</v>
      </c>
      <c r="E74" s="407"/>
      <c r="F74" s="407" t="s">
        <v>750</v>
      </c>
      <c r="G74" s="418">
        <v>8.9999999999999993E-3</v>
      </c>
      <c r="H74" s="407"/>
      <c r="I74" s="408"/>
    </row>
    <row r="75" spans="3:9" s="309" customFormat="1" ht="14.1" customHeight="1">
      <c r="C75" s="419">
        <v>6</v>
      </c>
      <c r="D75" s="409" t="s">
        <v>739</v>
      </c>
      <c r="E75" s="409"/>
      <c r="F75" s="409" t="s">
        <v>734</v>
      </c>
      <c r="G75" s="420" t="s">
        <v>751</v>
      </c>
      <c r="H75" s="409"/>
      <c r="I75" s="410"/>
    </row>
    <row r="76" spans="3:9" s="309" customFormat="1" ht="14.1" customHeight="1">
      <c r="C76" s="411"/>
      <c r="D76" s="412"/>
      <c r="E76" s="412"/>
      <c r="F76" s="784"/>
      <c r="G76" s="1055" t="s">
        <v>728</v>
      </c>
      <c r="H76" s="1056"/>
      <c r="I76" s="413"/>
    </row>
    <row r="77" spans="3:9" s="309" customFormat="1" ht="14.1" customHeight="1">
      <c r="C77" s="44" t="s">
        <v>752</v>
      </c>
      <c r="D77" s="421" t="s">
        <v>753</v>
      </c>
      <c r="E77" s="421"/>
      <c r="F77" s="786"/>
      <c r="G77" s="421"/>
      <c r="H77" s="421"/>
      <c r="I77" s="413"/>
    </row>
    <row r="78" spans="3:9" s="309" customFormat="1" ht="14.1" customHeight="1">
      <c r="C78" s="44"/>
      <c r="D78" s="421"/>
      <c r="E78" s="421"/>
      <c r="F78" s="786"/>
      <c r="G78" s="1057" t="s">
        <v>729</v>
      </c>
      <c r="H78" s="1057"/>
      <c r="I78" s="413"/>
    </row>
    <row r="79" spans="3:9" s="309" customFormat="1" ht="14.1" customHeight="1">
      <c r="C79" s="44" t="s">
        <v>12</v>
      </c>
      <c r="D79" s="1057" t="s">
        <v>730</v>
      </c>
      <c r="E79" s="1057"/>
      <c r="F79" s="1057"/>
      <c r="G79" s="1057"/>
      <c r="H79" s="1057"/>
      <c r="I79" s="413"/>
    </row>
    <row r="80" spans="3:9" s="309" customFormat="1" ht="14.1" customHeight="1">
      <c r="C80" s="44" t="s">
        <v>13</v>
      </c>
      <c r="D80" s="1057" t="s">
        <v>731</v>
      </c>
      <c r="E80" s="1057"/>
      <c r="F80" s="1057"/>
      <c r="G80" s="1057" t="s">
        <v>740</v>
      </c>
      <c r="H80" s="1057"/>
      <c r="I80" s="413"/>
    </row>
    <row r="81" spans="2:9" s="309" customFormat="1" ht="14.1" customHeight="1" thickBot="1">
      <c r="C81" s="45" t="s">
        <v>754</v>
      </c>
      <c r="D81" s="1058" t="s">
        <v>755</v>
      </c>
      <c r="E81" s="1058"/>
      <c r="F81" s="1058"/>
      <c r="G81" s="1058"/>
      <c r="H81" s="1058"/>
      <c r="I81" s="422"/>
    </row>
    <row r="82" spans="2:9" s="309" customFormat="1" ht="14.1" customHeight="1">
      <c r="C82" s="423"/>
      <c r="D82" s="424"/>
      <c r="E82" s="424"/>
      <c r="F82" s="424"/>
      <c r="G82" s="424"/>
      <c r="H82" s="424"/>
      <c r="I82" s="424"/>
    </row>
    <row r="83" spans="2:9" s="570" customFormat="1" ht="15.95" customHeight="1" thickBot="1">
      <c r="B83" s="570">
        <v>4</v>
      </c>
      <c r="C83" s="571"/>
      <c r="D83" s="506" t="s">
        <v>756</v>
      </c>
      <c r="E83" s="506"/>
      <c r="F83" s="506"/>
      <c r="G83" s="506"/>
      <c r="H83" s="506"/>
      <c r="I83" s="506"/>
    </row>
    <row r="84" spans="2:9" s="309" customFormat="1" ht="30" customHeight="1" thickBot="1">
      <c r="C84" s="321" t="s">
        <v>0</v>
      </c>
      <c r="D84" s="322" t="s">
        <v>1</v>
      </c>
      <c r="E84" s="322" t="s">
        <v>2</v>
      </c>
      <c r="F84" s="812" t="s">
        <v>3</v>
      </c>
      <c r="G84" s="322" t="s">
        <v>4</v>
      </c>
      <c r="H84" s="323" t="s">
        <v>742</v>
      </c>
      <c r="I84" s="324" t="s">
        <v>736</v>
      </c>
    </row>
    <row r="85" spans="2:9" s="309" customFormat="1" ht="14.1" customHeight="1">
      <c r="C85" s="64" t="s">
        <v>743</v>
      </c>
      <c r="D85" s="407" t="s">
        <v>744</v>
      </c>
      <c r="E85" s="407"/>
      <c r="F85" s="407"/>
      <c r="G85" s="407"/>
      <c r="H85" s="407"/>
      <c r="I85" s="408"/>
    </row>
    <row r="86" spans="2:9" s="309" customFormat="1" ht="14.1" customHeight="1">
      <c r="C86" s="64">
        <v>1</v>
      </c>
      <c r="D86" s="407" t="s">
        <v>10</v>
      </c>
      <c r="E86" s="407" t="s">
        <v>16</v>
      </c>
      <c r="F86" s="407" t="s">
        <v>726</v>
      </c>
      <c r="G86" s="407">
        <v>0.1</v>
      </c>
      <c r="H86" s="407"/>
      <c r="I86" s="408"/>
    </row>
    <row r="87" spans="2:9" s="309" customFormat="1" ht="14.1" customHeight="1">
      <c r="C87" s="64">
        <v>2</v>
      </c>
      <c r="D87" s="407" t="s">
        <v>26</v>
      </c>
      <c r="E87" s="407" t="s">
        <v>22</v>
      </c>
      <c r="F87" s="407" t="s">
        <v>726</v>
      </c>
      <c r="G87" s="407">
        <v>0.1</v>
      </c>
      <c r="H87" s="407"/>
      <c r="I87" s="408"/>
    </row>
    <row r="88" spans="2:9" s="309" customFormat="1" ht="14.1" customHeight="1">
      <c r="C88" s="64">
        <v>3</v>
      </c>
      <c r="D88" s="407" t="s">
        <v>20</v>
      </c>
      <c r="E88" s="407" t="s">
        <v>21</v>
      </c>
      <c r="F88" s="407" t="s">
        <v>726</v>
      </c>
      <c r="G88" s="407">
        <v>0.01</v>
      </c>
      <c r="H88" s="407"/>
      <c r="I88" s="408"/>
    </row>
    <row r="89" spans="2:9" s="309" customFormat="1" ht="14.1" customHeight="1">
      <c r="C89" s="64">
        <v>4</v>
      </c>
      <c r="D89" s="409" t="s">
        <v>11</v>
      </c>
      <c r="E89" s="409" t="s">
        <v>17</v>
      </c>
      <c r="F89" s="409" t="s">
        <v>726</v>
      </c>
      <c r="G89" s="409">
        <v>5.0000000000000001E-3</v>
      </c>
      <c r="H89" s="409"/>
      <c r="I89" s="410"/>
    </row>
    <row r="90" spans="2:9" s="309" customFormat="1" ht="14.1" customHeight="1">
      <c r="C90" s="411"/>
      <c r="D90" s="412"/>
      <c r="E90" s="412"/>
      <c r="F90" s="786"/>
      <c r="G90" s="1055" t="s">
        <v>727</v>
      </c>
      <c r="H90" s="1056"/>
      <c r="I90" s="413"/>
    </row>
    <row r="91" spans="2:9" s="309" customFormat="1" ht="14.1" customHeight="1">
      <c r="C91" s="313" t="s">
        <v>745</v>
      </c>
      <c r="D91" s="414" t="s">
        <v>746</v>
      </c>
      <c r="E91" s="425"/>
      <c r="F91" s="407"/>
      <c r="G91" s="62"/>
      <c r="H91" s="414"/>
      <c r="I91" s="416"/>
    </row>
    <row r="92" spans="2:9" s="309" customFormat="1" ht="14.1" customHeight="1">
      <c r="C92" s="64">
        <v>1</v>
      </c>
      <c r="D92" s="407" t="s">
        <v>757</v>
      </c>
      <c r="E92" s="426"/>
      <c r="F92" s="407" t="s">
        <v>750</v>
      </c>
      <c r="G92" s="22">
        <v>1.2E-2</v>
      </c>
      <c r="H92" s="407"/>
      <c r="I92" s="408"/>
    </row>
    <row r="93" spans="2:9" s="309" customFormat="1" ht="14.1" customHeight="1">
      <c r="C93" s="64">
        <v>2</v>
      </c>
      <c r="D93" s="407" t="s">
        <v>758</v>
      </c>
      <c r="E93" s="426"/>
      <c r="F93" s="407" t="s">
        <v>734</v>
      </c>
      <c r="G93" s="22">
        <v>0.02</v>
      </c>
      <c r="H93" s="407"/>
      <c r="I93" s="408"/>
    </row>
    <row r="94" spans="2:9" s="309" customFormat="1" ht="14.1" customHeight="1">
      <c r="C94" s="43">
        <v>3</v>
      </c>
      <c r="D94" s="409" t="s">
        <v>759</v>
      </c>
      <c r="E94" s="427"/>
      <c r="F94" s="409" t="s">
        <v>750</v>
      </c>
      <c r="G94" s="41">
        <v>7.0000000000000001E-3</v>
      </c>
      <c r="H94" s="409"/>
      <c r="I94" s="410"/>
    </row>
    <row r="95" spans="2:9" s="309" customFormat="1" ht="14.1" customHeight="1">
      <c r="C95" s="411"/>
      <c r="D95" s="412"/>
      <c r="E95" s="412"/>
      <c r="F95" s="784"/>
      <c r="G95" s="1055" t="s">
        <v>728</v>
      </c>
      <c r="H95" s="1056"/>
      <c r="I95" s="413"/>
    </row>
    <row r="96" spans="2:9" s="309" customFormat="1" ht="14.1" customHeight="1">
      <c r="C96" s="44" t="s">
        <v>752</v>
      </c>
      <c r="D96" s="421" t="s">
        <v>753</v>
      </c>
      <c r="E96" s="421"/>
      <c r="F96" s="786"/>
      <c r="G96" s="421"/>
      <c r="H96" s="421"/>
      <c r="I96" s="413"/>
    </row>
    <row r="97" spans="2:9" s="309" customFormat="1" ht="14.1" customHeight="1">
      <c r="C97" s="411"/>
      <c r="D97" s="412"/>
      <c r="E97" s="412"/>
      <c r="F97" s="784"/>
      <c r="G97" s="1055" t="s">
        <v>729</v>
      </c>
      <c r="H97" s="1056"/>
      <c r="I97" s="413"/>
    </row>
    <row r="98" spans="2:9" s="309" customFormat="1" ht="14.1" customHeight="1">
      <c r="C98" s="44" t="s">
        <v>12</v>
      </c>
      <c r="D98" s="1057" t="s">
        <v>730</v>
      </c>
      <c r="E98" s="1057"/>
      <c r="F98" s="1057"/>
      <c r="G98" s="1057"/>
      <c r="H98" s="1057"/>
      <c r="I98" s="413"/>
    </row>
    <row r="99" spans="2:9" s="309" customFormat="1" ht="14.1" customHeight="1">
      <c r="C99" s="44" t="s">
        <v>13</v>
      </c>
      <c r="D99" s="1057" t="s">
        <v>731</v>
      </c>
      <c r="E99" s="1057"/>
      <c r="F99" s="1057"/>
      <c r="G99" s="1057" t="s">
        <v>740</v>
      </c>
      <c r="H99" s="1057"/>
      <c r="I99" s="413"/>
    </row>
    <row r="100" spans="2:9" s="309" customFormat="1" ht="14.1" customHeight="1" thickBot="1">
      <c r="C100" s="45" t="s">
        <v>754</v>
      </c>
      <c r="D100" s="1058" t="s">
        <v>755</v>
      </c>
      <c r="E100" s="1058"/>
      <c r="F100" s="1058"/>
      <c r="G100" s="1058"/>
      <c r="H100" s="1058"/>
      <c r="I100" s="422"/>
    </row>
    <row r="101" spans="2:9" s="309" customFormat="1" ht="14.1" customHeight="1">
      <c r="C101" s="423"/>
      <c r="D101" s="424"/>
      <c r="E101" s="424"/>
      <c r="F101" s="424"/>
      <c r="G101" s="424"/>
      <c r="H101" s="424"/>
      <c r="I101" s="424"/>
    </row>
    <row r="102" spans="2:9" s="506" customFormat="1" ht="15.75" customHeight="1" thickBot="1">
      <c r="B102" s="469">
        <v>5</v>
      </c>
      <c r="C102" s="914" t="s">
        <v>1279</v>
      </c>
    </row>
    <row r="103" spans="2:9" ht="35.1" customHeight="1" thickBot="1">
      <c r="C103" s="327" t="s">
        <v>760</v>
      </c>
      <c r="D103" s="328" t="s">
        <v>761</v>
      </c>
      <c r="E103" s="328" t="s">
        <v>762</v>
      </c>
      <c r="F103" s="813" t="s">
        <v>763</v>
      </c>
      <c r="G103" s="328" t="s">
        <v>764</v>
      </c>
      <c r="H103" s="328" t="s">
        <v>765</v>
      </c>
      <c r="I103" s="329" t="s">
        <v>766</v>
      </c>
    </row>
    <row r="104" spans="2:9" ht="12" customHeight="1">
      <c r="C104" s="64" t="s">
        <v>743</v>
      </c>
      <c r="D104" s="325" t="s">
        <v>744</v>
      </c>
      <c r="E104" s="22"/>
      <c r="F104" s="407"/>
      <c r="G104" s="22"/>
      <c r="H104" s="22"/>
      <c r="I104" s="326"/>
    </row>
    <row r="105" spans="2:9" ht="14.1" customHeight="1">
      <c r="C105" s="64"/>
      <c r="D105" s="407" t="s">
        <v>767</v>
      </c>
      <c r="E105" s="407" t="s">
        <v>768</v>
      </c>
      <c r="F105" s="407" t="s">
        <v>769</v>
      </c>
      <c r="G105" s="22" t="s">
        <v>770</v>
      </c>
      <c r="H105" s="407"/>
      <c r="I105" s="408"/>
    </row>
    <row r="106" spans="2:9" ht="12.95" customHeight="1">
      <c r="C106" s="64"/>
      <c r="D106" s="407" t="s">
        <v>771</v>
      </c>
      <c r="E106" s="407" t="s">
        <v>772</v>
      </c>
      <c r="F106" s="407" t="s">
        <v>769</v>
      </c>
      <c r="G106" s="22" t="s">
        <v>770</v>
      </c>
      <c r="H106" s="407"/>
      <c r="I106" s="408"/>
    </row>
    <row r="107" spans="2:9" ht="14.1" customHeight="1">
      <c r="C107" s="64"/>
      <c r="D107" s="407" t="s">
        <v>773</v>
      </c>
      <c r="E107" s="407" t="s">
        <v>772</v>
      </c>
      <c r="F107" s="407" t="s">
        <v>769</v>
      </c>
      <c r="G107" s="22" t="s">
        <v>774</v>
      </c>
      <c r="H107" s="407"/>
      <c r="I107" s="408"/>
    </row>
    <row r="108" spans="2:9" ht="14.1" customHeight="1">
      <c r="C108" s="64"/>
      <c r="D108" s="407" t="s">
        <v>775</v>
      </c>
      <c r="E108" s="407" t="s">
        <v>776</v>
      </c>
      <c r="F108" s="407" t="s">
        <v>769</v>
      </c>
      <c r="G108" s="22" t="s">
        <v>777</v>
      </c>
      <c r="H108" s="407"/>
      <c r="I108" s="408"/>
    </row>
    <row r="109" spans="2:9" ht="12.95" customHeight="1">
      <c r="C109" s="64"/>
      <c r="D109" s="407" t="s">
        <v>778</v>
      </c>
      <c r="E109" s="407" t="s">
        <v>779</v>
      </c>
      <c r="F109" s="407" t="s">
        <v>769</v>
      </c>
      <c r="G109" s="41" t="s">
        <v>780</v>
      </c>
      <c r="H109" s="409"/>
      <c r="I109" s="410"/>
    </row>
    <row r="110" spans="2:9" ht="12" customHeight="1">
      <c r="C110" s="1066"/>
      <c r="D110" s="1067"/>
      <c r="E110" s="1067"/>
      <c r="F110" s="1068"/>
      <c r="G110" s="1059" t="s">
        <v>781</v>
      </c>
      <c r="H110" s="1056"/>
      <c r="I110" s="428"/>
    </row>
    <row r="111" spans="2:9" ht="12" customHeight="1">
      <c r="C111" s="313" t="s">
        <v>745</v>
      </c>
      <c r="D111" s="414" t="s">
        <v>746</v>
      </c>
      <c r="E111" s="414"/>
      <c r="F111" s="414"/>
      <c r="G111" s="62"/>
      <c r="H111" s="414"/>
      <c r="I111" s="416"/>
    </row>
    <row r="112" spans="2:9" ht="13.5" customHeight="1">
      <c r="C112" s="64"/>
      <c r="D112" s="407" t="s">
        <v>782</v>
      </c>
      <c r="E112" s="407"/>
      <c r="F112" s="407" t="s">
        <v>783</v>
      </c>
      <c r="G112" s="22">
        <v>1.25</v>
      </c>
      <c r="H112" s="407"/>
      <c r="I112" s="408"/>
    </row>
    <row r="113" spans="3:9" ht="14.1" customHeight="1">
      <c r="C113" s="64"/>
      <c r="D113" s="407" t="s">
        <v>784</v>
      </c>
      <c r="E113" s="407"/>
      <c r="F113" s="407" t="s">
        <v>750</v>
      </c>
      <c r="G113" s="22">
        <v>0.18</v>
      </c>
      <c r="H113" s="407"/>
      <c r="I113" s="408"/>
    </row>
    <row r="114" spans="3:9" ht="12.95" customHeight="1">
      <c r="C114" s="64"/>
      <c r="D114" s="407" t="s">
        <v>785</v>
      </c>
      <c r="E114" s="407"/>
      <c r="F114" s="407" t="s">
        <v>786</v>
      </c>
      <c r="G114" s="22">
        <v>0.08</v>
      </c>
      <c r="H114" s="407"/>
      <c r="I114" s="408"/>
    </row>
    <row r="115" spans="3:9" ht="14.1" customHeight="1">
      <c r="C115" s="64"/>
      <c r="D115" s="407" t="s">
        <v>787</v>
      </c>
      <c r="E115" s="407"/>
      <c r="F115" s="407" t="s">
        <v>786</v>
      </c>
      <c r="G115" s="22">
        <v>1.1000000000000001</v>
      </c>
      <c r="H115" s="407"/>
      <c r="I115" s="408"/>
    </row>
    <row r="116" spans="3:9" ht="14.1" customHeight="1">
      <c r="C116" s="64"/>
      <c r="D116" s="407" t="s">
        <v>788</v>
      </c>
      <c r="E116" s="407"/>
      <c r="F116" s="407" t="s">
        <v>786</v>
      </c>
      <c r="G116" s="22">
        <v>35</v>
      </c>
      <c r="H116" s="407"/>
      <c r="I116" s="408"/>
    </row>
    <row r="117" spans="3:9" ht="12.95" customHeight="1">
      <c r="C117" s="64"/>
      <c r="D117" s="407" t="s">
        <v>789</v>
      </c>
      <c r="E117" s="407"/>
      <c r="F117" s="407" t="s">
        <v>750</v>
      </c>
      <c r="G117" s="22">
        <v>0.15</v>
      </c>
      <c r="H117" s="407"/>
      <c r="I117" s="408"/>
    </row>
    <row r="118" spans="3:9" ht="14.1" customHeight="1">
      <c r="C118" s="64"/>
      <c r="D118" s="407" t="s">
        <v>790</v>
      </c>
      <c r="E118" s="407"/>
      <c r="F118" s="407" t="s">
        <v>750</v>
      </c>
      <c r="G118" s="22">
        <v>0.1</v>
      </c>
      <c r="H118" s="407"/>
      <c r="I118" s="408"/>
    </row>
    <row r="119" spans="3:9" ht="12.95" customHeight="1">
      <c r="C119" s="64"/>
      <c r="D119" s="407" t="s">
        <v>791</v>
      </c>
      <c r="E119" s="407"/>
      <c r="F119" s="407" t="s">
        <v>750</v>
      </c>
      <c r="G119" s="22">
        <v>0.15</v>
      </c>
      <c r="H119" s="407"/>
      <c r="I119" s="408"/>
    </row>
    <row r="120" spans="3:9" ht="14.1" customHeight="1">
      <c r="C120" s="64"/>
      <c r="D120" s="407" t="s">
        <v>792</v>
      </c>
      <c r="E120" s="407"/>
      <c r="F120" s="407" t="s">
        <v>793</v>
      </c>
      <c r="G120" s="22">
        <v>30</v>
      </c>
      <c r="H120" s="407"/>
      <c r="I120" s="408"/>
    </row>
    <row r="121" spans="3:9" ht="14.1" customHeight="1">
      <c r="C121" s="64"/>
      <c r="D121" s="407" t="s">
        <v>794</v>
      </c>
      <c r="E121" s="407"/>
      <c r="F121" s="407" t="s">
        <v>795</v>
      </c>
      <c r="G121" s="22">
        <v>0.25</v>
      </c>
      <c r="H121" s="407"/>
      <c r="I121" s="408"/>
    </row>
    <row r="122" spans="3:9" ht="12.95" customHeight="1">
      <c r="C122" s="64"/>
      <c r="D122" s="407" t="s">
        <v>796</v>
      </c>
      <c r="E122" s="407"/>
      <c r="F122" s="407" t="s">
        <v>793</v>
      </c>
      <c r="G122" s="22">
        <v>0.2</v>
      </c>
      <c r="H122" s="407"/>
      <c r="I122" s="408"/>
    </row>
    <row r="123" spans="3:9" ht="14.1" customHeight="1">
      <c r="C123" s="64"/>
      <c r="D123" s="407" t="s">
        <v>797</v>
      </c>
      <c r="E123" s="407"/>
      <c r="F123" s="407" t="s">
        <v>949</v>
      </c>
      <c r="G123" s="22">
        <v>0.08</v>
      </c>
      <c r="H123" s="407"/>
      <c r="I123" s="408"/>
    </row>
    <row r="124" spans="3:9" ht="14.1" customHeight="1">
      <c r="C124" s="64"/>
      <c r="D124" s="407" t="s">
        <v>798</v>
      </c>
      <c r="E124" s="407"/>
      <c r="F124" s="407" t="s">
        <v>793</v>
      </c>
      <c r="G124" s="22">
        <v>0.15</v>
      </c>
      <c r="H124" s="407"/>
      <c r="I124" s="408"/>
    </row>
    <row r="125" spans="3:9" ht="14.1" customHeight="1">
      <c r="C125" s="43"/>
      <c r="D125" s="409" t="s">
        <v>930</v>
      </c>
      <c r="E125" s="409"/>
      <c r="F125" s="409" t="s">
        <v>795</v>
      </c>
      <c r="G125" s="41">
        <v>0.06</v>
      </c>
      <c r="H125" s="409"/>
      <c r="I125" s="410"/>
    </row>
    <row r="126" spans="3:9" ht="12" customHeight="1">
      <c r="C126" s="411"/>
      <c r="D126" s="412"/>
      <c r="E126" s="412"/>
      <c r="F126" s="785"/>
      <c r="G126" s="1059" t="s">
        <v>799</v>
      </c>
      <c r="H126" s="1056"/>
      <c r="I126" s="413"/>
    </row>
    <row r="127" spans="3:9" ht="12" customHeight="1">
      <c r="C127" s="313" t="s">
        <v>752</v>
      </c>
      <c r="D127" s="429" t="s">
        <v>753</v>
      </c>
      <c r="E127" s="414"/>
      <c r="F127" s="414"/>
      <c r="G127" s="414"/>
      <c r="H127" s="414"/>
      <c r="I127" s="413"/>
    </row>
    <row r="128" spans="3:9" ht="12" customHeight="1">
      <c r="C128" s="411"/>
      <c r="D128" s="412"/>
      <c r="E128" s="412"/>
      <c r="F128" s="784"/>
      <c r="G128" s="1055" t="s">
        <v>800</v>
      </c>
      <c r="H128" s="1056"/>
      <c r="I128" s="430"/>
    </row>
    <row r="129" spans="2:9" ht="12" customHeight="1">
      <c r="C129" s="43" t="s">
        <v>801</v>
      </c>
      <c r="D129" s="1060" t="s">
        <v>802</v>
      </c>
      <c r="E129" s="1060"/>
      <c r="F129" s="1060"/>
      <c r="G129" s="1060"/>
      <c r="H129" s="1061"/>
      <c r="I129" s="413"/>
    </row>
    <row r="130" spans="2:9" ht="12" customHeight="1">
      <c r="C130" s="44" t="s">
        <v>803</v>
      </c>
      <c r="D130" s="1055" t="s">
        <v>804</v>
      </c>
      <c r="E130" s="1055"/>
      <c r="F130" s="1056"/>
      <c r="G130" s="1059" t="s">
        <v>805</v>
      </c>
      <c r="H130" s="1056"/>
      <c r="I130" s="413"/>
    </row>
    <row r="131" spans="2:9" ht="12" customHeight="1" thickBot="1">
      <c r="C131" s="45" t="s">
        <v>754</v>
      </c>
      <c r="D131" s="1062" t="s">
        <v>755</v>
      </c>
      <c r="E131" s="1062"/>
      <c r="F131" s="1062"/>
      <c r="G131" s="1062"/>
      <c r="H131" s="1063"/>
      <c r="I131" s="422"/>
    </row>
    <row r="132" spans="2:9" ht="14.1" customHeight="1">
      <c r="E132" s="338"/>
      <c r="G132" s="338"/>
      <c r="H132" s="338"/>
      <c r="I132" s="338"/>
    </row>
    <row r="133" spans="2:9" s="570" customFormat="1" ht="15.95" customHeight="1" thickBot="1">
      <c r="B133" s="570">
        <v>6</v>
      </c>
      <c r="C133" s="569" t="s">
        <v>962</v>
      </c>
      <c r="F133" s="814"/>
    </row>
    <row r="134" spans="2:9" s="309" customFormat="1" ht="35.1" customHeight="1" thickBot="1">
      <c r="C134" s="334" t="s">
        <v>840</v>
      </c>
      <c r="D134" s="335" t="s">
        <v>841</v>
      </c>
      <c r="E134" s="335" t="s">
        <v>842</v>
      </c>
      <c r="F134" s="799" t="s">
        <v>843</v>
      </c>
      <c r="G134" s="335" t="s">
        <v>844</v>
      </c>
      <c r="H134" s="431" t="s">
        <v>845</v>
      </c>
      <c r="I134" s="337" t="s">
        <v>846</v>
      </c>
    </row>
    <row r="135" spans="2:9" s="309" customFormat="1" ht="12" customHeight="1">
      <c r="C135" s="344" t="s">
        <v>917</v>
      </c>
      <c r="D135" s="381" t="s">
        <v>918</v>
      </c>
      <c r="E135" s="382"/>
      <c r="F135" s="808"/>
      <c r="G135" s="382"/>
      <c r="H135" s="382"/>
      <c r="I135" s="384"/>
    </row>
    <row r="136" spans="2:9" s="309" customFormat="1" ht="14.1" customHeight="1">
      <c r="C136" s="385"/>
      <c r="D136" s="365" t="s">
        <v>10</v>
      </c>
      <c r="E136" s="351" t="s">
        <v>16</v>
      </c>
      <c r="F136" s="667" t="s">
        <v>726</v>
      </c>
      <c r="G136" s="396">
        <v>1</v>
      </c>
      <c r="H136" s="382"/>
      <c r="I136" s="384"/>
    </row>
    <row r="137" spans="2:9" s="309" customFormat="1" ht="12.95" customHeight="1">
      <c r="C137" s="385"/>
      <c r="D137" s="365" t="s">
        <v>26</v>
      </c>
      <c r="E137" s="351" t="s">
        <v>22</v>
      </c>
      <c r="F137" s="667" t="s">
        <v>726</v>
      </c>
      <c r="G137" s="396">
        <v>1.5</v>
      </c>
      <c r="H137" s="382"/>
      <c r="I137" s="384"/>
    </row>
    <row r="138" spans="2:9" s="309" customFormat="1" ht="14.1" customHeight="1">
      <c r="C138" s="385"/>
      <c r="D138" s="365" t="s">
        <v>20</v>
      </c>
      <c r="E138" s="351" t="s">
        <v>21</v>
      </c>
      <c r="F138" s="667" t="s">
        <v>726</v>
      </c>
      <c r="G138" s="396">
        <v>0.15</v>
      </c>
      <c r="H138" s="382"/>
      <c r="I138" s="384"/>
    </row>
    <row r="139" spans="2:9" s="309" customFormat="1" ht="14.1" customHeight="1">
      <c r="C139" s="385"/>
      <c r="D139" s="365" t="s">
        <v>11</v>
      </c>
      <c r="E139" s="351" t="s">
        <v>17</v>
      </c>
      <c r="F139" s="667" t="s">
        <v>726</v>
      </c>
      <c r="G139" s="397">
        <v>0.05</v>
      </c>
      <c r="H139" s="388"/>
      <c r="I139" s="389"/>
    </row>
    <row r="140" spans="2:9" s="309" customFormat="1" ht="12" customHeight="1">
      <c r="C140" s="1024"/>
      <c r="D140" s="1025"/>
      <c r="E140" s="1025"/>
      <c r="F140" s="1026"/>
      <c r="G140" s="1027" t="s">
        <v>727</v>
      </c>
      <c r="H140" s="1028"/>
      <c r="I140" s="435"/>
    </row>
    <row r="141" spans="2:9" s="309" customFormat="1" ht="12" customHeight="1">
      <c r="C141" s="359" t="s">
        <v>919</v>
      </c>
      <c r="D141" s="360" t="s">
        <v>920</v>
      </c>
      <c r="E141" s="393"/>
      <c r="F141" s="810"/>
      <c r="G141" s="393"/>
      <c r="H141" s="393"/>
      <c r="I141" s="436"/>
    </row>
    <row r="142" spans="2:9" s="309" customFormat="1" ht="27.95" customHeight="1">
      <c r="C142" s="385"/>
      <c r="D142" s="382" t="s">
        <v>747</v>
      </c>
      <c r="E142" s="382"/>
      <c r="F142" s="667" t="s">
        <v>733</v>
      </c>
      <c r="G142" s="396">
        <v>3</v>
      </c>
      <c r="H142" s="382"/>
      <c r="I142" s="384"/>
    </row>
    <row r="143" spans="2:9" s="309" customFormat="1" ht="12.95" customHeight="1">
      <c r="C143" s="385"/>
      <c r="D143" s="365" t="s">
        <v>931</v>
      </c>
      <c r="E143" s="382"/>
      <c r="F143" s="808" t="s">
        <v>750</v>
      </c>
      <c r="G143" s="352">
        <v>0.27600000000000002</v>
      </c>
      <c r="H143" s="382"/>
      <c r="I143" s="384"/>
    </row>
    <row r="144" spans="2:9" s="309" customFormat="1" ht="14.1" customHeight="1">
      <c r="C144" s="385"/>
      <c r="D144" s="365" t="s">
        <v>932</v>
      </c>
      <c r="E144" s="382"/>
      <c r="F144" s="667" t="s">
        <v>734</v>
      </c>
      <c r="G144" s="352">
        <v>0.7</v>
      </c>
      <c r="H144" s="382"/>
      <c r="I144" s="384"/>
    </row>
    <row r="145" spans="2:9" s="309" customFormat="1" ht="14.1" customHeight="1">
      <c r="C145" s="386"/>
      <c r="D145" s="387" t="s">
        <v>927</v>
      </c>
      <c r="E145" s="388"/>
      <c r="F145" s="668" t="s">
        <v>734</v>
      </c>
      <c r="G145" s="355">
        <v>1.5</v>
      </c>
      <c r="H145" s="388"/>
      <c r="I145" s="389"/>
    </row>
    <row r="146" spans="2:9" s="309" customFormat="1" ht="12" customHeight="1">
      <c r="C146" s="390"/>
      <c r="D146" s="391"/>
      <c r="E146" s="391"/>
      <c r="F146" s="815"/>
      <c r="G146" s="1027" t="s">
        <v>728</v>
      </c>
      <c r="H146" s="1028"/>
      <c r="I146" s="435"/>
    </row>
    <row r="147" spans="2:9" s="309" customFormat="1" ht="12" customHeight="1">
      <c r="C147" s="438" t="s">
        <v>922</v>
      </c>
      <c r="D147" s="439" t="s">
        <v>923</v>
      </c>
      <c r="E147" s="320"/>
      <c r="F147" s="816"/>
      <c r="G147" s="320"/>
      <c r="H147" s="320"/>
      <c r="I147" s="435"/>
    </row>
    <row r="148" spans="2:9" s="309" customFormat="1" ht="12" customHeight="1">
      <c r="C148" s="390"/>
      <c r="D148" s="391"/>
      <c r="E148" s="391"/>
      <c r="F148" s="809"/>
      <c r="G148" s="1050" t="s">
        <v>729</v>
      </c>
      <c r="H148" s="1028"/>
      <c r="I148" s="435"/>
    </row>
    <row r="149" spans="2:9" s="309" customFormat="1" ht="12" customHeight="1">
      <c r="C149" s="376" t="s">
        <v>12</v>
      </c>
      <c r="D149" s="1022" t="s">
        <v>730</v>
      </c>
      <c r="E149" s="1034"/>
      <c r="F149" s="1034"/>
      <c r="G149" s="1034"/>
      <c r="H149" s="1034"/>
      <c r="I149" s="401"/>
    </row>
    <row r="150" spans="2:9" s="309" customFormat="1" ht="12" customHeight="1">
      <c r="C150" s="377" t="s">
        <v>13</v>
      </c>
      <c r="D150" s="1036" t="s">
        <v>731</v>
      </c>
      <c r="E150" s="1037"/>
      <c r="F150" s="1038"/>
      <c r="G150" s="1039" t="s">
        <v>740</v>
      </c>
      <c r="H150" s="1035"/>
      <c r="I150" s="403"/>
    </row>
    <row r="151" spans="2:9" s="309" customFormat="1" ht="12" customHeight="1" thickBot="1">
      <c r="C151" s="378" t="s">
        <v>924</v>
      </c>
      <c r="D151" s="1040" t="s">
        <v>925</v>
      </c>
      <c r="E151" s="1041"/>
      <c r="F151" s="1041"/>
      <c r="G151" s="1041"/>
      <c r="H151" s="1041"/>
      <c r="I151" s="404"/>
    </row>
    <row r="152" spans="2:9" s="309" customFormat="1" ht="14.1" customHeight="1">
      <c r="C152" s="380"/>
      <c r="D152" s="345"/>
      <c r="E152" s="345"/>
      <c r="F152" s="807"/>
      <c r="G152" s="345"/>
      <c r="H152" s="345"/>
      <c r="I152" s="440"/>
    </row>
    <row r="153" spans="2:9" s="570" customFormat="1" ht="15.95" customHeight="1" thickBot="1">
      <c r="B153" s="570">
        <v>7</v>
      </c>
      <c r="C153" s="572" t="s">
        <v>963</v>
      </c>
      <c r="F153" s="814"/>
    </row>
    <row r="154" spans="2:9" s="309" customFormat="1" ht="35.1" customHeight="1" thickBot="1">
      <c r="C154" s="334" t="s">
        <v>840</v>
      </c>
      <c r="D154" s="335" t="s">
        <v>841</v>
      </c>
      <c r="E154" s="335" t="s">
        <v>842</v>
      </c>
      <c r="F154" s="799" t="s">
        <v>843</v>
      </c>
      <c r="G154" s="335" t="s">
        <v>844</v>
      </c>
      <c r="H154" s="336" t="s">
        <v>933</v>
      </c>
      <c r="I154" s="337" t="s">
        <v>846</v>
      </c>
    </row>
    <row r="155" spans="2:9" s="309" customFormat="1" ht="14.1" customHeight="1">
      <c r="C155" s="344" t="s">
        <v>917</v>
      </c>
      <c r="D155" s="381" t="s">
        <v>918</v>
      </c>
      <c r="E155" s="382"/>
      <c r="F155" s="808"/>
      <c r="G155" s="382"/>
      <c r="H155" s="382"/>
      <c r="I155" s="384"/>
    </row>
    <row r="156" spans="2:9" s="309" customFormat="1" ht="14.1" customHeight="1">
      <c r="C156" s="385"/>
      <c r="D156" s="365" t="s">
        <v>10</v>
      </c>
      <c r="E156" s="351" t="s">
        <v>16</v>
      </c>
      <c r="F156" s="667" t="s">
        <v>726</v>
      </c>
      <c r="G156" s="396">
        <v>1</v>
      </c>
      <c r="H156" s="382"/>
      <c r="I156" s="384"/>
    </row>
    <row r="157" spans="2:9" s="309" customFormat="1" ht="14.1" customHeight="1">
      <c r="C157" s="385"/>
      <c r="D157" s="365" t="s">
        <v>26</v>
      </c>
      <c r="E157" s="351" t="s">
        <v>22</v>
      </c>
      <c r="F157" s="667" t="s">
        <v>726</v>
      </c>
      <c r="G157" s="396">
        <v>2</v>
      </c>
      <c r="H157" s="382"/>
      <c r="I157" s="384"/>
    </row>
    <row r="158" spans="2:9" s="309" customFormat="1" ht="14.1" customHeight="1">
      <c r="C158" s="385"/>
      <c r="D158" s="365" t="s">
        <v>20</v>
      </c>
      <c r="E158" s="351" t="s">
        <v>21</v>
      </c>
      <c r="F158" s="667" t="s">
        <v>726</v>
      </c>
      <c r="G158" s="396">
        <v>0.2</v>
      </c>
      <c r="H158" s="382"/>
      <c r="I158" s="384"/>
    </row>
    <row r="159" spans="2:9" s="309" customFormat="1" ht="14.1" customHeight="1">
      <c r="C159" s="385"/>
      <c r="D159" s="365" t="s">
        <v>11</v>
      </c>
      <c r="E159" s="351" t="s">
        <v>17</v>
      </c>
      <c r="F159" s="667" t="s">
        <v>726</v>
      </c>
      <c r="G159" s="397">
        <v>0.05</v>
      </c>
      <c r="H159" s="388"/>
      <c r="I159" s="389"/>
    </row>
    <row r="160" spans="2:9" s="309" customFormat="1" ht="14.1" customHeight="1">
      <c r="C160" s="1024"/>
      <c r="D160" s="1025"/>
      <c r="E160" s="1025"/>
      <c r="F160" s="1026"/>
      <c r="G160" s="1027" t="s">
        <v>727</v>
      </c>
      <c r="H160" s="1028"/>
      <c r="I160" s="435"/>
    </row>
    <row r="161" spans="3:9" s="309" customFormat="1" ht="14.1" customHeight="1">
      <c r="C161" s="359" t="s">
        <v>919</v>
      </c>
      <c r="D161" s="360" t="s">
        <v>920</v>
      </c>
      <c r="E161" s="393"/>
      <c r="F161" s="810"/>
      <c r="G161" s="393"/>
      <c r="H161" s="393"/>
      <c r="I161" s="436"/>
    </row>
    <row r="162" spans="3:9" s="309" customFormat="1" ht="14.1" customHeight="1">
      <c r="C162" s="385"/>
      <c r="D162" s="365" t="s">
        <v>732</v>
      </c>
      <c r="E162" s="382"/>
      <c r="F162" s="667" t="s">
        <v>733</v>
      </c>
      <c r="G162" s="396">
        <v>1.7</v>
      </c>
      <c r="H162" s="382"/>
      <c r="I162" s="384"/>
    </row>
    <row r="163" spans="3:9" s="309" customFormat="1" ht="14.1" customHeight="1">
      <c r="C163" s="385"/>
      <c r="D163" s="365" t="s">
        <v>931</v>
      </c>
      <c r="E163" s="382"/>
      <c r="F163" s="808" t="s">
        <v>750</v>
      </c>
      <c r="G163" s="352">
        <v>0.21</v>
      </c>
      <c r="H163" s="382"/>
      <c r="I163" s="384"/>
    </row>
    <row r="164" spans="3:9" s="309" customFormat="1" ht="14.1" customHeight="1">
      <c r="C164" s="385"/>
      <c r="D164" s="365" t="s">
        <v>932</v>
      </c>
      <c r="E164" s="382"/>
      <c r="F164" s="667" t="s">
        <v>734</v>
      </c>
      <c r="G164" s="352">
        <v>0.3</v>
      </c>
      <c r="H164" s="382"/>
      <c r="I164" s="384"/>
    </row>
    <row r="165" spans="3:9" s="309" customFormat="1" ht="14.1" customHeight="1">
      <c r="C165" s="385"/>
      <c r="D165" s="365" t="s">
        <v>806</v>
      </c>
      <c r="E165" s="382"/>
      <c r="F165" s="667" t="s">
        <v>734</v>
      </c>
      <c r="G165" s="396">
        <v>10.5</v>
      </c>
      <c r="H165" s="382"/>
      <c r="I165" s="384"/>
    </row>
    <row r="166" spans="3:9" s="309" customFormat="1" ht="14.1" customHeight="1">
      <c r="C166" s="385"/>
      <c r="D166" s="365" t="s">
        <v>144</v>
      </c>
      <c r="E166" s="382"/>
      <c r="F166" s="808" t="s">
        <v>750</v>
      </c>
      <c r="G166" s="396">
        <v>0.03</v>
      </c>
      <c r="H166" s="382"/>
      <c r="I166" s="384"/>
    </row>
    <row r="167" spans="3:9" s="309" customFormat="1" ht="14.1" customHeight="1">
      <c r="C167" s="385"/>
      <c r="D167" s="365" t="s">
        <v>735</v>
      </c>
      <c r="E167" s="382"/>
      <c r="F167" s="808" t="s">
        <v>750</v>
      </c>
      <c r="G167" s="396">
        <v>0.05</v>
      </c>
      <c r="H167" s="382"/>
      <c r="I167" s="384"/>
    </row>
    <row r="168" spans="3:9" s="309" customFormat="1" ht="14.1" customHeight="1">
      <c r="C168" s="385"/>
      <c r="D168" s="365" t="s">
        <v>927</v>
      </c>
      <c r="E168" s="382"/>
      <c r="F168" s="667" t="s">
        <v>822</v>
      </c>
      <c r="G168" s="396">
        <v>1.5</v>
      </c>
      <c r="H168" s="382"/>
      <c r="I168" s="384"/>
    </row>
    <row r="169" spans="3:9" s="309" customFormat="1" ht="14.1" customHeight="1">
      <c r="C169" s="386"/>
      <c r="D169" s="387" t="s">
        <v>934</v>
      </c>
      <c r="E169" s="388"/>
      <c r="F169" s="668" t="s">
        <v>822</v>
      </c>
      <c r="G169" s="355">
        <v>0.25</v>
      </c>
      <c r="H169" s="388"/>
      <c r="I169" s="389"/>
    </row>
    <row r="170" spans="3:9" s="309" customFormat="1" ht="14.1" customHeight="1">
      <c r="C170" s="1024"/>
      <c r="D170" s="1025"/>
      <c r="E170" s="1025"/>
      <c r="F170" s="1026"/>
      <c r="G170" s="1034" t="s">
        <v>728</v>
      </c>
      <c r="H170" s="1034"/>
      <c r="I170" s="401"/>
    </row>
    <row r="171" spans="3:9" s="309" customFormat="1" ht="14.1" customHeight="1">
      <c r="C171" s="370" t="s">
        <v>922</v>
      </c>
      <c r="D171" s="371" t="s">
        <v>923</v>
      </c>
      <c r="E171" s="399"/>
      <c r="F171" s="811"/>
      <c r="G171" s="441"/>
      <c r="H171" s="442"/>
      <c r="I171" s="403"/>
    </row>
    <row r="172" spans="3:9" s="309" customFormat="1" ht="14.1" customHeight="1">
      <c r="C172" s="1024"/>
      <c r="D172" s="1025"/>
      <c r="E172" s="1025"/>
      <c r="F172" s="1026"/>
      <c r="G172" s="1035" t="s">
        <v>729</v>
      </c>
      <c r="H172" s="1035"/>
      <c r="I172" s="403"/>
    </row>
    <row r="173" spans="3:9" s="309" customFormat="1" ht="14.1" customHeight="1">
      <c r="C173" s="376" t="s">
        <v>12</v>
      </c>
      <c r="D173" s="1022" t="s">
        <v>730</v>
      </c>
      <c r="E173" s="1034"/>
      <c r="F173" s="1034"/>
      <c r="G173" s="1035"/>
      <c r="H173" s="1035"/>
      <c r="I173" s="403"/>
    </row>
    <row r="174" spans="3:9" s="309" customFormat="1" ht="14.1" customHeight="1">
      <c r="C174" s="377" t="s">
        <v>13</v>
      </c>
      <c r="D174" s="1036" t="s">
        <v>731</v>
      </c>
      <c r="E174" s="1037"/>
      <c r="F174" s="1038"/>
      <c r="G174" s="1039" t="s">
        <v>935</v>
      </c>
      <c r="H174" s="1035"/>
      <c r="I174" s="403"/>
    </row>
    <row r="175" spans="3:9" s="309" customFormat="1" ht="14.1" customHeight="1" thickBot="1">
      <c r="C175" s="378" t="s">
        <v>924</v>
      </c>
      <c r="D175" s="1040" t="s">
        <v>925</v>
      </c>
      <c r="E175" s="1041"/>
      <c r="F175" s="1041"/>
      <c r="G175" s="1041"/>
      <c r="H175" s="1041"/>
      <c r="I175" s="404"/>
    </row>
    <row r="176" spans="3:9" ht="14.1" customHeight="1">
      <c r="E176" s="338"/>
      <c r="G176" s="338"/>
      <c r="H176" s="338"/>
      <c r="I176" s="338"/>
    </row>
    <row r="177" spans="2:9" s="570" customFormat="1" ht="15.95" customHeight="1" thickBot="1">
      <c r="B177" s="570">
        <v>8</v>
      </c>
      <c r="C177" s="569" t="s">
        <v>964</v>
      </c>
      <c r="F177" s="814"/>
    </row>
    <row r="178" spans="2:9" s="309" customFormat="1" ht="35.1" customHeight="1" thickBot="1">
      <c r="C178" s="488" t="s">
        <v>840</v>
      </c>
      <c r="D178" s="489" t="s">
        <v>841</v>
      </c>
      <c r="E178" s="490" t="s">
        <v>842</v>
      </c>
      <c r="F178" s="799" t="s">
        <v>843</v>
      </c>
      <c r="G178" s="431" t="s">
        <v>844</v>
      </c>
      <c r="H178" s="431" t="s">
        <v>845</v>
      </c>
      <c r="I178" s="337" t="s">
        <v>846</v>
      </c>
    </row>
    <row r="179" spans="2:9" s="309" customFormat="1" ht="12" customHeight="1">
      <c r="C179" s="487" t="s">
        <v>917</v>
      </c>
      <c r="D179" s="381" t="s">
        <v>918</v>
      </c>
      <c r="E179" s="382"/>
      <c r="F179" s="808"/>
      <c r="G179" s="382"/>
      <c r="H179" s="382"/>
      <c r="I179" s="384"/>
    </row>
    <row r="180" spans="2:9" s="309" customFormat="1" ht="14.1" customHeight="1">
      <c r="C180" s="443"/>
      <c r="D180" s="365" t="s">
        <v>10</v>
      </c>
      <c r="E180" s="351" t="s">
        <v>16</v>
      </c>
      <c r="F180" s="667" t="s">
        <v>726</v>
      </c>
      <c r="G180" s="396">
        <v>1</v>
      </c>
      <c r="H180" s="382"/>
      <c r="I180" s="384"/>
    </row>
    <row r="181" spans="2:9" s="309" customFormat="1" ht="12.95" customHeight="1">
      <c r="C181" s="443"/>
      <c r="D181" s="365" t="s">
        <v>26</v>
      </c>
      <c r="E181" s="351" t="s">
        <v>22</v>
      </c>
      <c r="F181" s="667" t="s">
        <v>726</v>
      </c>
      <c r="G181" s="396">
        <v>2</v>
      </c>
      <c r="H181" s="382"/>
      <c r="I181" s="384"/>
    </row>
    <row r="182" spans="2:9" s="309" customFormat="1" ht="14.1" customHeight="1">
      <c r="C182" s="443"/>
      <c r="D182" s="365" t="s">
        <v>20</v>
      </c>
      <c r="E182" s="351" t="s">
        <v>21</v>
      </c>
      <c r="F182" s="667" t="s">
        <v>726</v>
      </c>
      <c r="G182" s="396">
        <v>0.2</v>
      </c>
      <c r="H182" s="382"/>
      <c r="I182" s="384"/>
    </row>
    <row r="183" spans="2:9" s="309" customFormat="1" ht="14.1" customHeight="1">
      <c r="C183" s="444"/>
      <c r="D183" s="387" t="s">
        <v>11</v>
      </c>
      <c r="E183" s="354" t="s">
        <v>17</v>
      </c>
      <c r="F183" s="668" t="s">
        <v>726</v>
      </c>
      <c r="G183" s="397">
        <v>0.05</v>
      </c>
      <c r="H183" s="388"/>
      <c r="I183" s="389"/>
    </row>
    <row r="184" spans="2:9" s="309" customFormat="1" ht="12" customHeight="1">
      <c r="C184" s="445"/>
      <c r="D184" s="399"/>
      <c r="E184" s="399"/>
      <c r="F184" s="811"/>
      <c r="G184" s="1042" t="s">
        <v>727</v>
      </c>
      <c r="H184" s="1043"/>
      <c r="I184" s="447"/>
    </row>
    <row r="185" spans="2:9" s="309" customFormat="1" ht="14.1" customHeight="1">
      <c r="C185" s="359" t="s">
        <v>919</v>
      </c>
      <c r="D185" s="360" t="s">
        <v>920</v>
      </c>
      <c r="E185" s="393"/>
      <c r="F185" s="810"/>
      <c r="G185" s="393"/>
      <c r="H185" s="393"/>
      <c r="I185" s="436"/>
    </row>
    <row r="186" spans="2:9" s="309" customFormat="1" ht="14.1" customHeight="1">
      <c r="C186" s="385"/>
      <c r="D186" s="365" t="s">
        <v>732</v>
      </c>
      <c r="E186" s="382"/>
      <c r="F186" s="667" t="s">
        <v>733</v>
      </c>
      <c r="G186" s="396">
        <v>1.25</v>
      </c>
      <c r="H186" s="382"/>
      <c r="I186" s="384"/>
    </row>
    <row r="187" spans="2:9" s="309" customFormat="1" ht="14.1" customHeight="1">
      <c r="C187" s="385"/>
      <c r="D187" s="365" t="s">
        <v>931</v>
      </c>
      <c r="E187" s="382"/>
      <c r="F187" s="808" t="s">
        <v>750</v>
      </c>
      <c r="G187" s="352">
        <v>0.186</v>
      </c>
      <c r="H187" s="382"/>
      <c r="I187" s="384"/>
    </row>
    <row r="188" spans="2:9" s="309" customFormat="1" ht="14.1" customHeight="1">
      <c r="C188" s="385"/>
      <c r="D188" s="365" t="s">
        <v>932</v>
      </c>
      <c r="E188" s="382"/>
      <c r="F188" s="667" t="s">
        <v>734</v>
      </c>
      <c r="G188" s="352">
        <v>0.3</v>
      </c>
      <c r="H188" s="382"/>
      <c r="I188" s="384"/>
    </row>
    <row r="189" spans="2:9" s="309" customFormat="1" ht="14.1" customHeight="1">
      <c r="C189" s="385"/>
      <c r="D189" s="365" t="s">
        <v>806</v>
      </c>
      <c r="E189" s="382"/>
      <c r="F189" s="667" t="s">
        <v>734</v>
      </c>
      <c r="G189" s="396">
        <v>18</v>
      </c>
      <c r="H189" s="382"/>
      <c r="I189" s="384"/>
    </row>
    <row r="190" spans="2:9" s="309" customFormat="1" ht="14.1" customHeight="1">
      <c r="C190" s="385"/>
      <c r="D190" s="365" t="s">
        <v>144</v>
      </c>
      <c r="E190" s="382"/>
      <c r="F190" s="808" t="s">
        <v>750</v>
      </c>
      <c r="G190" s="396">
        <v>0.03</v>
      </c>
      <c r="H190" s="382"/>
      <c r="I190" s="384"/>
    </row>
    <row r="191" spans="2:9" s="309" customFormat="1" ht="14.1" customHeight="1">
      <c r="C191" s="385"/>
      <c r="D191" s="365" t="s">
        <v>735</v>
      </c>
      <c r="E191" s="382"/>
      <c r="F191" s="808" t="s">
        <v>750</v>
      </c>
      <c r="G191" s="396">
        <v>0.05</v>
      </c>
      <c r="H191" s="382"/>
      <c r="I191" s="384"/>
    </row>
    <row r="192" spans="2:9" s="309" customFormat="1" ht="14.1" customHeight="1">
      <c r="C192" s="385"/>
      <c r="D192" s="365" t="s">
        <v>927</v>
      </c>
      <c r="E192" s="382"/>
      <c r="F192" s="667" t="s">
        <v>822</v>
      </c>
      <c r="G192" s="396">
        <v>1.5</v>
      </c>
      <c r="H192" s="382"/>
      <c r="I192" s="384"/>
    </row>
    <row r="193" spans="2:9" s="309" customFormat="1" ht="14.1" customHeight="1">
      <c r="C193" s="386"/>
      <c r="D193" s="388" t="s">
        <v>930</v>
      </c>
      <c r="E193" s="388"/>
      <c r="F193" s="668" t="s">
        <v>822</v>
      </c>
      <c r="G193" s="355">
        <v>1.35</v>
      </c>
      <c r="H193" s="388"/>
      <c r="I193" s="389"/>
    </row>
    <row r="194" spans="2:9" s="309" customFormat="1" ht="14.1" customHeight="1">
      <c r="C194" s="1019"/>
      <c r="D194" s="1020"/>
      <c r="E194" s="1020"/>
      <c r="F194" s="1021"/>
      <c r="G194" s="1022" t="s">
        <v>728</v>
      </c>
      <c r="H194" s="1034"/>
      <c r="I194" s="401"/>
    </row>
    <row r="195" spans="2:9" s="309" customFormat="1" ht="14.1" customHeight="1">
      <c r="C195" s="448" t="s">
        <v>922</v>
      </c>
      <c r="D195" s="449" t="s">
        <v>923</v>
      </c>
      <c r="E195" s="441"/>
      <c r="F195" s="817"/>
      <c r="G195" s="442"/>
      <c r="H195" s="442"/>
      <c r="I195" s="403"/>
    </row>
    <row r="196" spans="2:9" s="309" customFormat="1" ht="14.1" customHeight="1">
      <c r="C196" s="1046"/>
      <c r="D196" s="1047"/>
      <c r="E196" s="1047"/>
      <c r="F196" s="1048"/>
      <c r="G196" s="1039" t="s">
        <v>729</v>
      </c>
      <c r="H196" s="1035"/>
      <c r="I196" s="403"/>
    </row>
    <row r="197" spans="2:9" s="309" customFormat="1" ht="14.1" customHeight="1">
      <c r="C197" s="377" t="s">
        <v>12</v>
      </c>
      <c r="D197" s="1039" t="s">
        <v>730</v>
      </c>
      <c r="E197" s="1035"/>
      <c r="F197" s="1035"/>
      <c r="G197" s="1035"/>
      <c r="H197" s="1035"/>
      <c r="I197" s="403"/>
    </row>
    <row r="198" spans="2:9" s="309" customFormat="1" ht="14.1" customHeight="1">
      <c r="C198" s="377" t="s">
        <v>13</v>
      </c>
      <c r="D198" s="1036" t="s">
        <v>731</v>
      </c>
      <c r="E198" s="1037"/>
      <c r="F198" s="1038"/>
      <c r="G198" s="1039" t="s">
        <v>740</v>
      </c>
      <c r="H198" s="1035"/>
      <c r="I198" s="403"/>
    </row>
    <row r="199" spans="2:9" s="309" customFormat="1" ht="14.1" customHeight="1" thickBot="1">
      <c r="C199" s="378" t="s">
        <v>924</v>
      </c>
      <c r="D199" s="1040" t="s">
        <v>925</v>
      </c>
      <c r="E199" s="1041"/>
      <c r="F199" s="1041"/>
      <c r="G199" s="1041"/>
      <c r="H199" s="1041"/>
      <c r="I199" s="404"/>
    </row>
    <row r="200" spans="2:9" s="309" customFormat="1" ht="14.1" customHeight="1">
      <c r="C200" s="380"/>
      <c r="D200" s="345"/>
      <c r="E200" s="345"/>
      <c r="F200" s="807"/>
      <c r="G200" s="345"/>
      <c r="H200" s="345"/>
      <c r="I200" s="440"/>
    </row>
    <row r="201" spans="2:9" s="570" customFormat="1" ht="15.95" customHeight="1" thickBot="1">
      <c r="B201" s="570">
        <v>9</v>
      </c>
      <c r="C201" s="569" t="s">
        <v>965</v>
      </c>
      <c r="F201" s="814"/>
    </row>
    <row r="202" spans="2:9" s="309" customFormat="1" ht="35.1" customHeight="1" thickBot="1">
      <c r="C202" s="334" t="s">
        <v>840</v>
      </c>
      <c r="D202" s="335" t="s">
        <v>841</v>
      </c>
      <c r="E202" s="335" t="s">
        <v>842</v>
      </c>
      <c r="F202" s="799" t="s">
        <v>843</v>
      </c>
      <c r="G202" s="431" t="s">
        <v>844</v>
      </c>
      <c r="H202" s="431" t="s">
        <v>845</v>
      </c>
      <c r="I202" s="337" t="s">
        <v>846</v>
      </c>
    </row>
    <row r="203" spans="2:9" s="309" customFormat="1" ht="14.1" customHeight="1">
      <c r="C203" s="344" t="s">
        <v>917</v>
      </c>
      <c r="D203" s="381" t="s">
        <v>918</v>
      </c>
      <c r="E203" s="382"/>
      <c r="F203" s="808"/>
      <c r="G203" s="382"/>
      <c r="H203" s="382"/>
      <c r="I203" s="384"/>
    </row>
    <row r="204" spans="2:9" s="309" customFormat="1" ht="14.1" customHeight="1">
      <c r="C204" s="385"/>
      <c r="D204" s="365" t="s">
        <v>10</v>
      </c>
      <c r="E204" s="351" t="s">
        <v>16</v>
      </c>
      <c r="F204" s="667" t="s">
        <v>726</v>
      </c>
      <c r="G204" s="396">
        <v>0.1</v>
      </c>
      <c r="H204" s="382"/>
      <c r="I204" s="384"/>
    </row>
    <row r="205" spans="2:9" s="309" customFormat="1" ht="14.1" customHeight="1">
      <c r="C205" s="386"/>
      <c r="D205" s="387" t="s">
        <v>11</v>
      </c>
      <c r="E205" s="354" t="s">
        <v>17</v>
      </c>
      <c r="F205" s="668" t="s">
        <v>726</v>
      </c>
      <c r="G205" s="397">
        <v>0.05</v>
      </c>
      <c r="H205" s="388"/>
      <c r="I205" s="389"/>
    </row>
    <row r="206" spans="2:9" s="309" customFormat="1" ht="14.1" customHeight="1">
      <c r="C206" s="390"/>
      <c r="D206" s="391"/>
      <c r="E206" s="391"/>
      <c r="F206" s="815"/>
      <c r="G206" s="1043" t="s">
        <v>727</v>
      </c>
      <c r="H206" s="1043"/>
      <c r="I206" s="435"/>
    </row>
    <row r="207" spans="2:9" s="309" customFormat="1" ht="14.1" customHeight="1">
      <c r="C207" s="450" t="s">
        <v>919</v>
      </c>
      <c r="D207" s="451" t="s">
        <v>920</v>
      </c>
      <c r="E207" s="452"/>
      <c r="F207" s="818"/>
      <c r="G207" s="453"/>
      <c r="H207" s="454"/>
      <c r="I207" s="455"/>
    </row>
    <row r="208" spans="2:9" s="309" customFormat="1" ht="14.1" customHeight="1">
      <c r="C208" s="1046"/>
      <c r="D208" s="1047"/>
      <c r="E208" s="1047"/>
      <c r="F208" s="1048"/>
      <c r="G208" s="1022" t="s">
        <v>728</v>
      </c>
      <c r="H208" s="1034"/>
      <c r="I208" s="403"/>
    </row>
    <row r="209" spans="2:9" s="309" customFormat="1" ht="14.1" customHeight="1">
      <c r="C209" s="448" t="s">
        <v>922</v>
      </c>
      <c r="D209" s="449" t="s">
        <v>923</v>
      </c>
      <c r="E209" s="441"/>
      <c r="F209" s="817"/>
      <c r="G209" s="442"/>
      <c r="H209" s="442"/>
      <c r="I209" s="403"/>
    </row>
    <row r="210" spans="2:9" s="309" customFormat="1" ht="14.1" customHeight="1">
      <c r="C210" s="1046"/>
      <c r="D210" s="1047"/>
      <c r="E210" s="1047"/>
      <c r="F210" s="1048"/>
      <c r="G210" s="1039" t="s">
        <v>729</v>
      </c>
      <c r="H210" s="1035"/>
      <c r="I210" s="403"/>
    </row>
    <row r="211" spans="2:9" s="309" customFormat="1" ht="14.1" customHeight="1">
      <c r="C211" s="377" t="s">
        <v>12</v>
      </c>
      <c r="D211" s="1039" t="s">
        <v>730</v>
      </c>
      <c r="E211" s="1035"/>
      <c r="F211" s="1035"/>
      <c r="G211" s="1035"/>
      <c r="H211" s="1035"/>
      <c r="I211" s="403"/>
    </row>
    <row r="212" spans="2:9" s="309" customFormat="1" ht="14.1" customHeight="1">
      <c r="C212" s="377" t="s">
        <v>13</v>
      </c>
      <c r="D212" s="1036" t="s">
        <v>731</v>
      </c>
      <c r="E212" s="1037"/>
      <c r="F212" s="1038"/>
      <c r="G212" s="1039" t="s">
        <v>740</v>
      </c>
      <c r="H212" s="1035"/>
      <c r="I212" s="403"/>
    </row>
    <row r="213" spans="2:9" s="309" customFormat="1" ht="14.1" customHeight="1" thickBot="1">
      <c r="C213" s="456" t="s">
        <v>14</v>
      </c>
      <c r="D213" s="1029" t="s">
        <v>817</v>
      </c>
      <c r="E213" s="1030"/>
      <c r="F213" s="1030"/>
      <c r="G213" s="1030"/>
      <c r="H213" s="1030"/>
      <c r="I213" s="404"/>
    </row>
    <row r="214" spans="2:9" ht="14.1" customHeight="1">
      <c r="E214" s="338"/>
      <c r="G214" s="338"/>
      <c r="H214" s="338"/>
      <c r="I214" s="338"/>
    </row>
    <row r="215" spans="2:9" s="506" customFormat="1" ht="16.5" customHeight="1" thickBot="1">
      <c r="B215" s="469">
        <v>10</v>
      </c>
      <c r="C215" s="569" t="s">
        <v>966</v>
      </c>
      <c r="D215" s="570"/>
      <c r="E215" s="570"/>
      <c r="F215" s="814"/>
      <c r="G215" s="570"/>
      <c r="H215" s="570"/>
      <c r="I215" s="570"/>
    </row>
    <row r="216" spans="2:9" ht="26.25" thickBot="1">
      <c r="C216" s="334" t="s">
        <v>840</v>
      </c>
      <c r="D216" s="335" t="s">
        <v>841</v>
      </c>
      <c r="E216" s="335" t="s">
        <v>842</v>
      </c>
      <c r="F216" s="799" t="s">
        <v>843</v>
      </c>
      <c r="G216" s="335" t="s">
        <v>844</v>
      </c>
      <c r="H216" s="431" t="s">
        <v>845</v>
      </c>
      <c r="I216" s="337" t="s">
        <v>846</v>
      </c>
    </row>
    <row r="217" spans="2:9" ht="14.1" customHeight="1">
      <c r="C217" s="491" t="s">
        <v>7</v>
      </c>
      <c r="D217" s="365" t="s">
        <v>810</v>
      </c>
      <c r="E217" s="382"/>
      <c r="F217" s="808"/>
      <c r="G217" s="382"/>
      <c r="H217" s="382"/>
      <c r="I217" s="384"/>
    </row>
    <row r="218" spans="2:9" ht="14.1" customHeight="1">
      <c r="C218" s="385"/>
      <c r="D218" s="365" t="s">
        <v>10</v>
      </c>
      <c r="E218" s="351" t="s">
        <v>16</v>
      </c>
      <c r="F218" s="667" t="s">
        <v>726</v>
      </c>
      <c r="G218" s="396">
        <v>1</v>
      </c>
      <c r="H218" s="382"/>
      <c r="I218" s="384"/>
    </row>
    <row r="219" spans="2:9" ht="14.1" customHeight="1">
      <c r="C219" s="385"/>
      <c r="D219" s="365" t="s">
        <v>26</v>
      </c>
      <c r="E219" s="351" t="s">
        <v>22</v>
      </c>
      <c r="F219" s="667" t="s">
        <v>726</v>
      </c>
      <c r="G219" s="396">
        <v>2</v>
      </c>
      <c r="H219" s="382"/>
      <c r="I219" s="384"/>
    </row>
    <row r="220" spans="2:9" ht="14.1" customHeight="1">
      <c r="C220" s="385"/>
      <c r="D220" s="365" t="s">
        <v>936</v>
      </c>
      <c r="E220" s="351" t="s">
        <v>21</v>
      </c>
      <c r="F220" s="667" t="s">
        <v>726</v>
      </c>
      <c r="G220" s="396">
        <v>0.2</v>
      </c>
      <c r="H220" s="382"/>
      <c r="I220" s="384"/>
    </row>
    <row r="221" spans="2:9" ht="14.1" customHeight="1">
      <c r="C221" s="386"/>
      <c r="D221" s="387" t="s">
        <v>11</v>
      </c>
      <c r="E221" s="354" t="s">
        <v>17</v>
      </c>
      <c r="F221" s="668" t="s">
        <v>726</v>
      </c>
      <c r="G221" s="397">
        <v>0.05</v>
      </c>
      <c r="H221" s="388"/>
      <c r="I221" s="389"/>
    </row>
    <row r="222" spans="2:9" ht="14.1" customHeight="1">
      <c r="C222" s="1032"/>
      <c r="D222" s="1033"/>
      <c r="E222" s="1033"/>
      <c r="F222" s="1044"/>
      <c r="G222" s="1042" t="s">
        <v>727</v>
      </c>
      <c r="H222" s="1043"/>
      <c r="I222" s="447"/>
    </row>
    <row r="223" spans="2:9" ht="14.1" customHeight="1">
      <c r="C223" s="457" t="s">
        <v>8</v>
      </c>
      <c r="D223" s="458" t="s">
        <v>811</v>
      </c>
      <c r="E223" s="393"/>
      <c r="F223" s="810"/>
      <c r="G223" s="393"/>
      <c r="H223" s="393"/>
      <c r="I223" s="436"/>
    </row>
    <row r="224" spans="2:9" ht="14.1" customHeight="1">
      <c r="C224" s="385"/>
      <c r="D224" s="365" t="s">
        <v>937</v>
      </c>
      <c r="E224" s="382"/>
      <c r="F224" s="667" t="s">
        <v>733</v>
      </c>
      <c r="G224" s="396">
        <v>1.25</v>
      </c>
      <c r="H224" s="382"/>
      <c r="I224" s="384"/>
    </row>
    <row r="225" spans="2:9" ht="14.1" customHeight="1">
      <c r="C225" s="386"/>
      <c r="D225" s="387" t="s">
        <v>938</v>
      </c>
      <c r="E225" s="388"/>
      <c r="F225" s="819" t="s">
        <v>750</v>
      </c>
      <c r="G225" s="355">
        <v>0.186</v>
      </c>
      <c r="H225" s="388"/>
      <c r="I225" s="389"/>
    </row>
    <row r="226" spans="2:9" ht="14.1" customHeight="1">
      <c r="C226" s="1019"/>
      <c r="D226" s="1020"/>
      <c r="E226" s="1020"/>
      <c r="F226" s="1021"/>
      <c r="G226" s="1022" t="s">
        <v>728</v>
      </c>
      <c r="H226" s="1034"/>
      <c r="I226" s="401"/>
    </row>
    <row r="227" spans="2:9" ht="14.1" customHeight="1">
      <c r="C227" s="377" t="s">
        <v>9</v>
      </c>
      <c r="D227" s="460" t="s">
        <v>815</v>
      </c>
      <c r="E227" s="441"/>
      <c r="F227" s="817"/>
      <c r="G227" s="441"/>
      <c r="H227" s="442"/>
      <c r="I227" s="403"/>
    </row>
    <row r="228" spans="2:9" ht="14.1" customHeight="1">
      <c r="C228" s="1046"/>
      <c r="D228" s="1047"/>
      <c r="E228" s="1047"/>
      <c r="F228" s="1048"/>
      <c r="G228" s="1039" t="s">
        <v>729</v>
      </c>
      <c r="H228" s="1035"/>
      <c r="I228" s="403"/>
    </row>
    <row r="229" spans="2:9" ht="14.1" customHeight="1">
      <c r="C229" s="377" t="s">
        <v>12</v>
      </c>
      <c r="D229" s="1039" t="s">
        <v>730</v>
      </c>
      <c r="E229" s="1035"/>
      <c r="F229" s="1035"/>
      <c r="G229" s="1035"/>
      <c r="H229" s="1035"/>
      <c r="I229" s="403"/>
    </row>
    <row r="230" spans="2:9" ht="14.1" customHeight="1">
      <c r="C230" s="377" t="s">
        <v>13</v>
      </c>
      <c r="D230" s="1036" t="s">
        <v>731</v>
      </c>
      <c r="E230" s="1037"/>
      <c r="F230" s="1038"/>
      <c r="G230" s="1039" t="s">
        <v>740</v>
      </c>
      <c r="H230" s="1035"/>
      <c r="I230" s="403"/>
    </row>
    <row r="231" spans="2:9" ht="14.1" customHeight="1" thickBot="1">
      <c r="C231" s="456" t="s">
        <v>14</v>
      </c>
      <c r="D231" s="1029" t="s">
        <v>817</v>
      </c>
      <c r="E231" s="1030"/>
      <c r="F231" s="1030"/>
      <c r="G231" s="1030"/>
      <c r="H231" s="1030"/>
      <c r="I231" s="404"/>
    </row>
    <row r="232" spans="2:9" ht="14.1" customHeight="1">
      <c r="C232" s="461"/>
      <c r="D232" s="350"/>
      <c r="E232" s="350"/>
      <c r="F232" s="820"/>
      <c r="G232" s="350"/>
      <c r="H232" s="350"/>
      <c r="I232" s="440"/>
    </row>
    <row r="233" spans="2:9" s="506" customFormat="1" ht="13.5" thickBot="1">
      <c r="B233" s="469">
        <v>11</v>
      </c>
      <c r="C233" s="569" t="s">
        <v>910</v>
      </c>
      <c r="D233" s="570"/>
      <c r="E233" s="570"/>
      <c r="F233" s="814"/>
      <c r="G233" s="570"/>
      <c r="H233" s="570"/>
      <c r="I233" s="570"/>
    </row>
    <row r="234" spans="2:9" ht="26.25" thickBot="1">
      <c r="C234" s="334" t="s">
        <v>840</v>
      </c>
      <c r="D234" s="335" t="s">
        <v>841</v>
      </c>
      <c r="E234" s="431" t="s">
        <v>842</v>
      </c>
      <c r="F234" s="821" t="s">
        <v>843</v>
      </c>
      <c r="G234" s="490" t="s">
        <v>844</v>
      </c>
      <c r="H234" s="431" t="s">
        <v>845</v>
      </c>
      <c r="I234" s="337" t="s">
        <v>846</v>
      </c>
    </row>
    <row r="235" spans="2:9" ht="14.1" customHeight="1">
      <c r="C235" s="491" t="s">
        <v>7</v>
      </c>
      <c r="D235" s="365" t="s">
        <v>810</v>
      </c>
      <c r="E235" s="492"/>
      <c r="F235" s="808"/>
      <c r="G235" s="382"/>
      <c r="H235" s="382"/>
      <c r="I235" s="384"/>
    </row>
    <row r="236" spans="2:9" ht="14.1" customHeight="1">
      <c r="C236" s="385"/>
      <c r="D236" s="365" t="s">
        <v>26</v>
      </c>
      <c r="E236" s="463" t="s">
        <v>22</v>
      </c>
      <c r="F236" s="667" t="s">
        <v>726</v>
      </c>
      <c r="G236" s="396">
        <v>0.3</v>
      </c>
      <c r="H236" s="382"/>
      <c r="I236" s="384"/>
    </row>
    <row r="237" spans="2:9" ht="14.1" customHeight="1">
      <c r="C237" s="386"/>
      <c r="D237" s="387" t="s">
        <v>20</v>
      </c>
      <c r="E237" s="464" t="s">
        <v>21</v>
      </c>
      <c r="F237" s="668" t="s">
        <v>726</v>
      </c>
      <c r="G237" s="397">
        <v>0.03</v>
      </c>
      <c r="H237" s="388"/>
      <c r="I237" s="389"/>
    </row>
    <row r="238" spans="2:9" ht="14.1" customHeight="1">
      <c r="C238" s="1024"/>
      <c r="D238" s="1025"/>
      <c r="E238" s="1025"/>
      <c r="F238" s="1026"/>
      <c r="G238" s="1027" t="s">
        <v>727</v>
      </c>
      <c r="H238" s="1028"/>
      <c r="I238" s="435"/>
    </row>
    <row r="239" spans="2:9" ht="14.1" customHeight="1">
      <c r="C239" s="457" t="s">
        <v>8</v>
      </c>
      <c r="D239" s="458" t="s">
        <v>811</v>
      </c>
      <c r="E239" s="393"/>
      <c r="F239" s="810"/>
      <c r="G239" s="393"/>
      <c r="H239" s="393"/>
      <c r="I239" s="436"/>
    </row>
    <row r="240" spans="2:9" ht="14.1" customHeight="1">
      <c r="C240" s="385"/>
      <c r="D240" s="365" t="s">
        <v>939</v>
      </c>
      <c r="E240" s="382"/>
      <c r="F240" s="808" t="s">
        <v>750</v>
      </c>
      <c r="G240" s="352">
        <v>3.5999999999999997E-2</v>
      </c>
      <c r="H240" s="382"/>
      <c r="I240" s="384"/>
    </row>
    <row r="241" spans="2:9" ht="14.1" customHeight="1">
      <c r="C241" s="385"/>
      <c r="D241" s="365" t="s">
        <v>940</v>
      </c>
      <c r="E241" s="382"/>
      <c r="F241" s="808" t="s">
        <v>750</v>
      </c>
      <c r="G241" s="352">
        <v>1.4E-2</v>
      </c>
      <c r="H241" s="382"/>
      <c r="I241" s="384"/>
    </row>
    <row r="242" spans="2:9" ht="14.1" customHeight="1">
      <c r="C242" s="386"/>
      <c r="D242" s="387" t="s">
        <v>932</v>
      </c>
      <c r="E242" s="388"/>
      <c r="F242" s="668" t="s">
        <v>56</v>
      </c>
      <c r="G242" s="397">
        <v>0.08</v>
      </c>
      <c r="H242" s="388"/>
      <c r="I242" s="389"/>
    </row>
    <row r="243" spans="2:9" ht="14.1" customHeight="1">
      <c r="C243" s="1019"/>
      <c r="D243" s="1020"/>
      <c r="E243" s="1020"/>
      <c r="F243" s="1021"/>
      <c r="G243" s="1022" t="s">
        <v>728</v>
      </c>
      <c r="H243" s="1034"/>
      <c r="I243" s="401"/>
    </row>
    <row r="244" spans="2:9" ht="14.1" customHeight="1">
      <c r="C244" s="377" t="s">
        <v>9</v>
      </c>
      <c r="D244" s="460" t="s">
        <v>815</v>
      </c>
      <c r="E244" s="441"/>
      <c r="F244" s="817"/>
      <c r="G244" s="441"/>
      <c r="H244" s="442"/>
      <c r="I244" s="403"/>
    </row>
    <row r="245" spans="2:9" ht="14.1" customHeight="1">
      <c r="C245" s="1046"/>
      <c r="D245" s="1047"/>
      <c r="E245" s="1047"/>
      <c r="F245" s="1048"/>
      <c r="G245" s="1039" t="s">
        <v>729</v>
      </c>
      <c r="H245" s="1035"/>
      <c r="I245" s="403"/>
    </row>
    <row r="246" spans="2:9" ht="14.1" customHeight="1">
      <c r="C246" s="377" t="s">
        <v>12</v>
      </c>
      <c r="D246" s="1039" t="s">
        <v>730</v>
      </c>
      <c r="E246" s="1035"/>
      <c r="F246" s="1035"/>
      <c r="G246" s="1035"/>
      <c r="H246" s="1035"/>
      <c r="I246" s="403"/>
    </row>
    <row r="247" spans="2:9" ht="14.1" customHeight="1">
      <c r="C247" s="377" t="s">
        <v>13</v>
      </c>
      <c r="D247" s="1036" t="s">
        <v>731</v>
      </c>
      <c r="E247" s="1037"/>
      <c r="F247" s="1038"/>
      <c r="G247" s="1039" t="s">
        <v>740</v>
      </c>
      <c r="H247" s="1035"/>
      <c r="I247" s="403"/>
    </row>
    <row r="248" spans="2:9" ht="14.1" customHeight="1" thickBot="1">
      <c r="C248" s="456" t="s">
        <v>14</v>
      </c>
      <c r="D248" s="1029" t="s">
        <v>817</v>
      </c>
      <c r="E248" s="1030"/>
      <c r="F248" s="1030"/>
      <c r="G248" s="1030"/>
      <c r="H248" s="1030"/>
      <c r="I248" s="404"/>
    </row>
    <row r="249" spans="2:9" ht="14.1" customHeight="1">
      <c r="C249" s="461"/>
      <c r="D249" s="350"/>
      <c r="E249" s="350"/>
      <c r="F249" s="820"/>
      <c r="G249" s="350"/>
      <c r="H249" s="350"/>
      <c r="I249" s="440"/>
    </row>
    <row r="250" spans="2:9" s="506" customFormat="1" ht="16.5" thickBot="1">
      <c r="B250" s="469">
        <v>12</v>
      </c>
      <c r="C250" s="569" t="s">
        <v>967</v>
      </c>
    </row>
    <row r="251" spans="2:9" ht="26.25" thickBot="1">
      <c r="C251" s="334" t="s">
        <v>840</v>
      </c>
      <c r="D251" s="335" t="s">
        <v>841</v>
      </c>
      <c r="E251" s="335" t="s">
        <v>842</v>
      </c>
      <c r="F251" s="799" t="s">
        <v>843</v>
      </c>
      <c r="G251" s="431" t="s">
        <v>844</v>
      </c>
      <c r="H251" s="335" t="s">
        <v>845</v>
      </c>
      <c r="I251" s="337" t="s">
        <v>846</v>
      </c>
    </row>
    <row r="252" spans="2:9" ht="14.1" customHeight="1">
      <c r="C252" s="491" t="s">
        <v>7</v>
      </c>
      <c r="D252" s="365" t="s">
        <v>810</v>
      </c>
      <c r="E252" s="382"/>
      <c r="F252" s="808"/>
      <c r="G252" s="382"/>
      <c r="H252" s="382"/>
      <c r="I252" s="384"/>
    </row>
    <row r="253" spans="2:9" ht="14.1" customHeight="1">
      <c r="C253" s="385"/>
      <c r="D253" s="365" t="s">
        <v>10</v>
      </c>
      <c r="E253" s="351" t="s">
        <v>16</v>
      </c>
      <c r="F253" s="667" t="s">
        <v>726</v>
      </c>
      <c r="G253" s="352">
        <v>1</v>
      </c>
      <c r="H253" s="382"/>
      <c r="I253" s="384"/>
    </row>
    <row r="254" spans="2:9" ht="14.1" customHeight="1">
      <c r="C254" s="386"/>
      <c r="D254" s="387" t="s">
        <v>11</v>
      </c>
      <c r="E254" s="354" t="s">
        <v>17</v>
      </c>
      <c r="F254" s="668" t="s">
        <v>726</v>
      </c>
      <c r="G254" s="355">
        <v>5.0000000000000001E-3</v>
      </c>
      <c r="H254" s="388"/>
      <c r="I254" s="389"/>
    </row>
    <row r="255" spans="2:9" ht="14.1" customHeight="1">
      <c r="C255" s="1032"/>
      <c r="D255" s="1033"/>
      <c r="E255" s="1033"/>
      <c r="F255" s="1044"/>
      <c r="G255" s="1042" t="s">
        <v>727</v>
      </c>
      <c r="H255" s="1045"/>
      <c r="I255" s="447"/>
    </row>
    <row r="256" spans="2:9" ht="14.1" customHeight="1">
      <c r="C256" s="457" t="s">
        <v>8</v>
      </c>
      <c r="D256" s="458" t="s">
        <v>811</v>
      </c>
      <c r="E256" s="393"/>
      <c r="F256" s="810"/>
      <c r="G256" s="393"/>
      <c r="H256" s="393"/>
      <c r="I256" s="436"/>
    </row>
    <row r="257" spans="2:9" ht="14.1" customHeight="1">
      <c r="C257" s="385"/>
      <c r="D257" s="365" t="s">
        <v>137</v>
      </c>
      <c r="E257" s="382"/>
      <c r="F257" s="808" t="s">
        <v>750</v>
      </c>
      <c r="G257" s="352">
        <v>0.15</v>
      </c>
      <c r="H257" s="382"/>
      <c r="I257" s="384"/>
    </row>
    <row r="258" spans="2:9" ht="14.1" customHeight="1">
      <c r="C258" s="385"/>
      <c r="D258" s="365" t="s">
        <v>941</v>
      </c>
      <c r="E258" s="382"/>
      <c r="F258" s="808" t="s">
        <v>750</v>
      </c>
      <c r="G258" s="352">
        <v>0.09</v>
      </c>
      <c r="H258" s="382"/>
      <c r="I258" s="384"/>
    </row>
    <row r="259" spans="2:9" ht="14.1" customHeight="1">
      <c r="C259" s="386"/>
      <c r="D259" s="387" t="s">
        <v>211</v>
      </c>
      <c r="E259" s="388"/>
      <c r="F259" s="819" t="s">
        <v>750</v>
      </c>
      <c r="G259" s="355">
        <v>0.01</v>
      </c>
      <c r="H259" s="388"/>
      <c r="I259" s="389"/>
    </row>
    <row r="260" spans="2:9" ht="14.1" customHeight="1">
      <c r="C260" s="1019"/>
      <c r="D260" s="1020"/>
      <c r="E260" s="1020"/>
      <c r="F260" s="1021"/>
      <c r="G260" s="1022" t="s">
        <v>728</v>
      </c>
      <c r="H260" s="1023"/>
      <c r="I260" s="401"/>
    </row>
    <row r="261" spans="2:9" ht="14.1" customHeight="1">
      <c r="C261" s="377" t="s">
        <v>9</v>
      </c>
      <c r="D261" s="460" t="s">
        <v>815</v>
      </c>
      <c r="E261" s="441"/>
      <c r="F261" s="817"/>
      <c r="G261" s="442"/>
      <c r="H261" s="441"/>
      <c r="I261" s="403"/>
    </row>
    <row r="262" spans="2:9" ht="14.1" customHeight="1">
      <c r="C262" s="1046"/>
      <c r="D262" s="1047"/>
      <c r="E262" s="1047"/>
      <c r="F262" s="1048"/>
      <c r="G262" s="1039" t="s">
        <v>729</v>
      </c>
      <c r="H262" s="1051"/>
      <c r="I262" s="403"/>
    </row>
    <row r="263" spans="2:9" ht="14.1" customHeight="1">
      <c r="C263" s="377" t="s">
        <v>12</v>
      </c>
      <c r="D263" s="1039" t="s">
        <v>730</v>
      </c>
      <c r="E263" s="1035"/>
      <c r="F263" s="1035"/>
      <c r="G263" s="1035"/>
      <c r="H263" s="1051"/>
      <c r="I263" s="403"/>
    </row>
    <row r="264" spans="2:9" ht="14.1" customHeight="1">
      <c r="C264" s="377" t="s">
        <v>13</v>
      </c>
      <c r="D264" s="1036" t="s">
        <v>731</v>
      </c>
      <c r="E264" s="1037"/>
      <c r="F264" s="1038"/>
      <c r="G264" s="1039" t="s">
        <v>740</v>
      </c>
      <c r="H264" s="1051"/>
      <c r="I264" s="403"/>
    </row>
    <row r="265" spans="2:9" ht="14.1" customHeight="1" thickBot="1">
      <c r="C265" s="456" t="s">
        <v>14</v>
      </c>
      <c r="D265" s="1029" t="s">
        <v>817</v>
      </c>
      <c r="E265" s="1030"/>
      <c r="F265" s="1030"/>
      <c r="G265" s="1030"/>
      <c r="H265" s="1031"/>
      <c r="I265" s="404"/>
    </row>
    <row r="266" spans="2:9" ht="14.1" customHeight="1">
      <c r="C266" s="461"/>
      <c r="D266" s="350"/>
      <c r="E266" s="350"/>
      <c r="F266" s="820"/>
      <c r="G266" s="350"/>
      <c r="H266" s="350"/>
      <c r="I266" s="440"/>
    </row>
    <row r="267" spans="2:9" s="506" customFormat="1" ht="16.5" thickBot="1">
      <c r="B267" s="469">
        <v>13</v>
      </c>
      <c r="C267" s="569" t="s">
        <v>968</v>
      </c>
      <c r="D267" s="570"/>
      <c r="E267" s="570"/>
      <c r="F267" s="814"/>
      <c r="G267" s="570"/>
      <c r="H267" s="570"/>
      <c r="I267" s="570"/>
    </row>
    <row r="268" spans="2:9" ht="26.25" thickBot="1">
      <c r="C268" s="334" t="s">
        <v>840</v>
      </c>
      <c r="D268" s="335" t="s">
        <v>841</v>
      </c>
      <c r="E268" s="335" t="s">
        <v>842</v>
      </c>
      <c r="F268" s="799" t="s">
        <v>843</v>
      </c>
      <c r="G268" s="335" t="s">
        <v>844</v>
      </c>
      <c r="H268" s="335" t="s">
        <v>845</v>
      </c>
      <c r="I268" s="337" t="s">
        <v>846</v>
      </c>
    </row>
    <row r="269" spans="2:9" ht="14.1" customHeight="1">
      <c r="C269" s="491" t="s">
        <v>7</v>
      </c>
      <c r="D269" s="365" t="s">
        <v>810</v>
      </c>
      <c r="E269" s="382"/>
      <c r="F269" s="808"/>
      <c r="G269" s="382"/>
      <c r="H269" s="382"/>
      <c r="I269" s="384"/>
    </row>
    <row r="270" spans="2:9" ht="14.1" customHeight="1">
      <c r="C270" s="385"/>
      <c r="D270" s="365" t="s">
        <v>10</v>
      </c>
      <c r="E270" s="351" t="s">
        <v>16</v>
      </c>
      <c r="F270" s="808"/>
      <c r="G270" s="352">
        <v>4.2000000000000003E-2</v>
      </c>
      <c r="H270" s="382"/>
      <c r="I270" s="384"/>
    </row>
    <row r="271" spans="2:9" ht="14.1" customHeight="1">
      <c r="C271" s="385"/>
      <c r="D271" s="365" t="s">
        <v>24</v>
      </c>
      <c r="E271" s="351" t="s">
        <v>22</v>
      </c>
      <c r="F271" s="808"/>
      <c r="G271" s="352">
        <v>4.0000000000000001E-3</v>
      </c>
      <c r="H271" s="382"/>
      <c r="I271" s="384"/>
    </row>
    <row r="272" spans="2:9" ht="14.1" customHeight="1">
      <c r="C272" s="385"/>
      <c r="D272" s="365" t="s">
        <v>942</v>
      </c>
      <c r="E272" s="351" t="s">
        <v>21</v>
      </c>
      <c r="F272" s="808"/>
      <c r="G272" s="352">
        <v>2E-3</v>
      </c>
      <c r="H272" s="382"/>
      <c r="I272" s="384"/>
    </row>
    <row r="273" spans="2:9" ht="14.1" customHeight="1">
      <c r="C273" s="386"/>
      <c r="D273" s="387" t="s">
        <v>11</v>
      </c>
      <c r="E273" s="354" t="s">
        <v>17</v>
      </c>
      <c r="F273" s="819"/>
      <c r="G273" s="355">
        <v>4.2000000000000003E-2</v>
      </c>
      <c r="H273" s="388"/>
      <c r="I273" s="389"/>
    </row>
    <row r="274" spans="2:9" ht="14.1" customHeight="1">
      <c r="C274" s="1024"/>
      <c r="D274" s="1025"/>
      <c r="E274" s="1025"/>
      <c r="F274" s="1026"/>
      <c r="G274" s="1027" t="s">
        <v>727</v>
      </c>
      <c r="H274" s="1028"/>
      <c r="I274" s="435"/>
    </row>
    <row r="275" spans="2:9" ht="14.1" customHeight="1">
      <c r="C275" s="457" t="s">
        <v>8</v>
      </c>
      <c r="D275" s="458" t="s">
        <v>811</v>
      </c>
      <c r="E275" s="393"/>
      <c r="F275" s="810"/>
      <c r="G275" s="393"/>
      <c r="H275" s="393"/>
      <c r="I275" s="436"/>
    </row>
    <row r="276" spans="2:9" ht="14.1" customHeight="1">
      <c r="C276" s="386"/>
      <c r="D276" s="387" t="s">
        <v>943</v>
      </c>
      <c r="E276" s="388"/>
      <c r="F276" s="668" t="s">
        <v>822</v>
      </c>
      <c r="G276" s="465">
        <v>0.1434</v>
      </c>
      <c r="H276" s="388"/>
      <c r="I276" s="389"/>
    </row>
    <row r="277" spans="2:9" ht="14.1" customHeight="1">
      <c r="C277" s="390"/>
      <c r="D277" s="391"/>
      <c r="E277" s="391"/>
      <c r="F277" s="815"/>
      <c r="G277" s="1027" t="s">
        <v>728</v>
      </c>
      <c r="H277" s="1028"/>
      <c r="I277" s="435"/>
    </row>
    <row r="278" spans="2:9" ht="14.1" customHeight="1">
      <c r="C278" s="457" t="s">
        <v>9</v>
      </c>
      <c r="D278" s="458" t="s">
        <v>815</v>
      </c>
      <c r="E278" s="393"/>
      <c r="F278" s="810"/>
      <c r="G278" s="393"/>
      <c r="H278" s="393"/>
      <c r="I278" s="436"/>
    </row>
    <row r="279" spans="2:9" ht="14.1" customHeight="1">
      <c r="C279" s="386"/>
      <c r="D279" s="388"/>
      <c r="E279" s="388"/>
      <c r="F279" s="819"/>
      <c r="G279" s="388"/>
      <c r="H279" s="388"/>
      <c r="I279" s="389"/>
    </row>
    <row r="280" spans="2:9" ht="14.1" customHeight="1">
      <c r="C280" s="1024"/>
      <c r="D280" s="1025"/>
      <c r="E280" s="1025"/>
      <c r="F280" s="1026"/>
      <c r="G280" s="1034" t="s">
        <v>729</v>
      </c>
      <c r="H280" s="1023"/>
      <c r="I280" s="401"/>
    </row>
    <row r="281" spans="2:9" ht="14.1" customHeight="1">
      <c r="C281" s="466"/>
      <c r="D281" s="452"/>
      <c r="E281" s="452"/>
      <c r="F281" s="822"/>
      <c r="G281" s="441"/>
      <c r="H281" s="441"/>
      <c r="I281" s="403"/>
    </row>
    <row r="282" spans="2:9" ht="14.1" customHeight="1">
      <c r="C282" s="377" t="s">
        <v>12</v>
      </c>
      <c r="D282" s="1039" t="s">
        <v>730</v>
      </c>
      <c r="E282" s="1035"/>
      <c r="F282" s="1035"/>
      <c r="G282" s="1035"/>
      <c r="H282" s="1051"/>
      <c r="I282" s="403"/>
    </row>
    <row r="283" spans="2:9" ht="14.1" customHeight="1">
      <c r="C283" s="377" t="s">
        <v>13</v>
      </c>
      <c r="D283" s="1036" t="s">
        <v>731</v>
      </c>
      <c r="E283" s="1037"/>
      <c r="F283" s="1038"/>
      <c r="G283" s="1039" t="s">
        <v>740</v>
      </c>
      <c r="H283" s="1051"/>
      <c r="I283" s="403"/>
    </row>
    <row r="284" spans="2:9" s="309" customFormat="1" ht="14.1" customHeight="1" thickBot="1">
      <c r="C284" s="456" t="s">
        <v>14</v>
      </c>
      <c r="D284" s="1029" t="s">
        <v>817</v>
      </c>
      <c r="E284" s="1030"/>
      <c r="F284" s="1030"/>
      <c r="G284" s="1030"/>
      <c r="H284" s="1031"/>
      <c r="I284" s="404"/>
    </row>
    <row r="285" spans="2:9" s="309" customFormat="1" ht="14.1" customHeight="1">
      <c r="C285" s="11"/>
      <c r="D285" s="338"/>
      <c r="E285" s="338"/>
      <c r="F285" s="338"/>
      <c r="G285" s="338"/>
      <c r="H285" s="338"/>
      <c r="I285" s="338"/>
    </row>
    <row r="286" spans="2:9" s="570" customFormat="1" ht="16.5" thickBot="1">
      <c r="B286" s="570">
        <v>14</v>
      </c>
      <c r="C286" s="569" t="s">
        <v>969</v>
      </c>
      <c r="F286" s="814"/>
    </row>
    <row r="287" spans="2:9" s="309" customFormat="1" ht="26.25" thickBot="1">
      <c r="C287" s="334" t="s">
        <v>840</v>
      </c>
      <c r="D287" s="335" t="s">
        <v>841</v>
      </c>
      <c r="E287" s="335" t="s">
        <v>842</v>
      </c>
      <c r="F287" s="799" t="s">
        <v>843</v>
      </c>
      <c r="G287" s="431" t="s">
        <v>844</v>
      </c>
      <c r="H287" s="335" t="s">
        <v>845</v>
      </c>
      <c r="I287" s="337" t="s">
        <v>846</v>
      </c>
    </row>
    <row r="288" spans="2:9" s="309" customFormat="1" ht="14.1" customHeight="1">
      <c r="C288" s="491" t="s">
        <v>7</v>
      </c>
      <c r="D288" s="365" t="s">
        <v>810</v>
      </c>
      <c r="E288" s="382"/>
      <c r="F288" s="808"/>
      <c r="G288" s="382"/>
      <c r="H288" s="382"/>
      <c r="I288" s="384"/>
    </row>
    <row r="289" spans="3:9" s="309" customFormat="1" ht="14.1" customHeight="1">
      <c r="C289" s="385"/>
      <c r="D289" s="365" t="s">
        <v>10</v>
      </c>
      <c r="E289" s="351" t="s">
        <v>16</v>
      </c>
      <c r="F289" s="667" t="s">
        <v>726</v>
      </c>
      <c r="G289" s="352">
        <v>0.375</v>
      </c>
      <c r="H289" s="382"/>
      <c r="I289" s="384"/>
    </row>
    <row r="290" spans="3:9" s="309" customFormat="1" ht="14.1" customHeight="1">
      <c r="C290" s="385"/>
      <c r="D290" s="365" t="s">
        <v>24</v>
      </c>
      <c r="E290" s="351" t="s">
        <v>22</v>
      </c>
      <c r="F290" s="667" t="s">
        <v>726</v>
      </c>
      <c r="G290" s="352">
        <v>0.125</v>
      </c>
      <c r="H290" s="382"/>
      <c r="I290" s="384"/>
    </row>
    <row r="291" spans="3:9" s="309" customFormat="1" ht="14.1" customHeight="1">
      <c r="C291" s="385"/>
      <c r="D291" s="365" t="s">
        <v>20</v>
      </c>
      <c r="E291" s="351" t="s">
        <v>21</v>
      </c>
      <c r="F291" s="667" t="s">
        <v>726</v>
      </c>
      <c r="G291" s="352">
        <v>1.2E-2</v>
      </c>
      <c r="H291" s="382"/>
      <c r="I291" s="384"/>
    </row>
    <row r="292" spans="3:9" s="309" customFormat="1" ht="14.1" customHeight="1">
      <c r="C292" s="386"/>
      <c r="D292" s="387" t="s">
        <v>11</v>
      </c>
      <c r="E292" s="354" t="s">
        <v>17</v>
      </c>
      <c r="F292" s="668" t="s">
        <v>726</v>
      </c>
      <c r="G292" s="355">
        <v>1.9E-2</v>
      </c>
      <c r="H292" s="388"/>
      <c r="I292" s="389"/>
    </row>
    <row r="293" spans="3:9" s="309" customFormat="1" ht="14.1" customHeight="1">
      <c r="C293" s="1032"/>
      <c r="D293" s="1033"/>
      <c r="E293" s="1033"/>
      <c r="F293" s="1033"/>
      <c r="G293" s="1027" t="s">
        <v>727</v>
      </c>
      <c r="H293" s="1028"/>
      <c r="I293" s="395"/>
    </row>
    <row r="294" spans="3:9" s="309" customFormat="1" ht="14.1" customHeight="1">
      <c r="C294" s="457" t="s">
        <v>8</v>
      </c>
      <c r="D294" s="458" t="s">
        <v>811</v>
      </c>
      <c r="E294" s="393"/>
      <c r="F294" s="810"/>
      <c r="G294" s="393"/>
      <c r="H294" s="393"/>
      <c r="I294" s="436"/>
    </row>
    <row r="295" spans="3:9" s="309" customFormat="1" ht="14.1" customHeight="1">
      <c r="C295" s="385"/>
      <c r="D295" s="365" t="s">
        <v>944</v>
      </c>
      <c r="E295" s="382"/>
      <c r="F295" s="667" t="s">
        <v>822</v>
      </c>
      <c r="G295" s="352">
        <v>0.98599999999999999</v>
      </c>
      <c r="H295" s="382"/>
      <c r="I295" s="384"/>
    </row>
    <row r="296" spans="3:9" s="309" customFormat="1" ht="14.1" customHeight="1">
      <c r="C296" s="385"/>
      <c r="D296" s="365" t="s">
        <v>945</v>
      </c>
      <c r="E296" s="382"/>
      <c r="F296" s="667" t="s">
        <v>733</v>
      </c>
      <c r="G296" s="351" t="s">
        <v>946</v>
      </c>
      <c r="H296" s="382"/>
      <c r="I296" s="384"/>
    </row>
    <row r="297" spans="3:9" s="309" customFormat="1" ht="14.1" customHeight="1">
      <c r="C297" s="385"/>
      <c r="D297" s="365" t="s">
        <v>812</v>
      </c>
      <c r="E297" s="382"/>
      <c r="F297" s="667" t="s">
        <v>734</v>
      </c>
      <c r="G297" s="467">
        <v>45</v>
      </c>
      <c r="H297" s="382"/>
      <c r="I297" s="384"/>
    </row>
    <row r="298" spans="3:9" s="309" customFormat="1" ht="14.1" customHeight="1">
      <c r="C298" s="385"/>
      <c r="D298" s="365" t="s">
        <v>144</v>
      </c>
      <c r="E298" s="382"/>
      <c r="F298" s="808" t="s">
        <v>750</v>
      </c>
      <c r="G298" s="352">
        <v>7.3999999999999996E-2</v>
      </c>
      <c r="H298" s="382"/>
      <c r="I298" s="384"/>
    </row>
    <row r="299" spans="3:9" s="309" customFormat="1" ht="14.1" customHeight="1">
      <c r="C299" s="386"/>
      <c r="D299" s="387" t="s">
        <v>947</v>
      </c>
      <c r="E299" s="388"/>
      <c r="F299" s="819" t="s">
        <v>750</v>
      </c>
      <c r="G299" s="354" t="s">
        <v>948</v>
      </c>
      <c r="H299" s="388"/>
      <c r="I299" s="389"/>
    </row>
    <row r="300" spans="3:9" s="309" customFormat="1" ht="14.1" customHeight="1">
      <c r="C300" s="1032"/>
      <c r="D300" s="1033"/>
      <c r="E300" s="1033"/>
      <c r="F300" s="1044"/>
      <c r="G300" s="1042" t="s">
        <v>728</v>
      </c>
      <c r="H300" s="1045"/>
      <c r="I300" s="447"/>
    </row>
    <row r="301" spans="3:9" s="309" customFormat="1" ht="14.1" customHeight="1">
      <c r="C301" s="457" t="s">
        <v>9</v>
      </c>
      <c r="D301" s="458" t="s">
        <v>815</v>
      </c>
      <c r="E301" s="393"/>
      <c r="F301" s="810"/>
      <c r="G301" s="393"/>
      <c r="H301" s="393"/>
      <c r="I301" s="436"/>
    </row>
    <row r="302" spans="3:9" s="309" customFormat="1" ht="14.1" customHeight="1">
      <c r="C302" s="386"/>
      <c r="D302" s="388"/>
      <c r="E302" s="388"/>
      <c r="F302" s="819"/>
      <c r="G302" s="388"/>
      <c r="H302" s="388"/>
      <c r="I302" s="389"/>
    </row>
    <row r="303" spans="3:9" s="309" customFormat="1" ht="14.1" customHeight="1">
      <c r="C303" s="1019"/>
      <c r="D303" s="1020"/>
      <c r="E303" s="1020"/>
      <c r="F303" s="1021"/>
      <c r="G303" s="1022" t="s">
        <v>729</v>
      </c>
      <c r="H303" s="1023"/>
      <c r="I303" s="401"/>
    </row>
    <row r="304" spans="3:9" s="309" customFormat="1" ht="14.1" customHeight="1">
      <c r="C304" s="377" t="s">
        <v>12</v>
      </c>
      <c r="D304" s="1039" t="s">
        <v>730</v>
      </c>
      <c r="E304" s="1035"/>
      <c r="F304" s="1035"/>
      <c r="G304" s="1035"/>
      <c r="H304" s="1051"/>
      <c r="I304" s="403"/>
    </row>
    <row r="305" spans="2:12" s="309" customFormat="1" ht="14.1" customHeight="1">
      <c r="C305" s="377" t="s">
        <v>13</v>
      </c>
      <c r="D305" s="1036" t="s">
        <v>731</v>
      </c>
      <c r="E305" s="1037"/>
      <c r="F305" s="1038"/>
      <c r="G305" s="1039" t="s">
        <v>740</v>
      </c>
      <c r="H305" s="1051"/>
      <c r="I305" s="403"/>
    </row>
    <row r="306" spans="2:12" s="309" customFormat="1" ht="14.1" customHeight="1" thickBot="1">
      <c r="C306" s="456" t="s">
        <v>14</v>
      </c>
      <c r="D306" s="1029" t="s">
        <v>817</v>
      </c>
      <c r="E306" s="1030"/>
      <c r="F306" s="1030"/>
      <c r="G306" s="1030"/>
      <c r="H306" s="1031"/>
      <c r="I306" s="404"/>
    </row>
    <row r="307" spans="2:12" ht="14.1" customHeight="1">
      <c r="C307" s="468"/>
    </row>
    <row r="308" spans="2:12" ht="14.1" customHeight="1"/>
    <row r="309" spans="2:12" s="405" customFormat="1">
      <c r="B309" s="909">
        <v>15</v>
      </c>
      <c r="C309" s="469" t="str">
        <f>REKAP!E26</f>
        <v xml:space="preserve">Membuat Papan Nama Proyek 80x120 cm (bahan seng) </v>
      </c>
      <c r="E309" s="280"/>
      <c r="G309" s="470"/>
      <c r="H309" s="471"/>
      <c r="I309" s="471"/>
      <c r="L309" s="405" t="s">
        <v>153</v>
      </c>
    </row>
    <row r="310" spans="2:12" ht="13.5" thickBot="1">
      <c r="C310" s="341"/>
    </row>
    <row r="311" spans="2:12">
      <c r="C311" s="1069" t="s">
        <v>0</v>
      </c>
      <c r="D311" s="1071" t="s">
        <v>1</v>
      </c>
      <c r="E311" s="1073" t="s">
        <v>2</v>
      </c>
      <c r="F311" s="1075" t="s">
        <v>3</v>
      </c>
      <c r="G311" s="1077" t="s">
        <v>4</v>
      </c>
      <c r="H311" s="472" t="s">
        <v>5</v>
      </c>
      <c r="I311" s="473" t="s">
        <v>59</v>
      </c>
    </row>
    <row r="312" spans="2:12" ht="13.5" thickBot="1">
      <c r="C312" s="1070"/>
      <c r="D312" s="1072"/>
      <c r="E312" s="1074"/>
      <c r="F312" s="1076"/>
      <c r="G312" s="1078"/>
      <c r="H312" s="474" t="s">
        <v>6</v>
      </c>
      <c r="I312" s="475" t="s">
        <v>6</v>
      </c>
    </row>
    <row r="313" spans="2:12" ht="14.1" customHeight="1">
      <c r="C313" s="35">
        <v>1</v>
      </c>
      <c r="D313" s="36">
        <v>2</v>
      </c>
      <c r="E313" s="37">
        <v>3</v>
      </c>
      <c r="F313" s="56">
        <v>4</v>
      </c>
      <c r="G313" s="36">
        <v>5</v>
      </c>
      <c r="H313" s="37">
        <v>6</v>
      </c>
      <c r="I313" s="38">
        <v>7</v>
      </c>
    </row>
    <row r="314" spans="2:12" ht="14.1" customHeight="1">
      <c r="C314" s="476" t="s">
        <v>7</v>
      </c>
      <c r="D314" s="477" t="s">
        <v>74</v>
      </c>
      <c r="E314" s="18"/>
      <c r="F314" s="407"/>
      <c r="G314" s="418"/>
      <c r="H314" s="20"/>
      <c r="I314" s="21"/>
    </row>
    <row r="315" spans="2:12" ht="14.1" customHeight="1">
      <c r="C315" s="64">
        <v>1</v>
      </c>
      <c r="D315" s="407" t="s">
        <v>10</v>
      </c>
      <c r="E315" s="26" t="s">
        <v>16</v>
      </c>
      <c r="F315" s="407" t="s">
        <v>66</v>
      </c>
      <c r="G315" s="31">
        <v>2.1</v>
      </c>
      <c r="H315" s="20"/>
      <c r="I315" s="32"/>
    </row>
    <row r="316" spans="2:12" ht="14.1" customHeight="1">
      <c r="C316" s="64">
        <f>C315+1</f>
        <v>2</v>
      </c>
      <c r="D316" s="407" t="s">
        <v>143</v>
      </c>
      <c r="E316" s="26" t="s">
        <v>22</v>
      </c>
      <c r="F316" s="407" t="s">
        <v>66</v>
      </c>
      <c r="G316" s="31">
        <v>1.7500000000000002E-2</v>
      </c>
      <c r="H316" s="20"/>
      <c r="I316" s="32"/>
    </row>
    <row r="317" spans="2:12" ht="14.1" customHeight="1">
      <c r="C317" s="64">
        <f>C316+1</f>
        <v>3</v>
      </c>
      <c r="D317" s="407" t="s">
        <v>26</v>
      </c>
      <c r="E317" s="26" t="s">
        <v>22</v>
      </c>
      <c r="F317" s="407" t="s">
        <v>66</v>
      </c>
      <c r="G317" s="31">
        <v>1</v>
      </c>
      <c r="H317" s="20"/>
      <c r="I317" s="32"/>
    </row>
    <row r="318" spans="2:12" ht="14.1" customHeight="1">
      <c r="C318" s="64">
        <f>C317+1</f>
        <v>4</v>
      </c>
      <c r="D318" s="407" t="s">
        <v>72</v>
      </c>
      <c r="E318" s="26" t="s">
        <v>22</v>
      </c>
      <c r="F318" s="407" t="s">
        <v>66</v>
      </c>
      <c r="G318" s="31">
        <v>1</v>
      </c>
      <c r="H318" s="20"/>
      <c r="I318" s="32"/>
    </row>
    <row r="319" spans="2:12" ht="14.1" customHeight="1">
      <c r="C319" s="64">
        <f>C318+1</f>
        <v>5</v>
      </c>
      <c r="D319" s="407" t="s">
        <v>11</v>
      </c>
      <c r="E319" s="26" t="s">
        <v>17</v>
      </c>
      <c r="F319" s="407" t="s">
        <v>66</v>
      </c>
      <c r="G319" s="31">
        <v>1.0049999999999999</v>
      </c>
      <c r="H319" s="20"/>
      <c r="I319" s="32"/>
    </row>
    <row r="320" spans="2:12" ht="14.1" customHeight="1">
      <c r="C320" s="1079" t="s">
        <v>60</v>
      </c>
      <c r="D320" s="1080"/>
      <c r="E320" s="1080"/>
      <c r="F320" s="1080"/>
      <c r="G320" s="1080"/>
      <c r="H320" s="1081"/>
      <c r="I320" s="33"/>
    </row>
    <row r="321" spans="3:9" ht="14.1" customHeight="1">
      <c r="C321" s="476" t="s">
        <v>8</v>
      </c>
      <c r="D321" s="477" t="s">
        <v>61</v>
      </c>
      <c r="E321" s="18"/>
      <c r="F321" s="407"/>
      <c r="G321" s="478"/>
      <c r="H321" s="479"/>
      <c r="I321" s="21"/>
    </row>
    <row r="322" spans="3:9" ht="14.1" customHeight="1">
      <c r="C322" s="64">
        <v>1</v>
      </c>
      <c r="D322" s="407" t="s">
        <v>157</v>
      </c>
      <c r="E322" s="26"/>
      <c r="F322" s="407" t="s">
        <v>19</v>
      </c>
      <c r="G322" s="31">
        <v>3.5000000000000003E-2</v>
      </c>
      <c r="H322" s="20"/>
      <c r="I322" s="32"/>
    </row>
    <row r="323" spans="3:9" ht="14.1" customHeight="1">
      <c r="C323" s="64">
        <f t="shared" ref="C323:C328" si="0">C322+1</f>
        <v>2</v>
      </c>
      <c r="D323" s="407" t="s">
        <v>158</v>
      </c>
      <c r="E323" s="26"/>
      <c r="F323" s="407" t="s">
        <v>161</v>
      </c>
      <c r="G323" s="31">
        <v>1.4</v>
      </c>
      <c r="H323" s="20"/>
      <c r="I323" s="32"/>
    </row>
    <row r="324" spans="3:9" ht="14.1" customHeight="1">
      <c r="C324" s="64">
        <f t="shared" si="0"/>
        <v>3</v>
      </c>
      <c r="D324" s="407" t="s">
        <v>84</v>
      </c>
      <c r="E324" s="26"/>
      <c r="F324" s="407" t="s">
        <v>56</v>
      </c>
      <c r="G324" s="31">
        <v>0.6</v>
      </c>
      <c r="H324" s="20"/>
      <c r="I324" s="32"/>
    </row>
    <row r="325" spans="3:9" ht="14.1" customHeight="1">
      <c r="C325" s="64">
        <f t="shared" si="0"/>
        <v>4</v>
      </c>
      <c r="D325" s="407" t="s">
        <v>159</v>
      </c>
      <c r="E325" s="26"/>
      <c r="F325" s="407" t="s">
        <v>56</v>
      </c>
      <c r="G325" s="31">
        <v>1.5</v>
      </c>
      <c r="H325" s="20"/>
      <c r="I325" s="32"/>
    </row>
    <row r="326" spans="3:9" ht="14.1" customHeight="1">
      <c r="C326" s="64">
        <f t="shared" si="0"/>
        <v>5</v>
      </c>
      <c r="D326" s="407" t="s">
        <v>156</v>
      </c>
      <c r="E326" s="26"/>
      <c r="F326" s="407" t="s">
        <v>56</v>
      </c>
      <c r="G326" s="31">
        <v>16.8</v>
      </c>
      <c r="H326" s="20"/>
      <c r="I326" s="32"/>
    </row>
    <row r="327" spans="3:9" ht="14.1" customHeight="1">
      <c r="C327" s="64">
        <f t="shared" si="0"/>
        <v>6</v>
      </c>
      <c r="D327" s="407" t="s">
        <v>144</v>
      </c>
      <c r="E327" s="26"/>
      <c r="F327" s="407" t="s">
        <v>19</v>
      </c>
      <c r="G327" s="31">
        <v>2.7E-2</v>
      </c>
      <c r="H327" s="20"/>
      <c r="I327" s="32"/>
    </row>
    <row r="328" spans="3:9" ht="14.1" customHeight="1">
      <c r="C328" s="64">
        <f t="shared" si="0"/>
        <v>7</v>
      </c>
      <c r="D328" s="407" t="s">
        <v>160</v>
      </c>
      <c r="E328" s="26"/>
      <c r="F328" s="407" t="s">
        <v>19</v>
      </c>
      <c r="G328" s="31">
        <v>4.0500000000000001E-2</v>
      </c>
      <c r="H328" s="20"/>
      <c r="I328" s="32"/>
    </row>
    <row r="329" spans="3:9" ht="14.1" customHeight="1">
      <c r="C329" s="1079" t="s">
        <v>18</v>
      </c>
      <c r="D329" s="1080"/>
      <c r="E329" s="1080"/>
      <c r="F329" s="1080"/>
      <c r="G329" s="1080"/>
      <c r="H329" s="1081"/>
      <c r="I329" s="33"/>
    </row>
    <row r="330" spans="3:9" ht="14.1" customHeight="1">
      <c r="C330" s="476" t="s">
        <v>9</v>
      </c>
      <c r="D330" s="477" t="s">
        <v>62</v>
      </c>
      <c r="E330" s="480"/>
      <c r="F330" s="414"/>
      <c r="G330" s="480"/>
      <c r="H330" s="415"/>
      <c r="I330" s="21"/>
    </row>
    <row r="331" spans="3:9" ht="14.1" customHeight="1">
      <c r="C331" s="64"/>
      <c r="D331" s="407"/>
      <c r="E331" s="18"/>
      <c r="F331" s="407"/>
      <c r="G331" s="30"/>
      <c r="H331" s="20"/>
      <c r="I331" s="32"/>
    </row>
    <row r="332" spans="3:9" ht="14.1" customHeight="1">
      <c r="C332" s="1079" t="s">
        <v>63</v>
      </c>
      <c r="D332" s="1080"/>
      <c r="E332" s="1080"/>
      <c r="F332" s="1080"/>
      <c r="G332" s="1080"/>
      <c r="H332" s="1081"/>
      <c r="I332" s="33"/>
    </row>
    <row r="333" spans="3:9" ht="14.1" customHeight="1">
      <c r="C333" s="481" t="s">
        <v>12</v>
      </c>
      <c r="D333" s="1082" t="s">
        <v>64</v>
      </c>
      <c r="E333" s="1083"/>
      <c r="F333" s="1083"/>
      <c r="G333" s="1083"/>
      <c r="H333" s="1084"/>
      <c r="I333" s="33"/>
    </row>
    <row r="334" spans="3:9" ht="14.1" customHeight="1">
      <c r="C334" s="482" t="s">
        <v>13</v>
      </c>
      <c r="D334" s="1091" t="s">
        <v>731</v>
      </c>
      <c r="E334" s="1092"/>
      <c r="F334" s="1093"/>
      <c r="G334" s="1039" t="s">
        <v>740</v>
      </c>
      <c r="H334" s="1051"/>
      <c r="I334" s="484"/>
    </row>
    <row r="335" spans="3:9" ht="14.1" customHeight="1" thickBot="1">
      <c r="C335" s="485" t="s">
        <v>14</v>
      </c>
      <c r="D335" s="1088" t="s">
        <v>73</v>
      </c>
      <c r="E335" s="1089"/>
      <c r="F335" s="1089"/>
      <c r="G335" s="1089"/>
      <c r="H335" s="1090"/>
      <c r="I335" s="486"/>
    </row>
    <row r="336" spans="3:9" ht="14.1" customHeight="1"/>
    <row r="337" spans="2:12" s="405" customFormat="1">
      <c r="B337" s="909">
        <v>16</v>
      </c>
      <c r="C337" s="469" t="str">
        <f>REKAP!E27</f>
        <v>Membuat Papan Nama Proyek 80x120 cm (bahan flexi)</v>
      </c>
      <c r="E337" s="280"/>
      <c r="G337" s="470"/>
      <c r="H337" s="471"/>
      <c r="I337" s="471"/>
      <c r="L337" s="405" t="s">
        <v>90</v>
      </c>
    </row>
    <row r="338" spans="2:12" ht="13.5" thickBot="1">
      <c r="C338" s="341"/>
    </row>
    <row r="339" spans="2:12">
      <c r="C339" s="1069" t="s">
        <v>0</v>
      </c>
      <c r="D339" s="1071" t="s">
        <v>1</v>
      </c>
      <c r="E339" s="1073" t="s">
        <v>2</v>
      </c>
      <c r="F339" s="1075" t="s">
        <v>3</v>
      </c>
      <c r="G339" s="1077" t="s">
        <v>4</v>
      </c>
      <c r="H339" s="472" t="s">
        <v>5</v>
      </c>
      <c r="I339" s="473" t="s">
        <v>59</v>
      </c>
    </row>
    <row r="340" spans="2:12" ht="13.5" thickBot="1">
      <c r="C340" s="1070"/>
      <c r="D340" s="1072"/>
      <c r="E340" s="1074"/>
      <c r="F340" s="1076"/>
      <c r="G340" s="1078"/>
      <c r="H340" s="474" t="s">
        <v>6</v>
      </c>
      <c r="I340" s="475" t="s">
        <v>6</v>
      </c>
    </row>
    <row r="341" spans="2:12" ht="14.1" customHeight="1">
      <c r="C341" s="476" t="s">
        <v>7</v>
      </c>
      <c r="D341" s="477" t="s">
        <v>74</v>
      </c>
      <c r="E341" s="18"/>
      <c r="F341" s="407"/>
      <c r="G341" s="418"/>
      <c r="H341" s="20"/>
      <c r="I341" s="21"/>
    </row>
    <row r="342" spans="2:12" ht="14.1" customHeight="1">
      <c r="C342" s="64">
        <v>1</v>
      </c>
      <c r="D342" s="407" t="s">
        <v>10</v>
      </c>
      <c r="E342" s="26" t="s">
        <v>16</v>
      </c>
      <c r="F342" s="407" t="s">
        <v>66</v>
      </c>
      <c r="G342" s="31">
        <v>1</v>
      </c>
      <c r="H342" s="20"/>
      <c r="I342" s="32"/>
    </row>
    <row r="343" spans="2:12" ht="14.1" customHeight="1">
      <c r="C343" s="64">
        <f>C342+1</f>
        <v>2</v>
      </c>
      <c r="D343" s="407" t="s">
        <v>143</v>
      </c>
      <c r="E343" s="26" t="s">
        <v>22</v>
      </c>
      <c r="F343" s="407" t="s">
        <v>66</v>
      </c>
      <c r="G343" s="31">
        <v>1.7500000000000002E-2</v>
      </c>
      <c r="H343" s="20"/>
      <c r="I343" s="32"/>
    </row>
    <row r="344" spans="2:12" ht="14.1" customHeight="1">
      <c r="C344" s="64">
        <f>C343+1</f>
        <v>3</v>
      </c>
      <c r="D344" s="407" t="s">
        <v>26</v>
      </c>
      <c r="E344" s="26" t="s">
        <v>22</v>
      </c>
      <c r="F344" s="407" t="s">
        <v>66</v>
      </c>
      <c r="G344" s="31">
        <v>1</v>
      </c>
      <c r="H344" s="20"/>
      <c r="I344" s="32"/>
    </row>
    <row r="345" spans="2:12" ht="14.1" customHeight="1">
      <c r="C345" s="64">
        <f>C344+1</f>
        <v>4</v>
      </c>
      <c r="D345" s="407" t="s">
        <v>11</v>
      </c>
      <c r="E345" s="26" t="s">
        <v>17</v>
      </c>
      <c r="F345" s="407" t="s">
        <v>66</v>
      </c>
      <c r="G345" s="31">
        <v>0.1</v>
      </c>
      <c r="H345" s="20"/>
      <c r="I345" s="32"/>
    </row>
    <row r="346" spans="2:12" ht="14.1" customHeight="1">
      <c r="C346" s="1079" t="s">
        <v>60</v>
      </c>
      <c r="D346" s="1080"/>
      <c r="E346" s="1080"/>
      <c r="F346" s="1080"/>
      <c r="G346" s="1080"/>
      <c r="H346" s="1081"/>
      <c r="I346" s="33"/>
    </row>
    <row r="347" spans="2:12" ht="14.1" customHeight="1">
      <c r="C347" s="476" t="s">
        <v>8</v>
      </c>
      <c r="D347" s="477" t="s">
        <v>61</v>
      </c>
      <c r="E347" s="18"/>
      <c r="F347" s="407"/>
      <c r="G347" s="478"/>
      <c r="H347" s="479"/>
      <c r="I347" s="21"/>
    </row>
    <row r="348" spans="2:12" ht="14.1" customHeight="1">
      <c r="C348" s="64">
        <v>1</v>
      </c>
      <c r="D348" s="407" t="s">
        <v>157</v>
      </c>
      <c r="E348" s="26"/>
      <c r="F348" s="407" t="s">
        <v>19</v>
      </c>
      <c r="G348" s="31">
        <v>3.5000000000000003E-2</v>
      </c>
      <c r="H348" s="20"/>
      <c r="I348" s="32"/>
    </row>
    <row r="349" spans="2:12" ht="14.1" customHeight="1">
      <c r="C349" s="64">
        <f>C348+1</f>
        <v>2</v>
      </c>
      <c r="D349" s="407" t="s">
        <v>162</v>
      </c>
      <c r="E349" s="26"/>
      <c r="F349" s="407" t="s">
        <v>71</v>
      </c>
      <c r="G349" s="31">
        <v>1</v>
      </c>
      <c r="H349" s="20"/>
      <c r="I349" s="32"/>
    </row>
    <row r="350" spans="2:12" ht="14.1" customHeight="1">
      <c r="C350" s="64">
        <f>C349+1</f>
        <v>3</v>
      </c>
      <c r="D350" s="407" t="s">
        <v>84</v>
      </c>
      <c r="E350" s="26"/>
      <c r="F350" s="407" t="s">
        <v>56</v>
      </c>
      <c r="G350" s="31">
        <v>0.6</v>
      </c>
      <c r="H350" s="20"/>
      <c r="I350" s="32"/>
    </row>
    <row r="351" spans="2:12" ht="14.1" customHeight="1">
      <c r="C351" s="64">
        <f>C350+1</f>
        <v>4</v>
      </c>
      <c r="D351" s="407" t="s">
        <v>156</v>
      </c>
      <c r="E351" s="26"/>
      <c r="F351" s="407" t="s">
        <v>56</v>
      </c>
      <c r="G351" s="31">
        <v>16.8</v>
      </c>
      <c r="H351" s="20"/>
      <c r="I351" s="32"/>
    </row>
    <row r="352" spans="2:12" ht="14.1" customHeight="1">
      <c r="C352" s="64">
        <f>C351+1</f>
        <v>5</v>
      </c>
      <c r="D352" s="407" t="s">
        <v>144</v>
      </c>
      <c r="E352" s="26"/>
      <c r="F352" s="407" t="s">
        <v>19</v>
      </c>
      <c r="G352" s="31">
        <v>2.7E-2</v>
      </c>
      <c r="H352" s="20"/>
      <c r="I352" s="32"/>
    </row>
    <row r="353" spans="3:9" ht="14.1" customHeight="1">
      <c r="C353" s="64">
        <f>C352+1</f>
        <v>6</v>
      </c>
      <c r="D353" s="407" t="s">
        <v>160</v>
      </c>
      <c r="E353" s="26"/>
      <c r="F353" s="407" t="s">
        <v>19</v>
      </c>
      <c r="G353" s="31">
        <v>4.0500000000000001E-2</v>
      </c>
      <c r="H353" s="20"/>
      <c r="I353" s="32"/>
    </row>
    <row r="354" spans="3:9" ht="14.1" customHeight="1">
      <c r="C354" s="1079" t="s">
        <v>18</v>
      </c>
      <c r="D354" s="1080"/>
      <c r="E354" s="1080"/>
      <c r="F354" s="1080"/>
      <c r="G354" s="1080"/>
      <c r="H354" s="1081"/>
      <c r="I354" s="33"/>
    </row>
    <row r="355" spans="3:9" ht="14.1" customHeight="1">
      <c r="C355" s="476" t="s">
        <v>9</v>
      </c>
      <c r="D355" s="477" t="s">
        <v>62</v>
      </c>
      <c r="E355" s="480"/>
      <c r="F355" s="414"/>
      <c r="G355" s="480"/>
      <c r="H355" s="415"/>
      <c r="I355" s="21"/>
    </row>
    <row r="356" spans="3:9" ht="14.1" customHeight="1">
      <c r="C356" s="64"/>
      <c r="D356" s="407"/>
      <c r="E356" s="18"/>
      <c r="F356" s="407"/>
      <c r="G356" s="30"/>
      <c r="H356" s="20"/>
      <c r="I356" s="32"/>
    </row>
    <row r="357" spans="3:9" ht="14.1" customHeight="1">
      <c r="C357" s="1079" t="s">
        <v>63</v>
      </c>
      <c r="D357" s="1080"/>
      <c r="E357" s="1080"/>
      <c r="F357" s="1080"/>
      <c r="G357" s="1080"/>
      <c r="H357" s="1081"/>
      <c r="I357" s="33"/>
    </row>
    <row r="358" spans="3:9" ht="14.1" customHeight="1">
      <c r="C358" s="481" t="s">
        <v>12</v>
      </c>
      <c r="D358" s="1082" t="s">
        <v>64</v>
      </c>
      <c r="E358" s="1083"/>
      <c r="F358" s="1083"/>
      <c r="G358" s="1083"/>
      <c r="H358" s="1084"/>
      <c r="I358" s="33"/>
    </row>
    <row r="359" spans="3:9" ht="14.1" customHeight="1">
      <c r="C359" s="482" t="s">
        <v>13</v>
      </c>
      <c r="D359" s="1085" t="s">
        <v>731</v>
      </c>
      <c r="E359" s="1086"/>
      <c r="F359" s="1087"/>
      <c r="G359" s="1094" t="s">
        <v>740</v>
      </c>
      <c r="H359" s="1095"/>
      <c r="I359" s="484"/>
    </row>
    <row r="360" spans="3:9" ht="14.1" customHeight="1" thickBot="1">
      <c r="C360" s="485" t="s">
        <v>14</v>
      </c>
      <c r="D360" s="1088" t="s">
        <v>73</v>
      </c>
      <c r="E360" s="1089"/>
      <c r="F360" s="1089"/>
      <c r="G360" s="1089"/>
      <c r="H360" s="1090"/>
      <c r="I360" s="486"/>
    </row>
  </sheetData>
  <mergeCells count="150">
    <mergeCell ref="B8:I8"/>
    <mergeCell ref="C354:H354"/>
    <mergeCell ref="C357:H357"/>
    <mergeCell ref="D358:H358"/>
    <mergeCell ref="D359:F359"/>
    <mergeCell ref="D360:H360"/>
    <mergeCell ref="C320:H320"/>
    <mergeCell ref="C329:H329"/>
    <mergeCell ref="C332:H332"/>
    <mergeCell ref="D333:H333"/>
    <mergeCell ref="D334:F334"/>
    <mergeCell ref="D335:H335"/>
    <mergeCell ref="C339:C340"/>
    <mergeCell ref="D339:D340"/>
    <mergeCell ref="E339:E340"/>
    <mergeCell ref="F339:F340"/>
    <mergeCell ref="G339:G340"/>
    <mergeCell ref="G359:H359"/>
    <mergeCell ref="G334:H334"/>
    <mergeCell ref="C311:C312"/>
    <mergeCell ref="D311:D312"/>
    <mergeCell ref="E311:E312"/>
    <mergeCell ref="F311:F312"/>
    <mergeCell ref="G311:G312"/>
    <mergeCell ref="C346:H346"/>
    <mergeCell ref="D304:H304"/>
    <mergeCell ref="D305:F305"/>
    <mergeCell ref="G305:H305"/>
    <mergeCell ref="D306:H306"/>
    <mergeCell ref="F5:I5"/>
    <mergeCell ref="F6:I6"/>
    <mergeCell ref="C10:D10"/>
    <mergeCell ref="D199:H199"/>
    <mergeCell ref="D151:H151"/>
    <mergeCell ref="D33:H33"/>
    <mergeCell ref="C260:F260"/>
    <mergeCell ref="G260:H260"/>
    <mergeCell ref="C262:F262"/>
    <mergeCell ref="G262:H262"/>
    <mergeCell ref="D231:H231"/>
    <mergeCell ref="C238:F238"/>
    <mergeCell ref="C243:F243"/>
    <mergeCell ref="D229:H229"/>
    <mergeCell ref="D230:F230"/>
    <mergeCell ref="G230:H230"/>
    <mergeCell ref="G95:H95"/>
    <mergeCell ref="G97:H97"/>
    <mergeCell ref="D98:H98"/>
    <mergeCell ref="D99:F99"/>
    <mergeCell ref="G99:H99"/>
    <mergeCell ref="D100:H100"/>
    <mergeCell ref="C110:F110"/>
    <mergeCell ref="G110:H110"/>
    <mergeCell ref="G280:H280"/>
    <mergeCell ref="G283:H283"/>
    <mergeCell ref="D282:H282"/>
    <mergeCell ref="D283:F283"/>
    <mergeCell ref="G243:H243"/>
    <mergeCell ref="C245:F245"/>
    <mergeCell ref="G245:H245"/>
    <mergeCell ref="D246:H246"/>
    <mergeCell ref="D247:F247"/>
    <mergeCell ref="G247:H247"/>
    <mergeCell ref="D248:H248"/>
    <mergeCell ref="C255:F255"/>
    <mergeCell ref="G255:H255"/>
    <mergeCell ref="D263:H263"/>
    <mergeCell ref="D264:F264"/>
    <mergeCell ref="G264:H264"/>
    <mergeCell ref="D265:H265"/>
    <mergeCell ref="G238:H238"/>
    <mergeCell ref="C222:F222"/>
    <mergeCell ref="G222:H222"/>
    <mergeCell ref="C226:F226"/>
    <mergeCell ref="G226:H226"/>
    <mergeCell ref="C228:F228"/>
    <mergeCell ref="G228:H228"/>
    <mergeCell ref="D197:H197"/>
    <mergeCell ref="D198:F198"/>
    <mergeCell ref="G198:H198"/>
    <mergeCell ref="G206:H206"/>
    <mergeCell ref="C208:F208"/>
    <mergeCell ref="G208:H208"/>
    <mergeCell ref="C210:F210"/>
    <mergeCell ref="G210:H210"/>
    <mergeCell ref="G148:H148"/>
    <mergeCell ref="D149:H149"/>
    <mergeCell ref="D150:F150"/>
    <mergeCell ref="G150:H150"/>
    <mergeCell ref="C160:F160"/>
    <mergeCell ref="G160:H160"/>
    <mergeCell ref="C170:F170"/>
    <mergeCell ref="G170:H170"/>
    <mergeCell ref="G126:H126"/>
    <mergeCell ref="G128:H128"/>
    <mergeCell ref="D129:H129"/>
    <mergeCell ref="D130:F130"/>
    <mergeCell ref="G130:H130"/>
    <mergeCell ref="D131:H131"/>
    <mergeCell ref="C140:F140"/>
    <mergeCell ref="G140:H140"/>
    <mergeCell ref="G146:H146"/>
    <mergeCell ref="G196:H196"/>
    <mergeCell ref="G21:H21"/>
    <mergeCell ref="G30:H30"/>
    <mergeCell ref="G32:H32"/>
    <mergeCell ref="D34:F34"/>
    <mergeCell ref="G34:H34"/>
    <mergeCell ref="D35:H35"/>
    <mergeCell ref="G44:H44"/>
    <mergeCell ref="C172:F172"/>
    <mergeCell ref="G172:H172"/>
    <mergeCell ref="G54:H54"/>
    <mergeCell ref="G56:H56"/>
    <mergeCell ref="D57:H57"/>
    <mergeCell ref="D58:F58"/>
    <mergeCell ref="G58:H58"/>
    <mergeCell ref="D59:H59"/>
    <mergeCell ref="G68:H68"/>
    <mergeCell ref="G76:H76"/>
    <mergeCell ref="G78:H78"/>
    <mergeCell ref="D79:H79"/>
    <mergeCell ref="D80:F80"/>
    <mergeCell ref="G80:H80"/>
    <mergeCell ref="D81:H81"/>
    <mergeCell ref="G90:H90"/>
    <mergeCell ref="D37:I37"/>
    <mergeCell ref="C303:F303"/>
    <mergeCell ref="G303:H303"/>
    <mergeCell ref="C274:F274"/>
    <mergeCell ref="G274:H274"/>
    <mergeCell ref="G277:H277"/>
    <mergeCell ref="C280:F280"/>
    <mergeCell ref="D284:H284"/>
    <mergeCell ref="C293:F293"/>
    <mergeCell ref="D173:H173"/>
    <mergeCell ref="D174:F174"/>
    <mergeCell ref="G174:H174"/>
    <mergeCell ref="D175:H175"/>
    <mergeCell ref="G184:H184"/>
    <mergeCell ref="C194:F194"/>
    <mergeCell ref="G194:H194"/>
    <mergeCell ref="G293:H293"/>
    <mergeCell ref="C300:F300"/>
    <mergeCell ref="G300:H300"/>
    <mergeCell ref="D211:H211"/>
    <mergeCell ref="D212:F212"/>
    <mergeCell ref="G212:H212"/>
    <mergeCell ref="D213:H213"/>
    <mergeCell ref="C196:F196"/>
  </mergeCells>
  <printOptions horizontalCentered="1"/>
  <pageMargins left="0.39370078740157483" right="0.31496062992125984" top="0.74803149606299213" bottom="0.59055118110236227" header="0.31496062992125984" footer="0.31496062992125984"/>
  <pageSetup paperSize="258" scale="95" fitToHeight="0" orientation="portrait" useFirstPageNumber="1" r:id="rId1"/>
  <headerFooter>
    <oddFooter>&amp;R&amp;P</oddFooter>
  </headerFooter>
  <rowBreaks count="7" manualBreakCount="7">
    <brk id="59" min="1" max="8" man="1"/>
    <brk id="101" min="1" max="8" man="1"/>
    <brk id="151" min="1" max="8" man="1"/>
    <brk id="199" min="1" max="8" man="1"/>
    <brk id="248" max="16383" man="1"/>
    <brk id="285" min="1" max="8" man="1"/>
    <brk id="335" min="1" max="8" man="1"/>
  </rowBreaks>
  <colBreaks count="1" manualBreakCount="1">
    <brk id="13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B2:K230"/>
  <sheetViews>
    <sheetView showGridLines="0" view="pageBreakPreview" topLeftCell="A61" zoomScale="85" zoomScaleNormal="120" zoomScaleSheetLayoutView="85" zoomScalePageLayoutView="70" workbookViewId="0">
      <selection activeCell="C87" sqref="C87"/>
    </sheetView>
  </sheetViews>
  <sheetFormatPr defaultRowHeight="12.75"/>
  <cols>
    <col min="1" max="1" width="9.28515625" style="2" customWidth="1"/>
    <col min="2" max="2" width="4.7109375" style="4" customWidth="1"/>
    <col min="3" max="3" width="4.5703125" style="4" customWidth="1"/>
    <col min="4" max="4" width="31.42578125" style="2" bestFit="1" customWidth="1"/>
    <col min="5" max="5" width="7.5703125" style="3" customWidth="1"/>
    <col min="6" max="6" width="10.140625" style="4" customWidth="1"/>
    <col min="7" max="7" width="9.140625" style="5" customWidth="1"/>
    <col min="8" max="8" width="11.85546875" style="547" customWidth="1"/>
    <col min="9" max="9" width="13" style="547" customWidth="1"/>
    <col min="10" max="10" width="9.140625" style="2" customWidth="1"/>
    <col min="11" max="16384" width="9.140625" style="2"/>
  </cols>
  <sheetData>
    <row r="2" spans="2:9">
      <c r="B2" s="10" t="s">
        <v>455</v>
      </c>
      <c r="C2" s="270" t="str">
        <f>REKAP!C31</f>
        <v>PEKERJAAN BONGKARAN</v>
      </c>
    </row>
    <row r="3" spans="2:9" s="562" customFormat="1" ht="16.5" thickBot="1">
      <c r="B3" s="283">
        <v>1</v>
      </c>
      <c r="C3" s="566" t="s">
        <v>959</v>
      </c>
      <c r="D3" s="567"/>
      <c r="E3" s="567"/>
      <c r="F3" s="567"/>
      <c r="G3" s="567"/>
      <c r="H3" s="568"/>
      <c r="I3" s="568"/>
    </row>
    <row r="4" spans="2:9" ht="26.25" thickBot="1">
      <c r="C4" s="330" t="s">
        <v>840</v>
      </c>
      <c r="D4" s="331" t="s">
        <v>841</v>
      </c>
      <c r="E4" s="331" t="s">
        <v>842</v>
      </c>
      <c r="F4" s="331" t="s">
        <v>843</v>
      </c>
      <c r="G4" s="332" t="s">
        <v>844</v>
      </c>
      <c r="H4" s="331" t="s">
        <v>845</v>
      </c>
      <c r="I4" s="333" t="s">
        <v>846</v>
      </c>
    </row>
    <row r="5" spans="2:9" ht="14.1" customHeight="1">
      <c r="C5" s="543" t="s">
        <v>7</v>
      </c>
      <c r="D5" s="289" t="s">
        <v>810</v>
      </c>
      <c r="E5" s="299"/>
      <c r="F5" s="299"/>
      <c r="G5" s="299"/>
      <c r="H5" s="299"/>
      <c r="I5" s="300"/>
    </row>
    <row r="6" spans="2:9" ht="14.1" customHeight="1">
      <c r="C6" s="298"/>
      <c r="D6" s="289" t="s">
        <v>10</v>
      </c>
      <c r="E6" s="285" t="s">
        <v>16</v>
      </c>
      <c r="F6" s="285" t="s">
        <v>726</v>
      </c>
      <c r="G6" s="286">
        <v>13.334</v>
      </c>
      <c r="H6" s="299"/>
      <c r="I6" s="300"/>
    </row>
    <row r="7" spans="2:9" ht="14.1" customHeight="1">
      <c r="C7" s="301"/>
      <c r="D7" s="177" t="s">
        <v>11</v>
      </c>
      <c r="E7" s="287" t="s">
        <v>17</v>
      </c>
      <c r="F7" s="287" t="s">
        <v>726</v>
      </c>
      <c r="G7" s="288">
        <v>0.66600000000000004</v>
      </c>
      <c r="H7" s="302"/>
      <c r="I7" s="303"/>
    </row>
    <row r="8" spans="2:9" ht="14.1" customHeight="1">
      <c r="C8" s="1122"/>
      <c r="D8" s="1123"/>
      <c r="E8" s="1123"/>
      <c r="F8" s="1124"/>
      <c r="G8" s="1125" t="s">
        <v>727</v>
      </c>
      <c r="H8" s="1126"/>
      <c r="I8" s="305"/>
    </row>
    <row r="9" spans="2:9" ht="14.1" customHeight="1">
      <c r="C9" s="290" t="s">
        <v>8</v>
      </c>
      <c r="D9" s="294" t="s">
        <v>811</v>
      </c>
      <c r="E9" s="317"/>
      <c r="F9" s="317"/>
      <c r="G9" s="318"/>
      <c r="H9" s="317"/>
      <c r="I9" s="306"/>
    </row>
    <row r="10" spans="2:9" ht="14.1" customHeight="1">
      <c r="C10" s="1127"/>
      <c r="D10" s="1128"/>
      <c r="E10" s="1128"/>
      <c r="F10" s="1129"/>
      <c r="G10" s="1113" t="s">
        <v>728</v>
      </c>
      <c r="H10" s="1115"/>
      <c r="I10" s="306"/>
    </row>
    <row r="11" spans="2:9" ht="14.1" customHeight="1">
      <c r="C11" s="290" t="s">
        <v>9</v>
      </c>
      <c r="D11" s="294" t="s">
        <v>815</v>
      </c>
      <c r="E11" s="317"/>
      <c r="F11" s="317"/>
      <c r="G11" s="318"/>
      <c r="H11" s="317"/>
      <c r="I11" s="306"/>
    </row>
    <row r="12" spans="2:9" ht="14.1" customHeight="1">
      <c r="C12" s="1127"/>
      <c r="D12" s="1128"/>
      <c r="E12" s="1128"/>
      <c r="F12" s="1129"/>
      <c r="G12" s="1113" t="s">
        <v>729</v>
      </c>
      <c r="H12" s="1115"/>
      <c r="I12" s="306"/>
    </row>
    <row r="13" spans="2:9" ht="14.1" customHeight="1">
      <c r="C13" s="290" t="s">
        <v>12</v>
      </c>
      <c r="D13" s="1113" t="s">
        <v>730</v>
      </c>
      <c r="E13" s="1114"/>
      <c r="F13" s="1114"/>
      <c r="G13" s="1114"/>
      <c r="H13" s="1115"/>
      <c r="I13" s="306"/>
    </row>
    <row r="14" spans="2:9" ht="14.1" customHeight="1">
      <c r="C14" s="290" t="s">
        <v>13</v>
      </c>
      <c r="D14" s="1116" t="s">
        <v>731</v>
      </c>
      <c r="E14" s="1117"/>
      <c r="F14" s="1118"/>
      <c r="G14" s="1113" t="s">
        <v>740</v>
      </c>
      <c r="H14" s="1115"/>
      <c r="I14" s="306"/>
    </row>
    <row r="15" spans="2:9" ht="14.1" customHeight="1" thickBot="1">
      <c r="C15" s="291" t="s">
        <v>14</v>
      </c>
      <c r="D15" s="1119" t="s">
        <v>817</v>
      </c>
      <c r="E15" s="1120"/>
      <c r="F15" s="1120"/>
      <c r="G15" s="1120"/>
      <c r="H15" s="1121"/>
      <c r="I15" s="307"/>
    </row>
    <row r="16" spans="2:9" ht="14.1" customHeight="1">
      <c r="E16" s="2"/>
      <c r="F16" s="2"/>
      <c r="G16" s="2"/>
      <c r="H16" s="548"/>
      <c r="I16" s="548"/>
    </row>
    <row r="17" spans="2:9" s="562" customFormat="1" ht="24" customHeight="1" thickBot="1">
      <c r="B17" s="517">
        <v>2</v>
      </c>
      <c r="C17" s="566" t="s">
        <v>958</v>
      </c>
      <c r="D17" s="567"/>
      <c r="E17" s="567"/>
      <c r="F17" s="567"/>
      <c r="G17" s="567"/>
      <c r="H17" s="568"/>
      <c r="I17" s="568"/>
    </row>
    <row r="18" spans="2:9" ht="26.25" thickBot="1">
      <c r="C18" s="923" t="s">
        <v>0</v>
      </c>
      <c r="D18" s="924" t="s">
        <v>1</v>
      </c>
      <c r="E18" s="925" t="s">
        <v>2</v>
      </c>
      <c r="F18" s="925" t="s">
        <v>3</v>
      </c>
      <c r="G18" s="925" t="s">
        <v>4</v>
      </c>
      <c r="H18" s="925" t="s">
        <v>742</v>
      </c>
      <c r="I18" s="926" t="s">
        <v>736</v>
      </c>
    </row>
    <row r="19" spans="2:9" ht="14.1" customHeight="1">
      <c r="C19" s="543" t="s">
        <v>7</v>
      </c>
      <c r="D19" s="289" t="s">
        <v>810</v>
      </c>
      <c r="E19" s="299"/>
      <c r="F19" s="299"/>
      <c r="G19" s="299"/>
      <c r="H19" s="299"/>
      <c r="I19" s="300"/>
    </row>
    <row r="20" spans="2:9" ht="14.1" customHeight="1">
      <c r="C20" s="298"/>
      <c r="D20" s="289" t="s">
        <v>10</v>
      </c>
      <c r="E20" s="285" t="s">
        <v>16</v>
      </c>
      <c r="F20" s="285" t="s">
        <v>726</v>
      </c>
      <c r="G20" s="286">
        <v>6.6669999999999998</v>
      </c>
      <c r="H20" s="299"/>
      <c r="I20" s="300"/>
    </row>
    <row r="21" spans="2:9" ht="14.1" customHeight="1">
      <c r="C21" s="301"/>
      <c r="D21" s="177" t="s">
        <v>11</v>
      </c>
      <c r="E21" s="287" t="s">
        <v>17</v>
      </c>
      <c r="F21" s="287" t="s">
        <v>726</v>
      </c>
      <c r="G21" s="288">
        <v>0.33300000000000002</v>
      </c>
      <c r="H21" s="302"/>
      <c r="I21" s="303"/>
    </row>
    <row r="22" spans="2:9" ht="14.1" customHeight="1">
      <c r="C22" s="1132"/>
      <c r="D22" s="1133"/>
      <c r="E22" s="1133"/>
      <c r="F22" s="1134"/>
      <c r="G22" s="1135" t="s">
        <v>727</v>
      </c>
      <c r="H22" s="1136"/>
      <c r="I22" s="304"/>
    </row>
    <row r="23" spans="2:9" ht="14.1" customHeight="1">
      <c r="C23" s="292" t="s">
        <v>8</v>
      </c>
      <c r="D23" s="293" t="s">
        <v>811</v>
      </c>
      <c r="E23" s="296"/>
      <c r="F23" s="296"/>
      <c r="G23" s="296"/>
      <c r="H23" s="296"/>
      <c r="I23" s="297"/>
    </row>
    <row r="24" spans="2:9" ht="14.1" customHeight="1">
      <c r="C24" s="298"/>
      <c r="D24" s="299"/>
      <c r="E24" s="299"/>
      <c r="F24" s="299"/>
      <c r="G24" s="299"/>
      <c r="H24" s="299"/>
      <c r="I24" s="300"/>
    </row>
    <row r="25" spans="2:9" ht="14.1" customHeight="1">
      <c r="C25" s="298"/>
      <c r="D25" s="299"/>
      <c r="E25" s="299"/>
      <c r="F25" s="299"/>
      <c r="G25" s="299"/>
      <c r="H25" s="299"/>
      <c r="I25" s="300"/>
    </row>
    <row r="26" spans="2:9" ht="14.1" customHeight="1">
      <c r="C26" s="301"/>
      <c r="D26" s="302"/>
      <c r="E26" s="302"/>
      <c r="F26" s="302"/>
      <c r="G26" s="302"/>
      <c r="H26" s="302"/>
      <c r="I26" s="303"/>
    </row>
    <row r="27" spans="2:9" ht="14.1" customHeight="1">
      <c r="C27" s="1137"/>
      <c r="D27" s="1138"/>
      <c r="E27" s="1138"/>
      <c r="F27" s="1139"/>
      <c r="G27" s="1130" t="s">
        <v>728</v>
      </c>
      <c r="H27" s="1131"/>
      <c r="I27" s="319"/>
    </row>
    <row r="28" spans="2:9" ht="14.1" customHeight="1">
      <c r="C28" s="292" t="s">
        <v>9</v>
      </c>
      <c r="D28" s="293" t="s">
        <v>815</v>
      </c>
      <c r="E28" s="296"/>
      <c r="F28" s="296"/>
      <c r="G28" s="296"/>
      <c r="H28" s="296"/>
      <c r="I28" s="545"/>
    </row>
    <row r="29" spans="2:9" ht="14.1" customHeight="1">
      <c r="C29" s="301"/>
      <c r="D29" s="302"/>
      <c r="E29" s="302"/>
      <c r="F29" s="302"/>
      <c r="G29" s="302"/>
      <c r="H29" s="302"/>
      <c r="I29" s="546"/>
    </row>
    <row r="30" spans="2:9" ht="14.1" customHeight="1">
      <c r="C30" s="1122"/>
      <c r="D30" s="1123"/>
      <c r="E30" s="1123"/>
      <c r="F30" s="1124"/>
      <c r="G30" s="1125" t="s">
        <v>729</v>
      </c>
      <c r="H30" s="1126"/>
      <c r="I30" s="305"/>
    </row>
    <row r="31" spans="2:9" ht="14.1" customHeight="1">
      <c r="C31" s="290" t="s">
        <v>12</v>
      </c>
      <c r="D31" s="1113" t="s">
        <v>730</v>
      </c>
      <c r="E31" s="1114"/>
      <c r="F31" s="1114"/>
      <c r="G31" s="1114"/>
      <c r="H31" s="1115"/>
      <c r="I31" s="306"/>
    </row>
    <row r="32" spans="2:9" ht="14.1" customHeight="1">
      <c r="C32" s="290" t="s">
        <v>13</v>
      </c>
      <c r="D32" s="1116" t="s">
        <v>731</v>
      </c>
      <c r="E32" s="1117"/>
      <c r="F32" s="1118"/>
      <c r="G32" s="1113" t="s">
        <v>740</v>
      </c>
      <c r="H32" s="1115"/>
      <c r="I32" s="306"/>
    </row>
    <row r="33" spans="2:9" ht="14.1" customHeight="1" thickBot="1">
      <c r="C33" s="291" t="s">
        <v>14</v>
      </c>
      <c r="D33" s="1119" t="s">
        <v>817</v>
      </c>
      <c r="E33" s="1120"/>
      <c r="F33" s="1120"/>
      <c r="G33" s="1120"/>
      <c r="H33" s="1121"/>
      <c r="I33" s="307"/>
    </row>
    <row r="34" spans="2:9" ht="14.1" customHeight="1">
      <c r="C34" s="295"/>
      <c r="D34" s="284"/>
      <c r="E34" s="284"/>
      <c r="F34" s="284"/>
      <c r="G34" s="284"/>
      <c r="H34" s="284"/>
      <c r="I34" s="316"/>
    </row>
    <row r="35" spans="2:9" s="562" customFormat="1" ht="13.5" thickBot="1">
      <c r="B35" s="278">
        <v>3</v>
      </c>
      <c r="C35" s="562" t="s">
        <v>882</v>
      </c>
      <c r="E35" s="563"/>
      <c r="F35" s="283"/>
      <c r="G35" s="564"/>
      <c r="H35" s="565"/>
      <c r="I35" s="565"/>
    </row>
    <row r="36" spans="2:9" s="4" customFormat="1" ht="25.5">
      <c r="C36" s="1069" t="s">
        <v>0</v>
      </c>
      <c r="D36" s="1071" t="s">
        <v>1</v>
      </c>
      <c r="E36" s="1073" t="s">
        <v>2</v>
      </c>
      <c r="F36" s="1071" t="s">
        <v>3</v>
      </c>
      <c r="G36" s="1077" t="s">
        <v>4</v>
      </c>
      <c r="H36" s="550" t="s">
        <v>5</v>
      </c>
      <c r="I36" s="555" t="s">
        <v>59</v>
      </c>
    </row>
    <row r="37" spans="2:9" ht="13.5" thickBot="1">
      <c r="C37" s="1070"/>
      <c r="D37" s="1072"/>
      <c r="E37" s="1074"/>
      <c r="F37" s="1072"/>
      <c r="G37" s="1078"/>
      <c r="H37" s="551" t="s">
        <v>6</v>
      </c>
      <c r="I37" s="556" t="s">
        <v>6</v>
      </c>
    </row>
    <row r="38" spans="2:9" ht="14.1" customHeight="1">
      <c r="C38" s="16" t="s">
        <v>7</v>
      </c>
      <c r="D38" s="17" t="s">
        <v>74</v>
      </c>
      <c r="E38" s="18"/>
      <c r="F38" s="19"/>
      <c r="G38" s="9"/>
      <c r="H38" s="529"/>
      <c r="I38" s="917"/>
    </row>
    <row r="39" spans="2:9" ht="14.1" customHeight="1">
      <c r="C39" s="16">
        <v>1</v>
      </c>
      <c r="D39" s="17" t="s">
        <v>10</v>
      </c>
      <c r="E39" s="26" t="s">
        <v>16</v>
      </c>
      <c r="F39" s="19" t="s">
        <v>66</v>
      </c>
      <c r="G39" s="31">
        <v>0.4</v>
      </c>
      <c r="H39" s="529"/>
      <c r="I39" s="918">
        <f>G39*H39</f>
        <v>0</v>
      </c>
    </row>
    <row r="40" spans="2:9" ht="14.1" customHeight="1">
      <c r="C40" s="16">
        <f>C39+1</f>
        <v>2</v>
      </c>
      <c r="D40" s="17" t="s">
        <v>143</v>
      </c>
      <c r="E40" s="26" t="s">
        <v>22</v>
      </c>
      <c r="F40" s="22" t="s">
        <v>66</v>
      </c>
      <c r="G40" s="31">
        <v>4</v>
      </c>
      <c r="H40" s="529"/>
      <c r="I40" s="918">
        <f>G40*H40</f>
        <v>0</v>
      </c>
    </row>
    <row r="41" spans="2:9" ht="14.1" customHeight="1">
      <c r="C41" s="1099" t="s">
        <v>60</v>
      </c>
      <c r="D41" s="1100"/>
      <c r="E41" s="1100"/>
      <c r="F41" s="1100"/>
      <c r="G41" s="1100"/>
      <c r="H41" s="1101"/>
      <c r="I41" s="919">
        <f>SUM(I38:I40)</f>
        <v>0</v>
      </c>
    </row>
    <row r="42" spans="2:9" ht="14.1" customHeight="1">
      <c r="C42" s="16" t="s">
        <v>8</v>
      </c>
      <c r="D42" s="17" t="s">
        <v>61</v>
      </c>
      <c r="E42" s="18"/>
      <c r="F42" s="22"/>
      <c r="G42" s="23"/>
      <c r="H42" s="552"/>
      <c r="I42" s="917"/>
    </row>
    <row r="43" spans="2:9" ht="14.1" customHeight="1">
      <c r="C43" s="16">
        <v>1</v>
      </c>
      <c r="D43" s="17"/>
      <c r="E43" s="26"/>
      <c r="F43" s="22"/>
      <c r="G43" s="27"/>
      <c r="H43" s="529"/>
      <c r="I43" s="918">
        <f>G43*H43</f>
        <v>0</v>
      </c>
    </row>
    <row r="44" spans="2:9" ht="14.1" customHeight="1">
      <c r="C44" s="1099" t="s">
        <v>18</v>
      </c>
      <c r="D44" s="1100"/>
      <c r="E44" s="1100"/>
      <c r="F44" s="1100"/>
      <c r="G44" s="1100"/>
      <c r="H44" s="1101"/>
      <c r="I44" s="919">
        <f>SUM(I42:I43)</f>
        <v>0</v>
      </c>
    </row>
    <row r="45" spans="2:9" ht="14.1" customHeight="1">
      <c r="C45" s="16" t="s">
        <v>9</v>
      </c>
      <c r="D45" s="17" t="s">
        <v>62</v>
      </c>
      <c r="E45" s="28"/>
      <c r="F45" s="15"/>
      <c r="G45" s="28"/>
      <c r="H45" s="553"/>
      <c r="I45" s="917"/>
    </row>
    <row r="46" spans="2:9" ht="14.1" customHeight="1">
      <c r="C46" s="16"/>
      <c r="D46" s="17"/>
      <c r="E46" s="18"/>
      <c r="F46" s="22"/>
      <c r="G46" s="30"/>
      <c r="H46" s="529"/>
      <c r="I46" s="918">
        <f>G46*H46</f>
        <v>0</v>
      </c>
    </row>
    <row r="47" spans="2:9" ht="14.1" customHeight="1">
      <c r="C47" s="1099" t="s">
        <v>63</v>
      </c>
      <c r="D47" s="1100"/>
      <c r="E47" s="1100"/>
      <c r="F47" s="1100"/>
      <c r="G47" s="1100"/>
      <c r="H47" s="1101"/>
      <c r="I47" s="919">
        <f>SUM(I45:I46)</f>
        <v>0</v>
      </c>
    </row>
    <row r="48" spans="2:9" ht="14.1" customHeight="1">
      <c r="C48" s="310" t="s">
        <v>12</v>
      </c>
      <c r="D48" s="1102" t="s">
        <v>64</v>
      </c>
      <c r="E48" s="1103"/>
      <c r="F48" s="1103"/>
      <c r="G48" s="1103"/>
      <c r="H48" s="1104"/>
      <c r="I48" s="919">
        <f>I41+I44+I47</f>
        <v>0</v>
      </c>
    </row>
    <row r="49" spans="2:9" ht="14.1" customHeight="1">
      <c r="C49" s="312" t="s">
        <v>13</v>
      </c>
      <c r="D49" s="1105" t="s">
        <v>65</v>
      </c>
      <c r="E49" s="1106"/>
      <c r="F49" s="1107"/>
      <c r="G49" s="34"/>
      <c r="H49" s="554">
        <f>I48</f>
        <v>0</v>
      </c>
      <c r="I49" s="920">
        <f>G49*H49</f>
        <v>0</v>
      </c>
    </row>
    <row r="50" spans="2:9" ht="14.1" customHeight="1" thickBot="1">
      <c r="C50" s="311" t="s">
        <v>14</v>
      </c>
      <c r="D50" s="1096" t="s">
        <v>73</v>
      </c>
      <c r="E50" s="1097"/>
      <c r="F50" s="1097"/>
      <c r="G50" s="1097"/>
      <c r="H50" s="1098"/>
      <c r="I50" s="921">
        <f>I48+I49</f>
        <v>0</v>
      </c>
    </row>
    <row r="51" spans="2:9" ht="14.1" customHeight="1"/>
    <row r="52" spans="2:9" s="277" customFormat="1" ht="13.5" thickBot="1">
      <c r="B52" s="283">
        <v>4</v>
      </c>
      <c r="C52" s="279" t="str">
        <f>REKAP!E36</f>
        <v>Pekerjaan bongkar lantai tegel untuk dipergunakan lagi 1 m2</v>
      </c>
      <c r="E52" s="280"/>
      <c r="F52" s="281"/>
      <c r="G52" s="282"/>
      <c r="H52" s="549"/>
      <c r="I52" s="549"/>
    </row>
    <row r="53" spans="2:9" ht="25.5">
      <c r="C53" s="1069" t="s">
        <v>0</v>
      </c>
      <c r="D53" s="1071" t="s">
        <v>1</v>
      </c>
      <c r="E53" s="1073" t="s">
        <v>2</v>
      </c>
      <c r="F53" s="1071" t="s">
        <v>3</v>
      </c>
      <c r="G53" s="1077" t="s">
        <v>4</v>
      </c>
      <c r="H53" s="550" t="s">
        <v>5</v>
      </c>
      <c r="I53" s="555" t="s">
        <v>59</v>
      </c>
    </row>
    <row r="54" spans="2:9" ht="13.5" thickBot="1">
      <c r="C54" s="1070"/>
      <c r="D54" s="1072"/>
      <c r="E54" s="1074"/>
      <c r="F54" s="1072"/>
      <c r="G54" s="1078"/>
      <c r="H54" s="551" t="s">
        <v>6</v>
      </c>
      <c r="I54" s="556" t="s">
        <v>6</v>
      </c>
    </row>
    <row r="55" spans="2:9" ht="14.1" customHeight="1">
      <c r="C55" s="16" t="s">
        <v>7</v>
      </c>
      <c r="D55" s="17" t="s">
        <v>23</v>
      </c>
      <c r="E55" s="18"/>
      <c r="F55" s="19"/>
      <c r="G55" s="9"/>
      <c r="H55" s="529"/>
      <c r="I55" s="917"/>
    </row>
    <row r="56" spans="2:9" ht="14.1" customHeight="1">
      <c r="C56" s="16">
        <v>1</v>
      </c>
      <c r="D56" s="17" t="s">
        <v>10</v>
      </c>
      <c r="E56" s="26" t="s">
        <v>16</v>
      </c>
      <c r="F56" s="19" t="s">
        <v>66</v>
      </c>
      <c r="G56" s="31">
        <v>0.2</v>
      </c>
      <c r="H56" s="529"/>
      <c r="I56" s="918">
        <f>G56*H56</f>
        <v>0</v>
      </c>
    </row>
    <row r="57" spans="2:9" ht="14.1" customHeight="1">
      <c r="C57" s="16">
        <v>2</v>
      </c>
      <c r="D57" s="17" t="s">
        <v>11</v>
      </c>
      <c r="E57" s="26" t="s">
        <v>17</v>
      </c>
      <c r="F57" s="22" t="s">
        <v>66</v>
      </c>
      <c r="G57" s="31">
        <v>0.01</v>
      </c>
      <c r="H57" s="529"/>
      <c r="I57" s="918">
        <f>G57*H57</f>
        <v>0</v>
      </c>
    </row>
    <row r="58" spans="2:9" ht="14.1" customHeight="1">
      <c r="C58" s="1099" t="s">
        <v>60</v>
      </c>
      <c r="D58" s="1100"/>
      <c r="E58" s="1100"/>
      <c r="F58" s="1100"/>
      <c r="G58" s="1100"/>
      <c r="H58" s="1101"/>
      <c r="I58" s="919">
        <f>SUM(I55:I57)</f>
        <v>0</v>
      </c>
    </row>
    <row r="59" spans="2:9" ht="14.1" customHeight="1">
      <c r="C59" s="16" t="s">
        <v>8</v>
      </c>
      <c r="D59" s="17" t="s">
        <v>61</v>
      </c>
      <c r="E59" s="18"/>
      <c r="F59" s="22"/>
      <c r="G59" s="23"/>
      <c r="H59" s="552"/>
      <c r="I59" s="917"/>
    </row>
    <row r="60" spans="2:9" ht="14.1" customHeight="1">
      <c r="C60" s="16">
        <v>1</v>
      </c>
      <c r="D60" s="17"/>
      <c r="E60" s="18"/>
      <c r="F60" s="22"/>
      <c r="G60" s="31"/>
      <c r="H60" s="552"/>
      <c r="I60" s="918">
        <f>G60*H60</f>
        <v>0</v>
      </c>
    </row>
    <row r="61" spans="2:9" ht="14.1" customHeight="1">
      <c r="C61" s="16">
        <f>C60+1</f>
        <v>2</v>
      </c>
      <c r="D61" s="17"/>
      <c r="E61" s="18"/>
      <c r="F61" s="22"/>
      <c r="G61" s="31"/>
      <c r="H61" s="552"/>
      <c r="I61" s="918"/>
    </row>
    <row r="62" spans="2:9" ht="14.1" customHeight="1">
      <c r="C62" s="1099" t="s">
        <v>18</v>
      </c>
      <c r="D62" s="1100"/>
      <c r="E62" s="1100"/>
      <c r="F62" s="1100"/>
      <c r="G62" s="1100"/>
      <c r="H62" s="1101"/>
      <c r="I62" s="919">
        <f>SUM(I59:I61)</f>
        <v>0</v>
      </c>
    </row>
    <row r="63" spans="2:9" ht="14.1" customHeight="1">
      <c r="C63" s="16" t="s">
        <v>9</v>
      </c>
      <c r="D63" s="17" t="s">
        <v>62</v>
      </c>
      <c r="E63" s="28"/>
      <c r="F63" s="15"/>
      <c r="G63" s="28"/>
      <c r="H63" s="553"/>
      <c r="I63" s="917"/>
    </row>
    <row r="64" spans="2:9" ht="14.1" customHeight="1">
      <c r="C64" s="16"/>
      <c r="D64" s="17"/>
      <c r="E64" s="18"/>
      <c r="F64" s="22"/>
      <c r="G64" s="30"/>
      <c r="H64" s="529"/>
      <c r="I64" s="918">
        <f>G64*H64</f>
        <v>0</v>
      </c>
    </row>
    <row r="65" spans="2:9" ht="14.1" customHeight="1">
      <c r="C65" s="1099" t="s">
        <v>63</v>
      </c>
      <c r="D65" s="1100"/>
      <c r="E65" s="1100"/>
      <c r="F65" s="1100"/>
      <c r="G65" s="1100"/>
      <c r="H65" s="1101"/>
      <c r="I65" s="919">
        <f>SUM(I63:I64)</f>
        <v>0</v>
      </c>
    </row>
    <row r="66" spans="2:9" ht="14.1" customHeight="1">
      <c r="C66" s="310" t="s">
        <v>12</v>
      </c>
      <c r="D66" s="1102" t="s">
        <v>64</v>
      </c>
      <c r="E66" s="1103"/>
      <c r="F66" s="1103"/>
      <c r="G66" s="1103"/>
      <c r="H66" s="1104"/>
      <c r="I66" s="919">
        <f>I58+I62+I65</f>
        <v>0</v>
      </c>
    </row>
    <row r="67" spans="2:9" ht="14.1" customHeight="1">
      <c r="C67" s="312" t="s">
        <v>13</v>
      </c>
      <c r="D67" s="1105" t="s">
        <v>65</v>
      </c>
      <c r="E67" s="1106"/>
      <c r="F67" s="1107"/>
      <c r="G67" s="34"/>
      <c r="H67" s="554">
        <f>I66</f>
        <v>0</v>
      </c>
      <c r="I67" s="920">
        <f>G67*H67</f>
        <v>0</v>
      </c>
    </row>
    <row r="68" spans="2:9" ht="14.1" customHeight="1" thickBot="1">
      <c r="C68" s="311" t="s">
        <v>14</v>
      </c>
      <c r="D68" s="1096" t="s">
        <v>73</v>
      </c>
      <c r="E68" s="1097"/>
      <c r="F68" s="1097"/>
      <c r="G68" s="1097"/>
      <c r="H68" s="1098"/>
      <c r="I68" s="922">
        <f>I66+I67</f>
        <v>0</v>
      </c>
    </row>
    <row r="69" spans="2:9" ht="14.1" customHeight="1">
      <c r="C69" s="74"/>
      <c r="D69" s="958"/>
      <c r="E69" s="958"/>
      <c r="F69" s="958"/>
      <c r="G69" s="958"/>
      <c r="H69" s="958"/>
      <c r="I69" s="959"/>
    </row>
    <row r="70" spans="2:9" s="562" customFormat="1" ht="13.5" thickBot="1">
      <c r="B70" s="283">
        <v>5</v>
      </c>
      <c r="C70" s="279" t="str">
        <f>REKAP!E37</f>
        <v>Mengupas plesteran lama 1 m2</v>
      </c>
      <c r="E70" s="563"/>
      <c r="F70" s="283"/>
      <c r="G70" s="564"/>
      <c r="H70" s="565"/>
      <c r="I70" s="565"/>
    </row>
    <row r="71" spans="2:9" ht="25.5">
      <c r="C71" s="1109" t="s">
        <v>0</v>
      </c>
      <c r="D71" s="1077" t="s">
        <v>1</v>
      </c>
      <c r="E71" s="1111" t="s">
        <v>2</v>
      </c>
      <c r="F71" s="1077" t="s">
        <v>3</v>
      </c>
      <c r="G71" s="1077" t="s">
        <v>4</v>
      </c>
      <c r="H71" s="550" t="s">
        <v>5</v>
      </c>
      <c r="I71" s="555" t="s">
        <v>59</v>
      </c>
    </row>
    <row r="72" spans="2:9" ht="13.5" thickBot="1">
      <c r="C72" s="1110"/>
      <c r="D72" s="1078"/>
      <c r="E72" s="1112"/>
      <c r="F72" s="1078"/>
      <c r="G72" s="1078"/>
      <c r="H72" s="551" t="s">
        <v>6</v>
      </c>
      <c r="I72" s="556" t="s">
        <v>6</v>
      </c>
    </row>
    <row r="73" spans="2:9" ht="14.1" customHeight="1">
      <c r="C73" s="16" t="s">
        <v>7</v>
      </c>
      <c r="D73" s="17" t="s">
        <v>74</v>
      </c>
      <c r="E73" s="18"/>
      <c r="F73" s="19"/>
      <c r="G73" s="9"/>
      <c r="H73" s="529"/>
      <c r="I73" s="917"/>
    </row>
    <row r="74" spans="2:9" ht="14.1" customHeight="1">
      <c r="C74" s="16">
        <v>1</v>
      </c>
      <c r="D74" s="17" t="s">
        <v>10</v>
      </c>
      <c r="E74" s="26" t="s">
        <v>16</v>
      </c>
      <c r="F74" s="19" t="s">
        <v>66</v>
      </c>
      <c r="G74" s="31">
        <v>0.125</v>
      </c>
      <c r="H74" s="529"/>
      <c r="I74" s="918">
        <f>G74*H74</f>
        <v>0</v>
      </c>
    </row>
    <row r="75" spans="2:9" ht="14.1" customHeight="1">
      <c r="C75" s="16">
        <v>2</v>
      </c>
      <c r="D75" s="17" t="s">
        <v>11</v>
      </c>
      <c r="E75" s="26" t="s">
        <v>17</v>
      </c>
      <c r="F75" s="22" t="s">
        <v>66</v>
      </c>
      <c r="G75" s="31">
        <v>1.2500000000000001E-2</v>
      </c>
      <c r="H75" s="529"/>
      <c r="I75" s="918">
        <f>G75*H75</f>
        <v>0</v>
      </c>
    </row>
    <row r="76" spans="2:9" ht="14.1" customHeight="1">
      <c r="C76" s="1099" t="s">
        <v>60</v>
      </c>
      <c r="D76" s="1100"/>
      <c r="E76" s="1100"/>
      <c r="F76" s="1100"/>
      <c r="G76" s="1100"/>
      <c r="H76" s="1101"/>
      <c r="I76" s="919">
        <f>SUM(I73:I75)</f>
        <v>0</v>
      </c>
    </row>
    <row r="77" spans="2:9" ht="14.1" customHeight="1">
      <c r="C77" s="16" t="s">
        <v>8</v>
      </c>
      <c r="D77" s="17" t="s">
        <v>61</v>
      </c>
      <c r="E77" s="18"/>
      <c r="F77" s="22"/>
      <c r="G77" s="23"/>
      <c r="H77" s="552"/>
      <c r="I77" s="917"/>
    </row>
    <row r="78" spans="2:9" ht="14.1" customHeight="1">
      <c r="C78" s="16">
        <v>1</v>
      </c>
      <c r="D78" s="17"/>
      <c r="E78" s="18"/>
      <c r="F78" s="22"/>
      <c r="G78" s="31"/>
      <c r="H78" s="552"/>
      <c r="I78" s="918">
        <f>G78*H78</f>
        <v>0</v>
      </c>
    </row>
    <row r="79" spans="2:9" ht="14.1" customHeight="1">
      <c r="C79" s="1099" t="s">
        <v>18</v>
      </c>
      <c r="D79" s="1100"/>
      <c r="E79" s="1100"/>
      <c r="F79" s="1100"/>
      <c r="G79" s="1100"/>
      <c r="H79" s="1101"/>
      <c r="I79" s="919">
        <f>SUM(I77:I78)</f>
        <v>0</v>
      </c>
    </row>
    <row r="80" spans="2:9" ht="14.1" customHeight="1">
      <c r="C80" s="16" t="s">
        <v>9</v>
      </c>
      <c r="D80" s="17" t="s">
        <v>62</v>
      </c>
      <c r="E80" s="28"/>
      <c r="F80" s="15"/>
      <c r="G80" s="28"/>
      <c r="H80" s="553"/>
      <c r="I80" s="917"/>
    </row>
    <row r="81" spans="2:9" ht="14.1" customHeight="1">
      <c r="C81" s="16"/>
      <c r="D81" s="17"/>
      <c r="E81" s="18"/>
      <c r="F81" s="22"/>
      <c r="G81" s="30"/>
      <c r="H81" s="529"/>
      <c r="I81" s="918">
        <f>G81*H81</f>
        <v>0</v>
      </c>
    </row>
    <row r="82" spans="2:9" ht="14.1" customHeight="1">
      <c r="C82" s="1099" t="s">
        <v>63</v>
      </c>
      <c r="D82" s="1100"/>
      <c r="E82" s="1100"/>
      <c r="F82" s="1100"/>
      <c r="G82" s="1100"/>
      <c r="H82" s="1101"/>
      <c r="I82" s="919">
        <f>SUM(I80:I81)</f>
        <v>0</v>
      </c>
    </row>
    <row r="83" spans="2:9" ht="14.1" customHeight="1">
      <c r="C83" s="310" t="s">
        <v>12</v>
      </c>
      <c r="D83" s="1102" t="s">
        <v>64</v>
      </c>
      <c r="E83" s="1103"/>
      <c r="F83" s="1103"/>
      <c r="G83" s="1103"/>
      <c r="H83" s="1104"/>
      <c r="I83" s="919">
        <f>I76+I79+I82</f>
        <v>0</v>
      </c>
    </row>
    <row r="84" spans="2:9" ht="14.1" customHeight="1">
      <c r="C84" s="312" t="s">
        <v>13</v>
      </c>
      <c r="D84" s="1102" t="s">
        <v>65</v>
      </c>
      <c r="E84" s="1103"/>
      <c r="F84" s="1104"/>
      <c r="G84" s="34"/>
      <c r="H84" s="554">
        <f>I83</f>
        <v>0</v>
      </c>
      <c r="I84" s="920">
        <f>G84*H84</f>
        <v>0</v>
      </c>
    </row>
    <row r="85" spans="2:9" ht="14.1" customHeight="1" thickBot="1">
      <c r="C85" s="311" t="s">
        <v>14</v>
      </c>
      <c r="D85" s="1096" t="s">
        <v>73</v>
      </c>
      <c r="E85" s="1097"/>
      <c r="F85" s="1097"/>
      <c r="G85" s="1097"/>
      <c r="H85" s="1098"/>
      <c r="I85" s="921">
        <f>I83+I84</f>
        <v>0</v>
      </c>
    </row>
    <row r="86" spans="2:9" ht="14.1" customHeight="1"/>
    <row r="87" spans="2:9" s="562" customFormat="1" ht="13.5" thickBot="1">
      <c r="B87" s="283">
        <v>6</v>
      </c>
      <c r="C87" s="562" t="s">
        <v>884</v>
      </c>
      <c r="E87" s="563"/>
      <c r="F87" s="283"/>
      <c r="G87" s="564"/>
      <c r="H87" s="565"/>
      <c r="I87" s="565"/>
    </row>
    <row r="88" spans="2:9" ht="25.5">
      <c r="C88" s="1069" t="s">
        <v>0</v>
      </c>
      <c r="D88" s="1071" t="s">
        <v>1</v>
      </c>
      <c r="E88" s="1073" t="s">
        <v>2</v>
      </c>
      <c r="F88" s="1071" t="s">
        <v>3</v>
      </c>
      <c r="G88" s="1077" t="s">
        <v>4</v>
      </c>
      <c r="H88" s="550" t="s">
        <v>5</v>
      </c>
      <c r="I88" s="555" t="s">
        <v>59</v>
      </c>
    </row>
    <row r="89" spans="2:9" ht="13.5" thickBot="1">
      <c r="C89" s="1070"/>
      <c r="D89" s="1072"/>
      <c r="E89" s="1074"/>
      <c r="F89" s="1072"/>
      <c r="G89" s="1078"/>
      <c r="H89" s="551" t="s">
        <v>6</v>
      </c>
      <c r="I89" s="556" t="s">
        <v>6</v>
      </c>
    </row>
    <row r="90" spans="2:9">
      <c r="C90" s="16" t="s">
        <v>7</v>
      </c>
      <c r="D90" s="17" t="s">
        <v>74</v>
      </c>
      <c r="E90" s="18"/>
      <c r="F90" s="19"/>
      <c r="G90" s="9"/>
      <c r="H90" s="529"/>
      <c r="I90" s="557"/>
    </row>
    <row r="91" spans="2:9">
      <c r="C91" s="16">
        <v>1</v>
      </c>
      <c r="D91" s="17" t="s">
        <v>10</v>
      </c>
      <c r="E91" s="26" t="s">
        <v>16</v>
      </c>
      <c r="F91" s="19" t="s">
        <v>66</v>
      </c>
      <c r="G91" s="31">
        <v>0.2</v>
      </c>
      <c r="H91" s="529"/>
      <c r="I91" s="918">
        <f>G91*H91</f>
        <v>0</v>
      </c>
    </row>
    <row r="92" spans="2:9">
      <c r="C92" s="16">
        <v>2</v>
      </c>
      <c r="D92" s="17" t="s">
        <v>11</v>
      </c>
      <c r="E92" s="26" t="s">
        <v>17</v>
      </c>
      <c r="F92" s="22" t="s">
        <v>66</v>
      </c>
      <c r="G92" s="31">
        <v>0.01</v>
      </c>
      <c r="H92" s="529"/>
      <c r="I92" s="918">
        <f>G92*H92</f>
        <v>0</v>
      </c>
    </row>
    <row r="93" spans="2:9">
      <c r="C93" s="1099" t="s">
        <v>60</v>
      </c>
      <c r="D93" s="1100"/>
      <c r="E93" s="1100"/>
      <c r="F93" s="1100"/>
      <c r="G93" s="1100"/>
      <c r="H93" s="1101"/>
      <c r="I93" s="919">
        <f>SUM(I90:I92)</f>
        <v>0</v>
      </c>
    </row>
    <row r="94" spans="2:9">
      <c r="C94" s="16" t="s">
        <v>8</v>
      </c>
      <c r="D94" s="17" t="s">
        <v>61</v>
      </c>
      <c r="E94" s="18"/>
      <c r="F94" s="22"/>
      <c r="G94" s="23"/>
      <c r="H94" s="552"/>
      <c r="I94" s="917"/>
    </row>
    <row r="95" spans="2:9">
      <c r="C95" s="16">
        <v>1</v>
      </c>
      <c r="D95" s="17"/>
      <c r="E95" s="18"/>
      <c r="F95" s="22"/>
      <c r="G95" s="31"/>
      <c r="H95" s="552"/>
      <c r="I95" s="918">
        <f>G95*H95</f>
        <v>0</v>
      </c>
    </row>
    <row r="96" spans="2:9">
      <c r="C96" s="1099" t="s">
        <v>18</v>
      </c>
      <c r="D96" s="1100"/>
      <c r="E96" s="1100"/>
      <c r="F96" s="1100"/>
      <c r="G96" s="1100"/>
      <c r="H96" s="1101"/>
      <c r="I96" s="919">
        <f>SUM(I94:I95)</f>
        <v>0</v>
      </c>
    </row>
    <row r="97" spans="2:9">
      <c r="C97" s="16" t="s">
        <v>9</v>
      </c>
      <c r="D97" s="17" t="s">
        <v>62</v>
      </c>
      <c r="E97" s="28"/>
      <c r="F97" s="15"/>
      <c r="G97" s="28"/>
      <c r="H97" s="553"/>
      <c r="I97" s="917"/>
    </row>
    <row r="98" spans="2:9">
      <c r="C98" s="16"/>
      <c r="D98" s="17"/>
      <c r="E98" s="18"/>
      <c r="F98" s="22"/>
      <c r="G98" s="30"/>
      <c r="H98" s="529"/>
      <c r="I98" s="918">
        <f>G98*H98</f>
        <v>0</v>
      </c>
    </row>
    <row r="99" spans="2:9">
      <c r="C99" s="1099" t="s">
        <v>63</v>
      </c>
      <c r="D99" s="1100"/>
      <c r="E99" s="1100"/>
      <c r="F99" s="1100"/>
      <c r="G99" s="1100"/>
      <c r="H99" s="1101"/>
      <c r="I99" s="919">
        <f>SUM(I97:I98)</f>
        <v>0</v>
      </c>
    </row>
    <row r="100" spans="2:9">
      <c r="C100" s="310" t="s">
        <v>12</v>
      </c>
      <c r="D100" s="1102" t="s">
        <v>64</v>
      </c>
      <c r="E100" s="1103"/>
      <c r="F100" s="1103"/>
      <c r="G100" s="1103"/>
      <c r="H100" s="1104"/>
      <c r="I100" s="919">
        <f>I93+I96+I99</f>
        <v>0</v>
      </c>
    </row>
    <row r="101" spans="2:9">
      <c r="C101" s="312" t="s">
        <v>13</v>
      </c>
      <c r="D101" s="1105" t="s">
        <v>65</v>
      </c>
      <c r="E101" s="1106"/>
      <c r="F101" s="1107"/>
      <c r="G101" s="34"/>
      <c r="H101" s="554">
        <f>I100</f>
        <v>0</v>
      </c>
      <c r="I101" s="920">
        <f>G101*H101</f>
        <v>0</v>
      </c>
    </row>
    <row r="102" spans="2:9" ht="13.5" thickBot="1">
      <c r="C102" s="311" t="s">
        <v>14</v>
      </c>
      <c r="D102" s="1096" t="s">
        <v>73</v>
      </c>
      <c r="E102" s="1097"/>
      <c r="F102" s="1097"/>
      <c r="G102" s="1097"/>
      <c r="H102" s="1098"/>
      <c r="I102" s="921">
        <f>I100+I101</f>
        <v>0</v>
      </c>
    </row>
    <row r="103" spans="2:9">
      <c r="C103" s="74"/>
      <c r="D103" s="958"/>
      <c r="E103" s="958"/>
      <c r="F103" s="958"/>
      <c r="G103" s="958"/>
      <c r="H103" s="958"/>
      <c r="I103" s="961"/>
    </row>
    <row r="104" spans="2:9" s="562" customFormat="1" ht="13.5" thickBot="1">
      <c r="B104" s="283">
        <v>7</v>
      </c>
      <c r="C104" s="562" t="s">
        <v>911</v>
      </c>
      <c r="E104" s="563"/>
      <c r="F104" s="283"/>
      <c r="G104" s="564"/>
      <c r="H104" s="565"/>
      <c r="I104" s="565"/>
    </row>
    <row r="105" spans="2:9" ht="25.5">
      <c r="C105" s="1069" t="s">
        <v>0</v>
      </c>
      <c r="D105" s="1071" t="s">
        <v>1</v>
      </c>
      <c r="E105" s="1073" t="s">
        <v>2</v>
      </c>
      <c r="F105" s="1071" t="s">
        <v>3</v>
      </c>
      <c r="G105" s="1077" t="s">
        <v>4</v>
      </c>
      <c r="H105" s="550" t="s">
        <v>5</v>
      </c>
      <c r="I105" s="555" t="s">
        <v>59</v>
      </c>
    </row>
    <row r="106" spans="2:9" ht="14.1" customHeight="1" thickBot="1">
      <c r="C106" s="1070"/>
      <c r="D106" s="1072"/>
      <c r="E106" s="1074"/>
      <c r="F106" s="1072"/>
      <c r="G106" s="1078"/>
      <c r="H106" s="551" t="s">
        <v>6</v>
      </c>
      <c r="I106" s="556" t="s">
        <v>6</v>
      </c>
    </row>
    <row r="107" spans="2:9" ht="14.1" customHeight="1">
      <c r="C107" s="16" t="s">
        <v>7</v>
      </c>
      <c r="D107" s="17" t="s">
        <v>74</v>
      </c>
      <c r="E107" s="18"/>
      <c r="F107" s="19"/>
      <c r="G107" s="9"/>
      <c r="H107" s="529"/>
      <c r="I107" s="917"/>
    </row>
    <row r="108" spans="2:9" ht="14.1" customHeight="1">
      <c r="C108" s="16">
        <v>1</v>
      </c>
      <c r="D108" s="17" t="s">
        <v>10</v>
      </c>
      <c r="E108" s="26" t="s">
        <v>16</v>
      </c>
      <c r="F108" s="19" t="s">
        <v>66</v>
      </c>
      <c r="G108" s="31">
        <v>0.1</v>
      </c>
      <c r="H108" s="529"/>
      <c r="I108" s="918"/>
    </row>
    <row r="109" spans="2:9" ht="14.1" customHeight="1">
      <c r="C109" s="16">
        <v>2</v>
      </c>
      <c r="D109" s="17" t="s">
        <v>148</v>
      </c>
      <c r="E109" s="26" t="s">
        <v>22</v>
      </c>
      <c r="F109" s="22" t="s">
        <v>66</v>
      </c>
      <c r="G109" s="31">
        <v>0.05</v>
      </c>
      <c r="H109" s="529"/>
      <c r="I109" s="918"/>
    </row>
    <row r="110" spans="2:9" ht="14.1" customHeight="1">
      <c r="C110" s="1099" t="s">
        <v>60</v>
      </c>
      <c r="D110" s="1100"/>
      <c r="E110" s="1100"/>
      <c r="F110" s="1100"/>
      <c r="G110" s="1100"/>
      <c r="H110" s="1101"/>
      <c r="I110" s="919"/>
    </row>
    <row r="111" spans="2:9" ht="14.1" customHeight="1">
      <c r="C111" s="16" t="s">
        <v>8</v>
      </c>
      <c r="D111" s="17" t="s">
        <v>61</v>
      </c>
      <c r="E111" s="18"/>
      <c r="F111" s="22"/>
      <c r="G111" s="23"/>
      <c r="H111" s="552"/>
      <c r="I111" s="917"/>
    </row>
    <row r="112" spans="2:9" ht="14.1" customHeight="1">
      <c r="C112" s="16">
        <v>1</v>
      </c>
      <c r="D112" s="17"/>
      <c r="E112" s="18"/>
      <c r="F112" s="22"/>
      <c r="G112" s="31"/>
      <c r="H112" s="552"/>
      <c r="I112" s="918"/>
    </row>
    <row r="113" spans="2:9" ht="14.1" customHeight="1">
      <c r="C113" s="1099" t="s">
        <v>18</v>
      </c>
      <c r="D113" s="1100"/>
      <c r="E113" s="1100"/>
      <c r="F113" s="1100"/>
      <c r="G113" s="1100"/>
      <c r="H113" s="1101"/>
      <c r="I113" s="919"/>
    </row>
    <row r="114" spans="2:9" ht="14.1" customHeight="1">
      <c r="C114" s="16" t="s">
        <v>9</v>
      </c>
      <c r="D114" s="17" t="s">
        <v>62</v>
      </c>
      <c r="E114" s="28"/>
      <c r="F114" s="15"/>
      <c r="G114" s="28"/>
      <c r="H114" s="553"/>
      <c r="I114" s="917"/>
    </row>
    <row r="115" spans="2:9" ht="14.1" customHeight="1">
      <c r="C115" s="16"/>
      <c r="D115" s="17"/>
      <c r="E115" s="18"/>
      <c r="F115" s="22"/>
      <c r="G115" s="30"/>
      <c r="H115" s="529"/>
      <c r="I115" s="918"/>
    </row>
    <row r="116" spans="2:9" ht="14.1" customHeight="1">
      <c r="C116" s="1099" t="s">
        <v>63</v>
      </c>
      <c r="D116" s="1100"/>
      <c r="E116" s="1100"/>
      <c r="F116" s="1100"/>
      <c r="G116" s="1100"/>
      <c r="H116" s="1101"/>
      <c r="I116" s="919"/>
    </row>
    <row r="117" spans="2:9" ht="14.1" customHeight="1">
      <c r="C117" s="310" t="s">
        <v>12</v>
      </c>
      <c r="D117" s="1102" t="s">
        <v>64</v>
      </c>
      <c r="E117" s="1103"/>
      <c r="F117" s="1103"/>
      <c r="G117" s="1103"/>
      <c r="H117" s="1104"/>
      <c r="I117" s="919"/>
    </row>
    <row r="118" spans="2:9" ht="14.1" customHeight="1">
      <c r="C118" s="312" t="s">
        <v>13</v>
      </c>
      <c r="D118" s="1105" t="s">
        <v>65</v>
      </c>
      <c r="E118" s="1106"/>
      <c r="F118" s="1107"/>
      <c r="G118" s="34"/>
      <c r="H118" s="554">
        <f>I117</f>
        <v>0</v>
      </c>
      <c r="I118" s="920"/>
    </row>
    <row r="119" spans="2:9" ht="14.1" customHeight="1" thickBot="1">
      <c r="C119" s="311" t="s">
        <v>14</v>
      </c>
      <c r="D119" s="1096" t="s">
        <v>73</v>
      </c>
      <c r="E119" s="1097"/>
      <c r="F119" s="1097"/>
      <c r="G119" s="1097"/>
      <c r="H119" s="1098"/>
      <c r="I119" s="561">
        <f>I117+I118</f>
        <v>0</v>
      </c>
    </row>
    <row r="120" spans="2:9" ht="14.1" customHeight="1">
      <c r="C120" s="74"/>
      <c r="D120" s="958"/>
      <c r="E120" s="958"/>
      <c r="F120" s="958"/>
      <c r="G120" s="958"/>
      <c r="H120" s="958"/>
      <c r="I120" s="960"/>
    </row>
    <row r="121" spans="2:9" s="562" customFormat="1" ht="13.5" thickBot="1">
      <c r="B121" s="283">
        <v>8</v>
      </c>
      <c r="C121" s="562" t="s">
        <v>912</v>
      </c>
      <c r="E121" s="563"/>
      <c r="F121" s="283"/>
      <c r="G121" s="564"/>
      <c r="H121" s="565"/>
      <c r="I121" s="565"/>
    </row>
    <row r="122" spans="2:9" ht="25.5">
      <c r="C122" s="1069" t="s">
        <v>0</v>
      </c>
      <c r="D122" s="1071" t="s">
        <v>1</v>
      </c>
      <c r="E122" s="1073" t="s">
        <v>2</v>
      </c>
      <c r="F122" s="1071" t="s">
        <v>3</v>
      </c>
      <c r="G122" s="1077" t="s">
        <v>4</v>
      </c>
      <c r="H122" s="550" t="s">
        <v>5</v>
      </c>
      <c r="I122" s="555" t="s">
        <v>59</v>
      </c>
    </row>
    <row r="123" spans="2:9" ht="13.5" thickBot="1">
      <c r="C123" s="1070"/>
      <c r="D123" s="1072"/>
      <c r="E123" s="1074"/>
      <c r="F123" s="1072"/>
      <c r="G123" s="1078"/>
      <c r="H123" s="551" t="s">
        <v>6</v>
      </c>
      <c r="I123" s="556" t="s">
        <v>6</v>
      </c>
    </row>
    <row r="124" spans="2:9" ht="14.1" customHeight="1">
      <c r="C124" s="16" t="s">
        <v>7</v>
      </c>
      <c r="D124" s="17" t="s">
        <v>74</v>
      </c>
      <c r="E124" s="18"/>
      <c r="F124" s="19"/>
      <c r="G124" s="9"/>
      <c r="H124" s="529"/>
      <c r="I124" s="557"/>
    </row>
    <row r="125" spans="2:9" ht="14.1" customHeight="1">
      <c r="C125" s="16">
        <v>1</v>
      </c>
      <c r="D125" s="17" t="s">
        <v>10</v>
      </c>
      <c r="E125" s="26" t="s">
        <v>16</v>
      </c>
      <c r="F125" s="19" t="s">
        <v>66</v>
      </c>
      <c r="G125" s="31">
        <v>0.2</v>
      </c>
      <c r="H125" s="529"/>
      <c r="I125" s="558"/>
    </row>
    <row r="126" spans="2:9" ht="14.1" customHeight="1">
      <c r="C126" s="16">
        <v>2</v>
      </c>
      <c r="D126" s="17" t="s">
        <v>26</v>
      </c>
      <c r="E126" s="26" t="s">
        <v>22</v>
      </c>
      <c r="F126" s="19" t="s">
        <v>66</v>
      </c>
      <c r="G126" s="31">
        <v>0.06</v>
      </c>
      <c r="H126" s="529"/>
      <c r="I126" s="558"/>
    </row>
    <row r="127" spans="2:9" ht="14.1" customHeight="1">
      <c r="C127" s="16">
        <v>3</v>
      </c>
      <c r="D127" s="17" t="s">
        <v>173</v>
      </c>
      <c r="E127" s="26" t="s">
        <v>21</v>
      </c>
      <c r="F127" s="19" t="s">
        <v>66</v>
      </c>
      <c r="G127" s="31">
        <v>6.0000000000000001E-3</v>
      </c>
      <c r="H127" s="529"/>
      <c r="I127" s="558"/>
    </row>
    <row r="128" spans="2:9" ht="14.1" customHeight="1">
      <c r="C128" s="16">
        <v>4</v>
      </c>
      <c r="D128" s="17" t="s">
        <v>11</v>
      </c>
      <c r="E128" s="26" t="s">
        <v>17</v>
      </c>
      <c r="F128" s="19" t="s">
        <v>66</v>
      </c>
      <c r="G128" s="31">
        <v>0.01</v>
      </c>
      <c r="H128" s="529"/>
      <c r="I128" s="558"/>
    </row>
    <row r="129" spans="2:9" ht="14.1" customHeight="1">
      <c r="C129" s="1099" t="s">
        <v>60</v>
      </c>
      <c r="D129" s="1100"/>
      <c r="E129" s="1100"/>
      <c r="F129" s="1100"/>
      <c r="G129" s="1100"/>
      <c r="H129" s="1101"/>
      <c r="I129" s="559"/>
    </row>
    <row r="130" spans="2:9" ht="14.1" customHeight="1">
      <c r="C130" s="16" t="s">
        <v>8</v>
      </c>
      <c r="D130" s="17" t="s">
        <v>61</v>
      </c>
      <c r="E130" s="18"/>
      <c r="F130" s="22"/>
      <c r="G130" s="23"/>
      <c r="H130" s="552"/>
      <c r="I130" s="557"/>
    </row>
    <row r="131" spans="2:9" ht="14.1" customHeight="1">
      <c r="C131" s="16">
        <v>1</v>
      </c>
      <c r="D131" s="17"/>
      <c r="E131" s="18"/>
      <c r="F131" s="22"/>
      <c r="G131" s="31"/>
      <c r="H131" s="552"/>
      <c r="I131" s="558"/>
    </row>
    <row r="132" spans="2:9" ht="14.1" customHeight="1">
      <c r="C132" s="1099" t="s">
        <v>18</v>
      </c>
      <c r="D132" s="1100"/>
      <c r="E132" s="1100"/>
      <c r="F132" s="1100"/>
      <c r="G132" s="1100"/>
      <c r="H132" s="1101"/>
      <c r="I132" s="559"/>
    </row>
    <row r="133" spans="2:9" ht="14.1" customHeight="1">
      <c r="C133" s="16" t="s">
        <v>9</v>
      </c>
      <c r="D133" s="17" t="s">
        <v>62</v>
      </c>
      <c r="E133" s="28"/>
      <c r="F133" s="15"/>
      <c r="G133" s="28"/>
      <c r="H133" s="553"/>
      <c r="I133" s="557"/>
    </row>
    <row r="134" spans="2:9" ht="14.1" customHeight="1">
      <c r="C134" s="16"/>
      <c r="D134" s="17"/>
      <c r="E134" s="18"/>
      <c r="F134" s="22"/>
      <c r="G134" s="30"/>
      <c r="H134" s="529"/>
      <c r="I134" s="558"/>
    </row>
    <row r="135" spans="2:9" ht="14.1" customHeight="1">
      <c r="C135" s="1099" t="s">
        <v>63</v>
      </c>
      <c r="D135" s="1100"/>
      <c r="E135" s="1100"/>
      <c r="F135" s="1100"/>
      <c r="G135" s="1100"/>
      <c r="H135" s="1101"/>
      <c r="I135" s="559"/>
    </row>
    <row r="136" spans="2:9" ht="14.1" customHeight="1">
      <c r="C136" s="310" t="s">
        <v>12</v>
      </c>
      <c r="D136" s="1102" t="s">
        <v>64</v>
      </c>
      <c r="E136" s="1103"/>
      <c r="F136" s="1103"/>
      <c r="G136" s="1103"/>
      <c r="H136" s="1104"/>
      <c r="I136" s="559"/>
    </row>
    <row r="137" spans="2:9" ht="14.1" customHeight="1">
      <c r="C137" s="312" t="s">
        <v>13</v>
      </c>
      <c r="D137" s="1105" t="s">
        <v>65</v>
      </c>
      <c r="E137" s="1106"/>
      <c r="F137" s="1107"/>
      <c r="G137" s="34"/>
      <c r="H137" s="554">
        <f>I136</f>
        <v>0</v>
      </c>
      <c r="I137" s="560"/>
    </row>
    <row r="138" spans="2:9" ht="14.1" customHeight="1" thickBot="1">
      <c r="C138" s="311" t="s">
        <v>14</v>
      </c>
      <c r="D138" s="1096" t="s">
        <v>73</v>
      </c>
      <c r="E138" s="1097"/>
      <c r="F138" s="1097"/>
      <c r="G138" s="1097"/>
      <c r="H138" s="1098"/>
      <c r="I138" s="561"/>
    </row>
    <row r="139" spans="2:9" ht="14.1" customHeight="1"/>
    <row r="140" spans="2:9" s="562" customFormat="1" ht="13.5" thickBot="1">
      <c r="B140" s="283">
        <v>9</v>
      </c>
      <c r="C140" s="562" t="s">
        <v>913</v>
      </c>
      <c r="E140" s="563"/>
      <c r="F140" s="283"/>
      <c r="G140" s="564"/>
      <c r="H140" s="565"/>
      <c r="I140" s="565"/>
    </row>
    <row r="141" spans="2:9" ht="25.5">
      <c r="C141" s="1069" t="s">
        <v>0</v>
      </c>
      <c r="D141" s="1071" t="s">
        <v>1</v>
      </c>
      <c r="E141" s="1073" t="s">
        <v>2</v>
      </c>
      <c r="F141" s="1071" t="s">
        <v>3</v>
      </c>
      <c r="G141" s="1077" t="s">
        <v>4</v>
      </c>
      <c r="H141" s="550" t="s">
        <v>5</v>
      </c>
      <c r="I141" s="555" t="s">
        <v>59</v>
      </c>
    </row>
    <row r="142" spans="2:9" ht="13.5" thickBot="1">
      <c r="C142" s="1070"/>
      <c r="D142" s="1072"/>
      <c r="E142" s="1074"/>
      <c r="F142" s="1072"/>
      <c r="G142" s="1078"/>
      <c r="H142" s="551" t="s">
        <v>6</v>
      </c>
      <c r="I142" s="556" t="s">
        <v>6</v>
      </c>
    </row>
    <row r="143" spans="2:9" ht="14.1" customHeight="1">
      <c r="C143" s="16" t="s">
        <v>7</v>
      </c>
      <c r="D143" s="17" t="s">
        <v>74</v>
      </c>
      <c r="E143" s="18"/>
      <c r="F143" s="19"/>
      <c r="G143" s="9"/>
      <c r="H143" s="529"/>
      <c r="I143" s="557"/>
    </row>
    <row r="144" spans="2:9" ht="14.1" customHeight="1">
      <c r="C144" s="16">
        <v>1</v>
      </c>
      <c r="D144" s="17" t="s">
        <v>10</v>
      </c>
      <c r="E144" s="26" t="s">
        <v>16</v>
      </c>
      <c r="F144" s="19" t="s">
        <v>66</v>
      </c>
      <c r="G144" s="31">
        <v>0.2</v>
      </c>
      <c r="H144" s="529"/>
      <c r="I144" s="558"/>
    </row>
    <row r="145" spans="2:11" ht="14.1" customHeight="1">
      <c r="C145" s="16">
        <v>2</v>
      </c>
      <c r="D145" s="17" t="s">
        <v>11</v>
      </c>
      <c r="E145" s="26" t="s">
        <v>17</v>
      </c>
      <c r="F145" s="19" t="s">
        <v>66</v>
      </c>
      <c r="G145" s="31">
        <v>0.01</v>
      </c>
      <c r="H145" s="529"/>
      <c r="I145" s="558"/>
    </row>
    <row r="146" spans="2:11" ht="14.1" customHeight="1">
      <c r="C146" s="1099" t="s">
        <v>60</v>
      </c>
      <c r="D146" s="1100"/>
      <c r="E146" s="1100"/>
      <c r="F146" s="1100"/>
      <c r="G146" s="1100"/>
      <c r="H146" s="1101"/>
      <c r="I146" s="559"/>
    </row>
    <row r="147" spans="2:11" ht="14.1" customHeight="1">
      <c r="C147" s="16" t="s">
        <v>8</v>
      </c>
      <c r="D147" s="17" t="s">
        <v>61</v>
      </c>
      <c r="E147" s="18"/>
      <c r="F147" s="22"/>
      <c r="G147" s="23"/>
      <c r="H147" s="552"/>
      <c r="I147" s="557"/>
    </row>
    <row r="148" spans="2:11" ht="14.1" customHeight="1">
      <c r="C148" s="16">
        <v>1</v>
      </c>
      <c r="D148" s="17"/>
      <c r="E148" s="18"/>
      <c r="F148" s="22"/>
      <c r="G148" s="31"/>
      <c r="H148" s="552"/>
      <c r="I148" s="558"/>
    </row>
    <row r="149" spans="2:11" ht="14.1" customHeight="1">
      <c r="C149" s="1099" t="s">
        <v>18</v>
      </c>
      <c r="D149" s="1100"/>
      <c r="E149" s="1100"/>
      <c r="F149" s="1100"/>
      <c r="G149" s="1100"/>
      <c r="H149" s="1101"/>
      <c r="I149" s="559"/>
    </row>
    <row r="150" spans="2:11" ht="14.1" customHeight="1">
      <c r="C150" s="16" t="s">
        <v>9</v>
      </c>
      <c r="D150" s="17" t="s">
        <v>62</v>
      </c>
      <c r="E150" s="28"/>
      <c r="F150" s="15"/>
      <c r="G150" s="28"/>
      <c r="H150" s="553"/>
      <c r="I150" s="557"/>
    </row>
    <row r="151" spans="2:11" ht="14.1" customHeight="1">
      <c r="C151" s="16"/>
      <c r="D151" s="17"/>
      <c r="E151" s="18"/>
      <c r="F151" s="22"/>
      <c r="G151" s="30"/>
      <c r="H151" s="529"/>
      <c r="I151" s="558"/>
    </row>
    <row r="152" spans="2:11" ht="14.1" customHeight="1">
      <c r="C152" s="1099" t="s">
        <v>63</v>
      </c>
      <c r="D152" s="1100"/>
      <c r="E152" s="1100"/>
      <c r="F152" s="1100"/>
      <c r="G152" s="1100"/>
      <c r="H152" s="1101"/>
      <c r="I152" s="559"/>
    </row>
    <row r="153" spans="2:11" ht="14.1" customHeight="1">
      <c r="C153" s="310" t="s">
        <v>12</v>
      </c>
      <c r="D153" s="1102" t="s">
        <v>64</v>
      </c>
      <c r="E153" s="1103"/>
      <c r="F153" s="1103"/>
      <c r="G153" s="1103"/>
      <c r="H153" s="1104"/>
      <c r="I153" s="559"/>
    </row>
    <row r="154" spans="2:11" ht="14.1" customHeight="1">
      <c r="C154" s="312" t="s">
        <v>13</v>
      </c>
      <c r="D154" s="1105" t="s">
        <v>65</v>
      </c>
      <c r="E154" s="1106"/>
      <c r="F154" s="1107"/>
      <c r="G154" s="34"/>
      <c r="H154" s="554">
        <f>I153</f>
        <v>0</v>
      </c>
      <c r="I154" s="560"/>
    </row>
    <row r="155" spans="2:11" ht="14.1" customHeight="1" thickBot="1">
      <c r="C155" s="311" t="s">
        <v>14</v>
      </c>
      <c r="D155" s="1096" t="s">
        <v>73</v>
      </c>
      <c r="E155" s="1097"/>
      <c r="F155" s="1097"/>
      <c r="G155" s="1097"/>
      <c r="H155" s="1098"/>
      <c r="I155" s="561"/>
    </row>
    <row r="156" spans="2:11" ht="14.1" customHeight="1"/>
    <row r="157" spans="2:11" s="277" customFormat="1" ht="27" customHeight="1" thickBot="1">
      <c r="B157" s="963">
        <v>10</v>
      </c>
      <c r="C157" s="1108" t="s">
        <v>914</v>
      </c>
      <c r="D157" s="1108"/>
      <c r="E157" s="1108"/>
      <c r="F157" s="1108"/>
      <c r="G157" s="1108"/>
      <c r="H157" s="1108"/>
      <c r="I157" s="1108"/>
      <c r="K157" s="277" t="s">
        <v>75</v>
      </c>
    </row>
    <row r="158" spans="2:11" ht="25.5">
      <c r="C158" s="1069" t="s">
        <v>0</v>
      </c>
      <c r="D158" s="1071" t="s">
        <v>1</v>
      </c>
      <c r="E158" s="1073" t="s">
        <v>2</v>
      </c>
      <c r="F158" s="1071" t="s">
        <v>3</v>
      </c>
      <c r="G158" s="1077" t="s">
        <v>4</v>
      </c>
      <c r="H158" s="550" t="s">
        <v>5</v>
      </c>
      <c r="I158" s="555" t="s">
        <v>59</v>
      </c>
    </row>
    <row r="159" spans="2:11" ht="13.5" thickBot="1">
      <c r="C159" s="1070"/>
      <c r="D159" s="1072"/>
      <c r="E159" s="1074"/>
      <c r="F159" s="1072"/>
      <c r="G159" s="1078"/>
      <c r="H159" s="551" t="s">
        <v>6</v>
      </c>
      <c r="I159" s="556" t="s">
        <v>6</v>
      </c>
    </row>
    <row r="160" spans="2:11" ht="14.1" customHeight="1">
      <c r="C160" s="16" t="s">
        <v>7</v>
      </c>
      <c r="D160" s="17" t="s">
        <v>77</v>
      </c>
      <c r="E160" s="18"/>
      <c r="F160" s="19"/>
      <c r="G160" s="9"/>
      <c r="H160" s="529"/>
      <c r="I160" s="557"/>
    </row>
    <row r="161" spans="2:11" ht="14.1" customHeight="1">
      <c r="C161" s="16">
        <v>1</v>
      </c>
      <c r="D161" s="17" t="s">
        <v>10</v>
      </c>
      <c r="E161" s="26" t="s">
        <v>16</v>
      </c>
      <c r="F161" s="19" t="s">
        <v>66</v>
      </c>
      <c r="G161" s="31">
        <v>4</v>
      </c>
      <c r="H161" s="529"/>
      <c r="I161" s="558"/>
    </row>
    <row r="162" spans="2:11" ht="14.1" customHeight="1">
      <c r="C162" s="16">
        <f>C161+1</f>
        <v>2</v>
      </c>
      <c r="D162" s="17" t="s">
        <v>26</v>
      </c>
      <c r="E162" s="26" t="s">
        <v>22</v>
      </c>
      <c r="F162" s="19" t="s">
        <v>66</v>
      </c>
      <c r="G162" s="31">
        <v>6</v>
      </c>
      <c r="H162" s="529"/>
      <c r="I162" s="558"/>
    </row>
    <row r="163" spans="2:11" ht="14.1" customHeight="1">
      <c r="C163" s="16">
        <f>C162+1</f>
        <v>3</v>
      </c>
      <c r="D163" s="17" t="s">
        <v>174</v>
      </c>
      <c r="E163" s="26" t="s">
        <v>21</v>
      </c>
      <c r="F163" s="19" t="s">
        <v>66</v>
      </c>
      <c r="G163" s="31">
        <v>0.6</v>
      </c>
      <c r="H163" s="529"/>
      <c r="I163" s="558"/>
    </row>
    <row r="164" spans="2:11" ht="14.1" customHeight="1">
      <c r="C164" s="16">
        <f>C163+1</f>
        <v>4</v>
      </c>
      <c r="D164" s="17" t="s">
        <v>11</v>
      </c>
      <c r="E164" s="26" t="s">
        <v>17</v>
      </c>
      <c r="F164" s="19" t="s">
        <v>66</v>
      </c>
      <c r="G164" s="31">
        <v>0.2</v>
      </c>
      <c r="H164" s="529"/>
      <c r="I164" s="558"/>
    </row>
    <row r="165" spans="2:11" ht="14.1" customHeight="1">
      <c r="C165" s="1099" t="s">
        <v>60</v>
      </c>
      <c r="D165" s="1100"/>
      <c r="E165" s="1100"/>
      <c r="F165" s="1100"/>
      <c r="G165" s="1100"/>
      <c r="H165" s="1101"/>
      <c r="I165" s="559"/>
    </row>
    <row r="166" spans="2:11" ht="14.1" customHeight="1">
      <c r="C166" s="16" t="s">
        <v>8</v>
      </c>
      <c r="D166" s="17" t="s">
        <v>61</v>
      </c>
      <c r="E166" s="18"/>
      <c r="F166" s="22"/>
      <c r="G166" s="23"/>
      <c r="H166" s="552"/>
      <c r="I166" s="557"/>
    </row>
    <row r="167" spans="2:11" ht="14.1" customHeight="1">
      <c r="C167" s="16">
        <v>1</v>
      </c>
      <c r="D167" s="17"/>
      <c r="E167" s="18"/>
      <c r="F167" s="22"/>
      <c r="G167" s="31"/>
      <c r="H167" s="552"/>
      <c r="I167" s="558"/>
    </row>
    <row r="168" spans="2:11" ht="14.1" customHeight="1">
      <c r="C168" s="1099" t="s">
        <v>18</v>
      </c>
      <c r="D168" s="1100"/>
      <c r="E168" s="1100"/>
      <c r="F168" s="1100"/>
      <c r="G168" s="1100"/>
      <c r="H168" s="1101"/>
      <c r="I168" s="559"/>
    </row>
    <row r="169" spans="2:11" ht="14.1" customHeight="1">
      <c r="C169" s="16" t="s">
        <v>9</v>
      </c>
      <c r="D169" s="17" t="s">
        <v>62</v>
      </c>
      <c r="E169" s="28"/>
      <c r="F169" s="15"/>
      <c r="G169" s="28"/>
      <c r="H169" s="553"/>
      <c r="I169" s="557"/>
    </row>
    <row r="170" spans="2:11" ht="14.1" customHeight="1">
      <c r="C170" s="16"/>
      <c r="D170" s="17"/>
      <c r="E170" s="18"/>
      <c r="F170" s="22"/>
      <c r="G170" s="30"/>
      <c r="H170" s="529"/>
      <c r="I170" s="558"/>
    </row>
    <row r="171" spans="2:11" ht="14.1" customHeight="1">
      <c r="C171" s="1099" t="s">
        <v>63</v>
      </c>
      <c r="D171" s="1100"/>
      <c r="E171" s="1100"/>
      <c r="F171" s="1100"/>
      <c r="G171" s="1100"/>
      <c r="H171" s="1101"/>
      <c r="I171" s="559"/>
    </row>
    <row r="172" spans="2:11" ht="14.1" customHeight="1">
      <c r="C172" s="310" t="s">
        <v>12</v>
      </c>
      <c r="D172" s="1102" t="s">
        <v>64</v>
      </c>
      <c r="E172" s="1103"/>
      <c r="F172" s="1103"/>
      <c r="G172" s="1103"/>
      <c r="H172" s="1104"/>
      <c r="I172" s="559"/>
    </row>
    <row r="173" spans="2:11" ht="14.1" customHeight="1">
      <c r="C173" s="312" t="s">
        <v>13</v>
      </c>
      <c r="D173" s="1105" t="s">
        <v>65</v>
      </c>
      <c r="E173" s="1106"/>
      <c r="F173" s="1107"/>
      <c r="G173" s="34"/>
      <c r="H173" s="554">
        <f>I172</f>
        <v>0</v>
      </c>
      <c r="I173" s="560"/>
    </row>
    <row r="174" spans="2:11" ht="14.1" customHeight="1" thickBot="1">
      <c r="C174" s="311" t="s">
        <v>14</v>
      </c>
      <c r="D174" s="1096" t="s">
        <v>73</v>
      </c>
      <c r="E174" s="1097"/>
      <c r="F174" s="1097"/>
      <c r="G174" s="1097"/>
      <c r="H174" s="1098"/>
      <c r="I174" s="561"/>
    </row>
    <row r="175" spans="2:11" ht="14.1" customHeight="1"/>
    <row r="176" spans="2:11" s="562" customFormat="1" ht="13.5" thickBot="1">
      <c r="B176" s="283">
        <v>11</v>
      </c>
      <c r="C176" s="279" t="s">
        <v>915</v>
      </c>
      <c r="E176" s="563"/>
      <c r="F176" s="283"/>
      <c r="G176" s="564"/>
      <c r="H176" s="565"/>
      <c r="I176" s="565"/>
      <c r="K176" s="562" t="s">
        <v>75</v>
      </c>
    </row>
    <row r="177" spans="3:9" ht="25.5">
      <c r="C177" s="1069" t="s">
        <v>0</v>
      </c>
      <c r="D177" s="1071" t="s">
        <v>1</v>
      </c>
      <c r="E177" s="1073" t="s">
        <v>2</v>
      </c>
      <c r="F177" s="1071" t="s">
        <v>3</v>
      </c>
      <c r="G177" s="1077" t="s">
        <v>4</v>
      </c>
      <c r="H177" s="550" t="s">
        <v>5</v>
      </c>
      <c r="I177" s="555" t="s">
        <v>59</v>
      </c>
    </row>
    <row r="178" spans="3:9" ht="13.5" thickBot="1">
      <c r="C178" s="1070"/>
      <c r="D178" s="1072"/>
      <c r="E178" s="1074"/>
      <c r="F178" s="1072"/>
      <c r="G178" s="1078"/>
      <c r="H178" s="551" t="s">
        <v>6</v>
      </c>
      <c r="I178" s="556" t="s">
        <v>6</v>
      </c>
    </row>
    <row r="179" spans="3:9" ht="14.1" customHeight="1">
      <c r="C179" s="16" t="s">
        <v>7</v>
      </c>
      <c r="D179" s="17" t="s">
        <v>74</v>
      </c>
      <c r="E179" s="18"/>
      <c r="F179" s="19"/>
      <c r="G179" s="9"/>
      <c r="H179" s="529"/>
      <c r="I179" s="557"/>
    </row>
    <row r="180" spans="3:9" ht="14.1" customHeight="1">
      <c r="C180" s="16">
        <v>1</v>
      </c>
      <c r="D180" s="17" t="s">
        <v>10</v>
      </c>
      <c r="E180" s="26" t="s">
        <v>16</v>
      </c>
      <c r="F180" s="19" t="s">
        <v>66</v>
      </c>
      <c r="G180" s="31">
        <v>1</v>
      </c>
      <c r="H180" s="529"/>
      <c r="I180" s="558"/>
    </row>
    <row r="181" spans="3:9" ht="14.1" customHeight="1">
      <c r="C181" s="16">
        <v>2</v>
      </c>
      <c r="D181" s="17" t="s">
        <v>11</v>
      </c>
      <c r="E181" s="26" t="s">
        <v>17</v>
      </c>
      <c r="F181" s="19" t="s">
        <v>66</v>
      </c>
      <c r="G181" s="31">
        <v>0.2</v>
      </c>
      <c r="H181" s="529"/>
      <c r="I181" s="558"/>
    </row>
    <row r="182" spans="3:9" ht="14.1" customHeight="1">
      <c r="C182" s="1099" t="s">
        <v>60</v>
      </c>
      <c r="D182" s="1100"/>
      <c r="E182" s="1100"/>
      <c r="F182" s="1100"/>
      <c r="G182" s="1100"/>
      <c r="H182" s="1101"/>
      <c r="I182" s="559"/>
    </row>
    <row r="183" spans="3:9" ht="14.1" customHeight="1">
      <c r="C183" s="16" t="s">
        <v>8</v>
      </c>
      <c r="D183" s="17" t="s">
        <v>61</v>
      </c>
      <c r="E183" s="18"/>
      <c r="F183" s="22"/>
      <c r="G183" s="23"/>
      <c r="H183" s="552"/>
      <c r="I183" s="557"/>
    </row>
    <row r="184" spans="3:9" ht="14.1" customHeight="1">
      <c r="C184" s="16">
        <v>1</v>
      </c>
      <c r="D184" s="17"/>
      <c r="E184" s="18"/>
      <c r="F184" s="22"/>
      <c r="G184" s="31"/>
      <c r="H184" s="552"/>
      <c r="I184" s="558"/>
    </row>
    <row r="185" spans="3:9" ht="14.1" customHeight="1">
      <c r="C185" s="1099" t="s">
        <v>18</v>
      </c>
      <c r="D185" s="1100"/>
      <c r="E185" s="1100"/>
      <c r="F185" s="1100"/>
      <c r="G185" s="1100"/>
      <c r="H185" s="1101"/>
      <c r="I185" s="559"/>
    </row>
    <row r="186" spans="3:9" ht="14.1" customHeight="1">
      <c r="C186" s="16" t="s">
        <v>9</v>
      </c>
      <c r="D186" s="17" t="s">
        <v>62</v>
      </c>
      <c r="E186" s="28"/>
      <c r="F186" s="15"/>
      <c r="G186" s="28"/>
      <c r="H186" s="553"/>
      <c r="I186" s="557"/>
    </row>
    <row r="187" spans="3:9" ht="14.1" customHeight="1">
      <c r="C187" s="16"/>
      <c r="D187" s="17"/>
      <c r="E187" s="18"/>
      <c r="F187" s="22"/>
      <c r="G187" s="30"/>
      <c r="H187" s="529"/>
      <c r="I187" s="558"/>
    </row>
    <row r="188" spans="3:9" ht="14.1" customHeight="1">
      <c r="C188" s="1099" t="s">
        <v>63</v>
      </c>
      <c r="D188" s="1100"/>
      <c r="E188" s="1100"/>
      <c r="F188" s="1100"/>
      <c r="G188" s="1100"/>
      <c r="H188" s="1101"/>
      <c r="I188" s="559"/>
    </row>
    <row r="189" spans="3:9" ht="14.1" customHeight="1">
      <c r="C189" s="310" t="s">
        <v>12</v>
      </c>
      <c r="D189" s="1102" t="s">
        <v>64</v>
      </c>
      <c r="E189" s="1103"/>
      <c r="F189" s="1103"/>
      <c r="G189" s="1103"/>
      <c r="H189" s="1104"/>
      <c r="I189" s="559"/>
    </row>
    <row r="190" spans="3:9" ht="14.1" customHeight="1">
      <c r="C190" s="312" t="s">
        <v>13</v>
      </c>
      <c r="D190" s="1105" t="s">
        <v>65</v>
      </c>
      <c r="E190" s="1106"/>
      <c r="F190" s="1107"/>
      <c r="G190" s="34"/>
      <c r="H190" s="554">
        <f>I189</f>
        <v>0</v>
      </c>
      <c r="I190" s="560"/>
    </row>
    <row r="191" spans="3:9" ht="14.1" customHeight="1" thickBot="1">
      <c r="C191" s="311" t="s">
        <v>14</v>
      </c>
      <c r="D191" s="1096" t="s">
        <v>73</v>
      </c>
      <c r="E191" s="1097"/>
      <c r="F191" s="1097"/>
      <c r="G191" s="1097"/>
      <c r="H191" s="1098"/>
      <c r="I191" s="561"/>
    </row>
    <row r="192" spans="3:9" ht="14.1" customHeight="1">
      <c r="C192" s="74"/>
      <c r="D192" s="958"/>
      <c r="E192" s="958"/>
      <c r="F192" s="958"/>
      <c r="G192" s="958"/>
      <c r="H192" s="958"/>
      <c r="I192" s="960"/>
    </row>
    <row r="193" spans="2:11" s="562" customFormat="1" ht="13.5" thickBot="1">
      <c r="B193" s="283">
        <v>12</v>
      </c>
      <c r="C193" s="562" t="s">
        <v>916</v>
      </c>
      <c r="E193" s="563"/>
      <c r="F193" s="283"/>
      <c r="G193" s="564"/>
      <c r="H193" s="565"/>
      <c r="I193" s="565"/>
      <c r="K193" s="562" t="s">
        <v>75</v>
      </c>
    </row>
    <row r="194" spans="2:11" ht="25.5">
      <c r="C194" s="1069" t="s">
        <v>0</v>
      </c>
      <c r="D194" s="1071" t="s">
        <v>1</v>
      </c>
      <c r="E194" s="1073" t="s">
        <v>2</v>
      </c>
      <c r="F194" s="1071" t="s">
        <v>3</v>
      </c>
      <c r="G194" s="1077" t="s">
        <v>4</v>
      </c>
      <c r="H194" s="550" t="s">
        <v>5</v>
      </c>
      <c r="I194" s="555" t="s">
        <v>59</v>
      </c>
    </row>
    <row r="195" spans="2:11" ht="13.5" thickBot="1">
      <c r="C195" s="1070"/>
      <c r="D195" s="1072"/>
      <c r="E195" s="1074"/>
      <c r="F195" s="1072"/>
      <c r="G195" s="1078"/>
      <c r="H195" s="551" t="s">
        <v>6</v>
      </c>
      <c r="I195" s="556" t="s">
        <v>6</v>
      </c>
    </row>
    <row r="196" spans="2:11" ht="14.1" customHeight="1">
      <c r="C196" s="16" t="s">
        <v>7</v>
      </c>
      <c r="D196" s="17" t="s">
        <v>74</v>
      </c>
      <c r="E196" s="18"/>
      <c r="F196" s="19"/>
      <c r="G196" s="9"/>
      <c r="H196" s="529"/>
      <c r="I196" s="557"/>
    </row>
    <row r="197" spans="2:11" ht="14.1" customHeight="1">
      <c r="C197" s="16">
        <v>1</v>
      </c>
      <c r="D197" s="17" t="s">
        <v>10</v>
      </c>
      <c r="E197" s="26" t="s">
        <v>16</v>
      </c>
      <c r="F197" s="19" t="s">
        <v>66</v>
      </c>
      <c r="G197" s="31">
        <v>0.15</v>
      </c>
      <c r="H197" s="529"/>
      <c r="I197" s="558"/>
    </row>
    <row r="198" spans="2:11" ht="14.1" customHeight="1">
      <c r="C198" s="16">
        <v>2</v>
      </c>
      <c r="D198" s="17" t="s">
        <v>11</v>
      </c>
      <c r="E198" s="26" t="s">
        <v>17</v>
      </c>
      <c r="F198" s="19" t="s">
        <v>66</v>
      </c>
      <c r="G198" s="31">
        <v>7.4999999999999997E-3</v>
      </c>
      <c r="H198" s="529"/>
      <c r="I198" s="558"/>
    </row>
    <row r="199" spans="2:11" ht="14.1" customHeight="1">
      <c r="C199" s="1099" t="s">
        <v>60</v>
      </c>
      <c r="D199" s="1100"/>
      <c r="E199" s="1100"/>
      <c r="F199" s="1100"/>
      <c r="G199" s="1100"/>
      <c r="H199" s="1101"/>
      <c r="I199" s="559"/>
    </row>
    <row r="200" spans="2:11" ht="14.1" customHeight="1">
      <c r="C200" s="16" t="s">
        <v>8</v>
      </c>
      <c r="D200" s="17" t="s">
        <v>61</v>
      </c>
      <c r="E200" s="18"/>
      <c r="F200" s="22"/>
      <c r="G200" s="23"/>
      <c r="H200" s="552"/>
      <c r="I200" s="557"/>
    </row>
    <row r="201" spans="2:11" ht="14.1" customHeight="1">
      <c r="C201" s="16">
        <v>1</v>
      </c>
      <c r="D201" s="17"/>
      <c r="E201" s="18"/>
      <c r="F201" s="22"/>
      <c r="G201" s="31"/>
      <c r="H201" s="552"/>
      <c r="I201" s="558"/>
    </row>
    <row r="202" spans="2:11" ht="14.1" customHeight="1">
      <c r="C202" s="1099" t="s">
        <v>18</v>
      </c>
      <c r="D202" s="1100"/>
      <c r="E202" s="1100"/>
      <c r="F202" s="1100"/>
      <c r="G202" s="1100"/>
      <c r="H202" s="1101"/>
      <c r="I202" s="559"/>
    </row>
    <row r="203" spans="2:11" ht="14.1" customHeight="1">
      <c r="C203" s="16" t="s">
        <v>9</v>
      </c>
      <c r="D203" s="17" t="s">
        <v>62</v>
      </c>
      <c r="E203" s="28"/>
      <c r="F203" s="15"/>
      <c r="G203" s="28"/>
      <c r="H203" s="553"/>
      <c r="I203" s="557"/>
    </row>
    <row r="204" spans="2:11" ht="14.1" customHeight="1">
      <c r="C204" s="16"/>
      <c r="D204" s="17"/>
      <c r="E204" s="18"/>
      <c r="F204" s="22"/>
      <c r="G204" s="30"/>
      <c r="H204" s="529"/>
      <c r="I204" s="558"/>
    </row>
    <row r="205" spans="2:11" ht="14.1" customHeight="1">
      <c r="C205" s="1099" t="s">
        <v>63</v>
      </c>
      <c r="D205" s="1100"/>
      <c r="E205" s="1100"/>
      <c r="F205" s="1100"/>
      <c r="G205" s="1100"/>
      <c r="H205" s="1101"/>
      <c r="I205" s="559"/>
    </row>
    <row r="206" spans="2:11" ht="14.1" customHeight="1">
      <c r="C206" s="310" t="s">
        <v>12</v>
      </c>
      <c r="D206" s="1102" t="s">
        <v>64</v>
      </c>
      <c r="E206" s="1103"/>
      <c r="F206" s="1103"/>
      <c r="G206" s="1103"/>
      <c r="H206" s="1104"/>
      <c r="I206" s="559"/>
    </row>
    <row r="207" spans="2:11" ht="14.1" customHeight="1">
      <c r="C207" s="312" t="s">
        <v>13</v>
      </c>
      <c r="D207" s="1105" t="s">
        <v>65</v>
      </c>
      <c r="E207" s="1106"/>
      <c r="F207" s="1107"/>
      <c r="G207" s="34"/>
      <c r="H207" s="554">
        <f>I206</f>
        <v>0</v>
      </c>
      <c r="I207" s="560"/>
    </row>
    <row r="208" spans="2:11" ht="14.1" customHeight="1" thickBot="1">
      <c r="C208" s="311" t="s">
        <v>14</v>
      </c>
      <c r="D208" s="1096" t="s">
        <v>73</v>
      </c>
      <c r="E208" s="1097"/>
      <c r="F208" s="1097"/>
      <c r="G208" s="1097"/>
      <c r="H208" s="1098"/>
      <c r="I208" s="561"/>
    </row>
    <row r="209" spans="2:11" ht="14.1" customHeight="1">
      <c r="C209" s="74"/>
      <c r="D209" s="958"/>
      <c r="E209" s="958"/>
      <c r="F209" s="958"/>
      <c r="G209" s="958"/>
      <c r="H209" s="958"/>
      <c r="I209" s="960"/>
    </row>
    <row r="210" spans="2:11" s="562" customFormat="1" ht="13.5" thickBot="1">
      <c r="B210" s="283">
        <v>13</v>
      </c>
      <c r="C210" s="279" t="s">
        <v>175</v>
      </c>
      <c r="E210" s="563"/>
      <c r="F210" s="283"/>
      <c r="G210" s="564"/>
      <c r="H210" s="565"/>
      <c r="I210" s="565"/>
      <c r="K210" s="562" t="s">
        <v>75</v>
      </c>
    </row>
    <row r="211" spans="2:11" ht="13.5" hidden="1" thickBot="1">
      <c r="C211" s="270"/>
    </row>
    <row r="212" spans="2:11" ht="25.5">
      <c r="C212" s="1069" t="s">
        <v>0</v>
      </c>
      <c r="D212" s="1071" t="s">
        <v>1</v>
      </c>
      <c r="E212" s="1073" t="s">
        <v>2</v>
      </c>
      <c r="F212" s="1071" t="s">
        <v>3</v>
      </c>
      <c r="G212" s="1077" t="s">
        <v>4</v>
      </c>
      <c r="H212" s="550" t="s">
        <v>5</v>
      </c>
      <c r="I212" s="555" t="s">
        <v>59</v>
      </c>
    </row>
    <row r="213" spans="2:11" ht="13.5" thickBot="1">
      <c r="C213" s="1070"/>
      <c r="D213" s="1072"/>
      <c r="E213" s="1074"/>
      <c r="F213" s="1072"/>
      <c r="G213" s="1078"/>
      <c r="H213" s="551" t="s">
        <v>6</v>
      </c>
      <c r="I213" s="556" t="s">
        <v>6</v>
      </c>
    </row>
    <row r="214" spans="2:11" ht="14.1" customHeight="1">
      <c r="C214" s="16" t="s">
        <v>7</v>
      </c>
      <c r="D214" s="17" t="s">
        <v>74</v>
      </c>
      <c r="E214" s="18"/>
      <c r="F214" s="19"/>
      <c r="G214" s="9"/>
      <c r="H214" s="529"/>
      <c r="I214" s="557"/>
    </row>
    <row r="215" spans="2:11" ht="14.1" customHeight="1">
      <c r="C215" s="16">
        <v>1</v>
      </c>
      <c r="D215" s="17" t="s">
        <v>10</v>
      </c>
      <c r="E215" s="26" t="s">
        <v>16</v>
      </c>
      <c r="F215" s="19" t="s">
        <v>66</v>
      </c>
      <c r="G215" s="31">
        <v>4</v>
      </c>
      <c r="H215" s="529"/>
      <c r="I215" s="558"/>
    </row>
    <row r="216" spans="2:11" ht="14.1" customHeight="1">
      <c r="C216" s="16">
        <f>C215+1</f>
        <v>2</v>
      </c>
      <c r="D216" s="17" t="s">
        <v>72</v>
      </c>
      <c r="E216" s="26" t="s">
        <v>22</v>
      </c>
      <c r="F216" s="19" t="s">
        <v>66</v>
      </c>
      <c r="G216" s="31">
        <v>12</v>
      </c>
      <c r="H216" s="529"/>
      <c r="I216" s="558"/>
    </row>
    <row r="217" spans="2:11" ht="14.1" customHeight="1">
      <c r="C217" s="16">
        <f>C216+1</f>
        <v>3</v>
      </c>
      <c r="D217" s="17" t="s">
        <v>174</v>
      </c>
      <c r="E217" s="26" t="s">
        <v>21</v>
      </c>
      <c r="F217" s="19" t="s">
        <v>66</v>
      </c>
      <c r="G217" s="31">
        <v>1.2</v>
      </c>
      <c r="H217" s="529"/>
      <c r="I217" s="558"/>
    </row>
    <row r="218" spans="2:11" ht="14.1" customHeight="1">
      <c r="C218" s="16">
        <f>C217+1</f>
        <v>4</v>
      </c>
      <c r="D218" s="17" t="s">
        <v>11</v>
      </c>
      <c r="E218" s="26" t="s">
        <v>17</v>
      </c>
      <c r="F218" s="19" t="s">
        <v>66</v>
      </c>
      <c r="G218" s="31">
        <v>0.2</v>
      </c>
      <c r="H218" s="529"/>
      <c r="I218" s="558"/>
    </row>
    <row r="219" spans="2:11" ht="14.1" customHeight="1">
      <c r="C219" s="1099" t="s">
        <v>60</v>
      </c>
      <c r="D219" s="1100"/>
      <c r="E219" s="1100"/>
      <c r="F219" s="1100"/>
      <c r="G219" s="1100"/>
      <c r="H219" s="1101"/>
      <c r="I219" s="559"/>
    </row>
    <row r="220" spans="2:11" ht="14.1" customHeight="1">
      <c r="C220" s="16" t="s">
        <v>8</v>
      </c>
      <c r="D220" s="17" t="s">
        <v>61</v>
      </c>
      <c r="E220" s="18"/>
      <c r="F220" s="22"/>
      <c r="G220" s="23"/>
      <c r="H220" s="552"/>
      <c r="I220" s="557"/>
    </row>
    <row r="221" spans="2:11" ht="14.1" customHeight="1">
      <c r="C221" s="16">
        <v>1</v>
      </c>
      <c r="D221" s="17" t="s">
        <v>78</v>
      </c>
      <c r="E221" s="18"/>
      <c r="F221" s="22" t="s">
        <v>56</v>
      </c>
      <c r="G221" s="31">
        <v>0.15</v>
      </c>
      <c r="H221" s="552"/>
      <c r="I221" s="558"/>
    </row>
    <row r="222" spans="2:11" ht="14.1" customHeight="1">
      <c r="C222" s="16">
        <f>C221+1</f>
        <v>2</v>
      </c>
      <c r="D222" s="17" t="s">
        <v>76</v>
      </c>
      <c r="E222" s="18"/>
      <c r="F222" s="22" t="s">
        <v>57</v>
      </c>
      <c r="G222" s="31">
        <v>0.1</v>
      </c>
      <c r="H222" s="552"/>
      <c r="I222" s="558"/>
    </row>
    <row r="223" spans="2:11" ht="14.1" customHeight="1">
      <c r="C223" s="16">
        <f>C222+1</f>
        <v>3</v>
      </c>
      <c r="D223" s="17" t="s">
        <v>79</v>
      </c>
      <c r="E223" s="18"/>
      <c r="F223" s="22" t="s">
        <v>80</v>
      </c>
      <c r="G223" s="31">
        <v>0.25</v>
      </c>
      <c r="H223" s="552"/>
      <c r="I223" s="558"/>
    </row>
    <row r="224" spans="2:11" ht="14.1" customHeight="1">
      <c r="C224" s="1099" t="s">
        <v>18</v>
      </c>
      <c r="D224" s="1100"/>
      <c r="E224" s="1100"/>
      <c r="F224" s="1100"/>
      <c r="G224" s="1100"/>
      <c r="H224" s="1101"/>
      <c r="I224" s="559"/>
    </row>
    <row r="225" spans="3:9" ht="14.1" customHeight="1">
      <c r="C225" s="16" t="s">
        <v>9</v>
      </c>
      <c r="D225" s="17" t="s">
        <v>62</v>
      </c>
      <c r="E225" s="28"/>
      <c r="F225" s="15"/>
      <c r="G225" s="28"/>
      <c r="H225" s="553"/>
      <c r="I225" s="557"/>
    </row>
    <row r="226" spans="3:9" ht="14.1" customHeight="1">
      <c r="C226" s="16"/>
      <c r="D226" s="17"/>
      <c r="E226" s="18"/>
      <c r="F226" s="22"/>
      <c r="G226" s="30"/>
      <c r="H226" s="529"/>
      <c r="I226" s="558"/>
    </row>
    <row r="227" spans="3:9" ht="14.1" customHeight="1">
      <c r="C227" s="1099" t="s">
        <v>63</v>
      </c>
      <c r="D227" s="1100"/>
      <c r="E227" s="1100"/>
      <c r="F227" s="1100"/>
      <c r="G227" s="1100"/>
      <c r="H227" s="1101"/>
      <c r="I227" s="559"/>
    </row>
    <row r="228" spans="3:9" ht="14.1" customHeight="1">
      <c r="C228" s="310" t="s">
        <v>12</v>
      </c>
      <c r="D228" s="1102" t="s">
        <v>64</v>
      </c>
      <c r="E228" s="1103"/>
      <c r="F228" s="1103"/>
      <c r="G228" s="1103"/>
      <c r="H228" s="1104"/>
      <c r="I228" s="559"/>
    </row>
    <row r="229" spans="3:9" ht="14.1" customHeight="1">
      <c r="C229" s="312" t="s">
        <v>13</v>
      </c>
      <c r="D229" s="1105" t="s">
        <v>65</v>
      </c>
      <c r="E229" s="1106"/>
      <c r="F229" s="1107"/>
      <c r="G229" s="34"/>
      <c r="H229" s="554">
        <f>I228</f>
        <v>0</v>
      </c>
      <c r="I229" s="560"/>
    </row>
    <row r="230" spans="3:9" ht="14.1" customHeight="1" thickBot="1">
      <c r="C230" s="311" t="s">
        <v>14</v>
      </c>
      <c r="D230" s="1096" t="s">
        <v>73</v>
      </c>
      <c r="E230" s="1097"/>
      <c r="F230" s="1097"/>
      <c r="G230" s="1097"/>
      <c r="H230" s="1098"/>
      <c r="I230" s="561"/>
    </row>
  </sheetData>
  <mergeCells count="142">
    <mergeCell ref="D13:H13"/>
    <mergeCell ref="D14:F14"/>
    <mergeCell ref="G14:H14"/>
    <mergeCell ref="D33:H33"/>
    <mergeCell ref="C8:F8"/>
    <mergeCell ref="G8:H8"/>
    <mergeCell ref="C10:F10"/>
    <mergeCell ref="G10:H10"/>
    <mergeCell ref="C12:F12"/>
    <mergeCell ref="G12:H12"/>
    <mergeCell ref="D31:H31"/>
    <mergeCell ref="G27:H27"/>
    <mergeCell ref="C30:F30"/>
    <mergeCell ref="G30:H30"/>
    <mergeCell ref="D32:F32"/>
    <mergeCell ref="G32:H32"/>
    <mergeCell ref="D15:H15"/>
    <mergeCell ref="C22:F22"/>
    <mergeCell ref="G22:H22"/>
    <mergeCell ref="C27:F27"/>
    <mergeCell ref="D50:H50"/>
    <mergeCell ref="D49:F49"/>
    <mergeCell ref="C36:C37"/>
    <mergeCell ref="D36:D37"/>
    <mergeCell ref="E36:E37"/>
    <mergeCell ref="F36:F37"/>
    <mergeCell ref="G36:G37"/>
    <mergeCell ref="C41:H41"/>
    <mergeCell ref="C44:H44"/>
    <mergeCell ref="C47:H47"/>
    <mergeCell ref="D48:H48"/>
    <mergeCell ref="C58:H58"/>
    <mergeCell ref="C62:H62"/>
    <mergeCell ref="C65:H65"/>
    <mergeCell ref="D66:H66"/>
    <mergeCell ref="D67:F67"/>
    <mergeCell ref="C53:C54"/>
    <mergeCell ref="D53:D54"/>
    <mergeCell ref="E53:E54"/>
    <mergeCell ref="F53:F54"/>
    <mergeCell ref="G53:G54"/>
    <mergeCell ref="C76:H76"/>
    <mergeCell ref="C79:H79"/>
    <mergeCell ref="C82:H82"/>
    <mergeCell ref="D83:H83"/>
    <mergeCell ref="D84:F84"/>
    <mergeCell ref="D68:H68"/>
    <mergeCell ref="C71:C72"/>
    <mergeCell ref="D71:D72"/>
    <mergeCell ref="E71:E72"/>
    <mergeCell ref="F71:F72"/>
    <mergeCell ref="G71:G72"/>
    <mergeCell ref="C93:H93"/>
    <mergeCell ref="C96:H96"/>
    <mergeCell ref="C99:H99"/>
    <mergeCell ref="D100:H100"/>
    <mergeCell ref="D101:F101"/>
    <mergeCell ref="C88:C89"/>
    <mergeCell ref="D88:D89"/>
    <mergeCell ref="E88:E89"/>
    <mergeCell ref="F88:F89"/>
    <mergeCell ref="G88:G89"/>
    <mergeCell ref="C110:H110"/>
    <mergeCell ref="C113:H113"/>
    <mergeCell ref="C116:H116"/>
    <mergeCell ref="D117:H117"/>
    <mergeCell ref="D118:F118"/>
    <mergeCell ref="D102:H102"/>
    <mergeCell ref="C105:C106"/>
    <mergeCell ref="D105:D106"/>
    <mergeCell ref="E105:E106"/>
    <mergeCell ref="F105:F106"/>
    <mergeCell ref="G105:G106"/>
    <mergeCell ref="C129:H129"/>
    <mergeCell ref="C132:H132"/>
    <mergeCell ref="C135:H135"/>
    <mergeCell ref="D136:H136"/>
    <mergeCell ref="D137:F137"/>
    <mergeCell ref="D119:H119"/>
    <mergeCell ref="C122:C123"/>
    <mergeCell ref="D122:D123"/>
    <mergeCell ref="E122:E123"/>
    <mergeCell ref="F122:F123"/>
    <mergeCell ref="G122:G123"/>
    <mergeCell ref="C146:H146"/>
    <mergeCell ref="C149:H149"/>
    <mergeCell ref="C152:H152"/>
    <mergeCell ref="D153:H153"/>
    <mergeCell ref="D154:F154"/>
    <mergeCell ref="D138:H138"/>
    <mergeCell ref="C141:C142"/>
    <mergeCell ref="D141:D142"/>
    <mergeCell ref="E141:E142"/>
    <mergeCell ref="F141:F142"/>
    <mergeCell ref="G141:G142"/>
    <mergeCell ref="C165:H165"/>
    <mergeCell ref="C168:H168"/>
    <mergeCell ref="C171:H171"/>
    <mergeCell ref="D172:H172"/>
    <mergeCell ref="D173:F173"/>
    <mergeCell ref="D155:H155"/>
    <mergeCell ref="C158:C159"/>
    <mergeCell ref="D158:D159"/>
    <mergeCell ref="E158:E159"/>
    <mergeCell ref="F158:F159"/>
    <mergeCell ref="G158:G159"/>
    <mergeCell ref="C157:I157"/>
    <mergeCell ref="C182:H182"/>
    <mergeCell ref="C185:H185"/>
    <mergeCell ref="C188:H188"/>
    <mergeCell ref="D189:H189"/>
    <mergeCell ref="D190:F190"/>
    <mergeCell ref="D174:H174"/>
    <mergeCell ref="C177:C178"/>
    <mergeCell ref="D177:D178"/>
    <mergeCell ref="E177:E178"/>
    <mergeCell ref="F177:F178"/>
    <mergeCell ref="G177:G178"/>
    <mergeCell ref="D85:H85"/>
    <mergeCell ref="D230:H230"/>
    <mergeCell ref="C219:H219"/>
    <mergeCell ref="C224:H224"/>
    <mergeCell ref="C227:H227"/>
    <mergeCell ref="D228:H228"/>
    <mergeCell ref="D229:F229"/>
    <mergeCell ref="D208:H208"/>
    <mergeCell ref="C212:C213"/>
    <mergeCell ref="D212:D213"/>
    <mergeCell ref="E212:E213"/>
    <mergeCell ref="F212:F213"/>
    <mergeCell ref="G212:G213"/>
    <mergeCell ref="C199:H199"/>
    <mergeCell ref="C202:H202"/>
    <mergeCell ref="C205:H205"/>
    <mergeCell ref="D206:H206"/>
    <mergeCell ref="D207:F207"/>
    <mergeCell ref="D191:H191"/>
    <mergeCell ref="C194:C195"/>
    <mergeCell ref="D194:D195"/>
    <mergeCell ref="E194:E195"/>
    <mergeCell ref="F194:F195"/>
    <mergeCell ref="G194:G195"/>
  </mergeCells>
  <printOptions horizontalCentered="1"/>
  <pageMargins left="0.39370078740157483" right="0.74803149606299213" top="0.74803149606299213" bottom="0.98425196850393704" header="0.31496062992125984" footer="0.31496062992125984"/>
  <pageSetup paperSize="258" scale="95" firstPageNumber="9" fitToHeight="0" orientation="portrait" useFirstPageNumber="1" horizontalDpi="4294967293" r:id="rId1"/>
  <headerFooter>
    <oddFooter>&amp;R&amp;P</oddFooter>
  </headerFooter>
  <rowBreaks count="4" manualBreakCount="4">
    <brk id="50" max="16383" man="1"/>
    <brk id="102" max="16383" man="1"/>
    <brk id="155" max="16383" man="1"/>
    <brk id="208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3" tint="0.59999389629810485"/>
  </sheetPr>
  <dimension ref="B2:K303"/>
  <sheetViews>
    <sheetView showGridLines="0" view="pageBreakPreview" zoomScaleNormal="70" zoomScaleSheetLayoutView="100" workbookViewId="0">
      <selection activeCell="D146" sqref="D146:H146"/>
    </sheetView>
  </sheetViews>
  <sheetFormatPr defaultRowHeight="12.75"/>
  <cols>
    <col min="1" max="1" width="9.140625" style="338"/>
    <col min="2" max="2" width="4.7109375" style="11" customWidth="1"/>
    <col min="3" max="3" width="4.5703125" style="11" customWidth="1"/>
    <col min="4" max="4" width="31.42578125" style="338" bestFit="1" customWidth="1"/>
    <col min="5" max="5" width="7.140625" style="3" bestFit="1" customWidth="1"/>
    <col min="6" max="6" width="8.85546875" style="11" customWidth="1"/>
    <col min="7" max="7" width="11.7109375" style="342" customWidth="1"/>
    <col min="8" max="8" width="17.140625" style="525" customWidth="1"/>
    <col min="9" max="9" width="16.42578125" style="339" customWidth="1"/>
    <col min="10" max="16384" width="9.140625" style="338"/>
  </cols>
  <sheetData>
    <row r="2" spans="2:9">
      <c r="B2" s="340" t="s">
        <v>456</v>
      </c>
      <c r="C2" s="341" t="str">
        <f>REKAP!C47</f>
        <v>PEKERJAAN TANAH</v>
      </c>
    </row>
    <row r="3" spans="2:9" s="570" customFormat="1" ht="16.5" thickBot="1">
      <c r="B3" s="541">
        <v>1</v>
      </c>
      <c r="C3" s="569" t="s">
        <v>970</v>
      </c>
      <c r="H3" s="573"/>
    </row>
    <row r="4" spans="2:9" s="520" customFormat="1" ht="26.25" thickBot="1">
      <c r="B4" s="519"/>
      <c r="C4" s="334" t="s">
        <v>0</v>
      </c>
      <c r="D4" s="335" t="s">
        <v>1</v>
      </c>
      <c r="E4" s="335" t="s">
        <v>2</v>
      </c>
      <c r="F4" s="335" t="s">
        <v>3</v>
      </c>
      <c r="G4" s="431" t="s">
        <v>4</v>
      </c>
      <c r="H4" s="335" t="s">
        <v>952</v>
      </c>
      <c r="I4" s="337" t="s">
        <v>956</v>
      </c>
    </row>
    <row r="5" spans="2:9" s="309" customFormat="1">
      <c r="B5" s="308"/>
      <c r="C5" s="491" t="s">
        <v>7</v>
      </c>
      <c r="D5" s="365" t="s">
        <v>810</v>
      </c>
      <c r="E5" s="382"/>
      <c r="F5" s="382"/>
      <c r="G5" s="382"/>
      <c r="H5" s="382"/>
      <c r="I5" s="384"/>
    </row>
    <row r="6" spans="2:9" s="309" customFormat="1">
      <c r="B6" s="308"/>
      <c r="C6" s="385"/>
      <c r="D6" s="365" t="s">
        <v>10</v>
      </c>
      <c r="E6" s="351" t="s">
        <v>16</v>
      </c>
      <c r="F6" s="351" t="s">
        <v>726</v>
      </c>
      <c r="G6" s="352">
        <v>0.75</v>
      </c>
      <c r="H6" s="382"/>
      <c r="I6" s="384"/>
    </row>
    <row r="7" spans="2:9" s="309" customFormat="1">
      <c r="B7" s="308"/>
      <c r="C7" s="386"/>
      <c r="D7" s="387" t="s">
        <v>11</v>
      </c>
      <c r="E7" s="354" t="s">
        <v>17</v>
      </c>
      <c r="F7" s="354" t="s">
        <v>726</v>
      </c>
      <c r="G7" s="355">
        <v>2.5000000000000001E-2</v>
      </c>
      <c r="H7" s="388"/>
      <c r="I7" s="389"/>
    </row>
    <row r="8" spans="2:9" s="309" customFormat="1">
      <c r="B8" s="308"/>
      <c r="C8" s="432"/>
      <c r="D8" s="391"/>
      <c r="E8" s="391"/>
      <c r="F8" s="437"/>
      <c r="G8" s="1027" t="s">
        <v>727</v>
      </c>
      <c r="H8" s="1028"/>
      <c r="I8" s="435"/>
    </row>
    <row r="9" spans="2:9" s="309" customFormat="1">
      <c r="B9" s="308"/>
      <c r="C9" s="457" t="s">
        <v>8</v>
      </c>
      <c r="D9" s="458" t="s">
        <v>811</v>
      </c>
      <c r="E9" s="393"/>
      <c r="F9" s="393"/>
      <c r="G9" s="462"/>
      <c r="H9" s="497"/>
      <c r="I9" s="436"/>
    </row>
    <row r="10" spans="2:9" s="309" customFormat="1">
      <c r="B10" s="308"/>
      <c r="C10" s="385"/>
      <c r="D10" s="382"/>
      <c r="E10" s="382"/>
      <c r="F10" s="382"/>
      <c r="G10" s="498"/>
      <c r="H10" s="499"/>
      <c r="I10" s="389"/>
    </row>
    <row r="11" spans="2:9" s="309" customFormat="1" ht="12" customHeight="1">
      <c r="B11" s="308"/>
      <c r="C11" s="1024"/>
      <c r="D11" s="1025"/>
      <c r="E11" s="1025"/>
      <c r="F11" s="1026"/>
      <c r="G11" s="1027" t="s">
        <v>728</v>
      </c>
      <c r="H11" s="1028"/>
      <c r="I11" s="435"/>
    </row>
    <row r="12" spans="2:9" s="309" customFormat="1">
      <c r="B12" s="308"/>
      <c r="C12" s="457" t="s">
        <v>9</v>
      </c>
      <c r="D12" s="458" t="s">
        <v>815</v>
      </c>
      <c r="E12" s="393"/>
      <c r="F12" s="393"/>
      <c r="G12" s="393"/>
      <c r="H12" s="393"/>
      <c r="I12" s="436"/>
    </row>
    <row r="13" spans="2:9" s="309" customFormat="1">
      <c r="B13" s="308"/>
      <c r="C13" s="386"/>
      <c r="D13" s="388"/>
      <c r="E13" s="388"/>
      <c r="F13" s="388"/>
      <c r="G13" s="388"/>
      <c r="H13" s="388"/>
      <c r="I13" s="389"/>
    </row>
    <row r="14" spans="2:9" s="309" customFormat="1">
      <c r="B14" s="308"/>
      <c r="C14" s="1024"/>
      <c r="D14" s="1025"/>
      <c r="E14" s="1025"/>
      <c r="F14" s="1026"/>
      <c r="G14" s="1027" t="s">
        <v>729</v>
      </c>
      <c r="H14" s="1028"/>
      <c r="I14" s="435"/>
    </row>
    <row r="15" spans="2:9" s="309" customFormat="1">
      <c r="B15" s="308"/>
      <c r="C15" s="377" t="s">
        <v>12</v>
      </c>
      <c r="D15" s="1039" t="s">
        <v>730</v>
      </c>
      <c r="E15" s="1035"/>
      <c r="F15" s="1035"/>
      <c r="G15" s="1035"/>
      <c r="H15" s="1051"/>
      <c r="I15" s="403"/>
    </row>
    <row r="16" spans="2:9" s="309" customFormat="1">
      <c r="B16" s="308"/>
      <c r="C16" s="377" t="s">
        <v>13</v>
      </c>
      <c r="D16" s="1036" t="s">
        <v>731</v>
      </c>
      <c r="E16" s="1037"/>
      <c r="F16" s="1038"/>
      <c r="G16" s="1039" t="s">
        <v>740</v>
      </c>
      <c r="H16" s="1051"/>
      <c r="I16" s="403"/>
    </row>
    <row r="17" spans="2:9" s="309" customFormat="1" ht="13.5" thickBot="1">
      <c r="B17" s="308"/>
      <c r="C17" s="456" t="s">
        <v>14</v>
      </c>
      <c r="D17" s="1029" t="s">
        <v>817</v>
      </c>
      <c r="E17" s="1030"/>
      <c r="F17" s="1030"/>
      <c r="G17" s="1030"/>
      <c r="H17" s="1031"/>
      <c r="I17" s="404"/>
    </row>
    <row r="18" spans="2:9" s="309" customFormat="1">
      <c r="B18" s="308"/>
      <c r="C18" s="11"/>
      <c r="D18" s="338"/>
      <c r="E18" s="338"/>
      <c r="F18" s="338"/>
      <c r="G18" s="338"/>
      <c r="H18" s="526"/>
      <c r="I18" s="338"/>
    </row>
    <row r="19" spans="2:9" s="309" customFormat="1">
      <c r="B19" s="308"/>
      <c r="C19" s="11"/>
      <c r="D19" s="338"/>
      <c r="E19" s="338"/>
      <c r="F19" s="338"/>
      <c r="G19" s="338"/>
      <c r="H19" s="526"/>
      <c r="I19" s="338"/>
    </row>
    <row r="20" spans="2:9" s="570" customFormat="1" ht="16.5" thickBot="1">
      <c r="B20" s="541">
        <v>2</v>
      </c>
      <c r="C20" s="569" t="s">
        <v>971</v>
      </c>
      <c r="H20" s="573"/>
    </row>
    <row r="21" spans="2:9" s="520" customFormat="1" ht="26.25" thickBot="1">
      <c r="B21" s="519"/>
      <c r="C21" s="334" t="s">
        <v>0</v>
      </c>
      <c r="D21" s="335" t="s">
        <v>1</v>
      </c>
      <c r="E21" s="335" t="s">
        <v>2</v>
      </c>
      <c r="F21" s="335" t="s">
        <v>3</v>
      </c>
      <c r="G21" s="431" t="s">
        <v>4</v>
      </c>
      <c r="H21" s="335" t="s">
        <v>955</v>
      </c>
      <c r="I21" s="337" t="s">
        <v>953</v>
      </c>
    </row>
    <row r="22" spans="2:9" s="309" customFormat="1" ht="14.1" customHeight="1">
      <c r="B22" s="308"/>
      <c r="C22" s="491" t="s">
        <v>7</v>
      </c>
      <c r="D22" s="365" t="s">
        <v>810</v>
      </c>
      <c r="E22" s="382"/>
      <c r="F22" s="382"/>
      <c r="G22" s="382"/>
      <c r="H22" s="382"/>
      <c r="I22" s="384"/>
    </row>
    <row r="23" spans="2:9" s="309" customFormat="1" ht="14.1" customHeight="1">
      <c r="B23" s="308"/>
      <c r="C23" s="385"/>
      <c r="D23" s="365" t="s">
        <v>10</v>
      </c>
      <c r="E23" s="351" t="s">
        <v>16</v>
      </c>
      <c r="F23" s="351" t="s">
        <v>726</v>
      </c>
      <c r="G23" s="352">
        <v>0.9</v>
      </c>
      <c r="H23" s="382"/>
      <c r="I23" s="384"/>
    </row>
    <row r="24" spans="2:9" s="309" customFormat="1" ht="14.1" customHeight="1">
      <c r="B24" s="308"/>
      <c r="C24" s="386"/>
      <c r="D24" s="387" t="s">
        <v>11</v>
      </c>
      <c r="E24" s="354" t="s">
        <v>17</v>
      </c>
      <c r="F24" s="354" t="s">
        <v>726</v>
      </c>
      <c r="G24" s="355">
        <v>4.4999999999999998E-2</v>
      </c>
      <c r="H24" s="388"/>
      <c r="I24" s="389"/>
    </row>
    <row r="25" spans="2:9" s="309" customFormat="1" ht="14.1" customHeight="1">
      <c r="B25" s="308"/>
      <c r="C25" s="1024"/>
      <c r="D25" s="1025"/>
      <c r="E25" s="1025"/>
      <c r="F25" s="1026"/>
      <c r="G25" s="1027" t="s">
        <v>727</v>
      </c>
      <c r="H25" s="1028"/>
      <c r="I25" s="435"/>
    </row>
    <row r="26" spans="2:9" s="309" customFormat="1" ht="14.1" customHeight="1">
      <c r="B26" s="308"/>
      <c r="C26" s="457" t="s">
        <v>8</v>
      </c>
      <c r="D26" s="458" t="s">
        <v>811</v>
      </c>
      <c r="E26" s="393"/>
      <c r="F26" s="393"/>
      <c r="G26" s="393"/>
      <c r="H26" s="393"/>
      <c r="I26" s="436"/>
    </row>
    <row r="27" spans="2:9" s="309" customFormat="1" ht="14.1" customHeight="1">
      <c r="B27" s="308"/>
      <c r="C27" s="386"/>
      <c r="D27" s="388"/>
      <c r="E27" s="388"/>
      <c r="F27" s="388"/>
      <c r="G27" s="388"/>
      <c r="H27" s="388"/>
      <c r="I27" s="389"/>
    </row>
    <row r="28" spans="2:9" s="309" customFormat="1" ht="14.1" customHeight="1">
      <c r="B28" s="308"/>
      <c r="C28" s="1024"/>
      <c r="D28" s="1025"/>
      <c r="E28" s="1025"/>
      <c r="F28" s="1026"/>
      <c r="G28" s="1027" t="s">
        <v>728</v>
      </c>
      <c r="H28" s="1028"/>
      <c r="I28" s="435"/>
    </row>
    <row r="29" spans="2:9" s="309" customFormat="1" ht="14.1" customHeight="1">
      <c r="B29" s="308"/>
      <c r="C29" s="457" t="s">
        <v>9</v>
      </c>
      <c r="D29" s="458" t="s">
        <v>815</v>
      </c>
      <c r="E29" s="393"/>
      <c r="F29" s="393"/>
      <c r="G29" s="393"/>
      <c r="H29" s="393"/>
      <c r="I29" s="436"/>
    </row>
    <row r="30" spans="2:9" s="309" customFormat="1" ht="14.1" customHeight="1">
      <c r="B30" s="308"/>
      <c r="C30" s="386"/>
      <c r="D30" s="388"/>
      <c r="E30" s="388"/>
      <c r="F30" s="388"/>
      <c r="G30" s="388"/>
      <c r="H30" s="388"/>
      <c r="I30" s="389"/>
    </row>
    <row r="31" spans="2:9" s="309" customFormat="1" ht="14.1" customHeight="1">
      <c r="B31" s="308"/>
      <c r="C31" s="432"/>
      <c r="D31" s="391"/>
      <c r="E31" s="391"/>
      <c r="F31" s="437"/>
      <c r="G31" s="1027" t="s">
        <v>729</v>
      </c>
      <c r="H31" s="1028"/>
      <c r="I31" s="435"/>
    </row>
    <row r="32" spans="2:9" s="309" customFormat="1" ht="14.1" customHeight="1">
      <c r="B32" s="308"/>
      <c r="C32" s="376" t="s">
        <v>12</v>
      </c>
      <c r="D32" s="1022" t="s">
        <v>730</v>
      </c>
      <c r="E32" s="1034"/>
      <c r="F32" s="1034"/>
      <c r="G32" s="1034"/>
      <c r="H32" s="1023"/>
      <c r="I32" s="401"/>
    </row>
    <row r="33" spans="2:9" s="309" customFormat="1" ht="14.1" customHeight="1">
      <c r="B33" s="308"/>
      <c r="C33" s="377" t="s">
        <v>13</v>
      </c>
      <c r="D33" s="1036" t="s">
        <v>816</v>
      </c>
      <c r="E33" s="1037"/>
      <c r="F33" s="1038"/>
      <c r="G33" s="1039" t="s">
        <v>740</v>
      </c>
      <c r="H33" s="1051"/>
      <c r="I33" s="403"/>
    </row>
    <row r="34" spans="2:9" s="309" customFormat="1" ht="14.1" customHeight="1" thickBot="1">
      <c r="B34" s="308"/>
      <c r="C34" s="456" t="s">
        <v>14</v>
      </c>
      <c r="D34" s="1029" t="s">
        <v>817</v>
      </c>
      <c r="E34" s="1030"/>
      <c r="F34" s="1030"/>
      <c r="G34" s="1030"/>
      <c r="H34" s="1031"/>
      <c r="I34" s="404"/>
    </row>
    <row r="35" spans="2:9" s="309" customFormat="1">
      <c r="B35" s="308"/>
      <c r="C35" s="461"/>
      <c r="D35" s="446"/>
      <c r="E35" s="446"/>
      <c r="F35" s="446"/>
      <c r="G35" s="446"/>
      <c r="H35" s="446"/>
      <c r="I35" s="440"/>
    </row>
    <row r="36" spans="2:9" s="570" customFormat="1" ht="16.5" thickBot="1">
      <c r="B36" s="541">
        <v>3</v>
      </c>
      <c r="C36" s="569" t="s">
        <v>972</v>
      </c>
      <c r="H36" s="573"/>
    </row>
    <row r="37" spans="2:9" s="520" customFormat="1" ht="26.25" thickBot="1">
      <c r="B37" s="519"/>
      <c r="C37" s="334" t="s">
        <v>0</v>
      </c>
      <c r="D37" s="335" t="s">
        <v>1</v>
      </c>
      <c r="E37" s="335" t="s">
        <v>2</v>
      </c>
      <c r="F37" s="335" t="s">
        <v>3</v>
      </c>
      <c r="G37" s="431" t="s">
        <v>4</v>
      </c>
      <c r="H37" s="335" t="s">
        <v>955</v>
      </c>
      <c r="I37" s="337" t="s">
        <v>954</v>
      </c>
    </row>
    <row r="38" spans="2:9" s="309" customFormat="1" ht="14.1" customHeight="1">
      <c r="B38" s="308"/>
      <c r="C38" s="491" t="s">
        <v>7</v>
      </c>
      <c r="D38" s="365" t="s">
        <v>810</v>
      </c>
      <c r="E38" s="382"/>
      <c r="F38" s="382"/>
      <c r="G38" s="382"/>
      <c r="H38" s="382"/>
      <c r="I38" s="384"/>
    </row>
    <row r="39" spans="2:9" s="309" customFormat="1" ht="14.1" customHeight="1">
      <c r="B39" s="308"/>
      <c r="C39" s="385"/>
      <c r="D39" s="365" t="s">
        <v>10</v>
      </c>
      <c r="E39" s="351" t="s">
        <v>16</v>
      </c>
      <c r="F39" s="351" t="s">
        <v>726</v>
      </c>
      <c r="G39" s="352">
        <v>1.05</v>
      </c>
      <c r="H39" s="382"/>
      <c r="I39" s="384"/>
    </row>
    <row r="40" spans="2:9" s="309" customFormat="1" ht="14.1" customHeight="1">
      <c r="B40" s="308"/>
      <c r="C40" s="386"/>
      <c r="D40" s="387" t="s">
        <v>11</v>
      </c>
      <c r="E40" s="354" t="s">
        <v>17</v>
      </c>
      <c r="F40" s="354" t="s">
        <v>726</v>
      </c>
      <c r="G40" s="355">
        <v>6.7000000000000004E-2</v>
      </c>
      <c r="H40" s="388"/>
      <c r="I40" s="389"/>
    </row>
    <row r="41" spans="2:9" s="309" customFormat="1" ht="14.1" customHeight="1">
      <c r="B41" s="308"/>
      <c r="C41" s="432"/>
      <c r="D41" s="391"/>
      <c r="E41" s="391"/>
      <c r="F41" s="437"/>
      <c r="G41" s="1027" t="s">
        <v>727</v>
      </c>
      <c r="H41" s="1028"/>
      <c r="I41" s="435"/>
    </row>
    <row r="42" spans="2:9" s="309" customFormat="1" ht="14.1" customHeight="1">
      <c r="B42" s="308"/>
      <c r="C42" s="457" t="s">
        <v>8</v>
      </c>
      <c r="D42" s="458" t="s">
        <v>811</v>
      </c>
      <c r="E42" s="393"/>
      <c r="F42" s="393"/>
      <c r="G42" s="393"/>
      <c r="H42" s="393"/>
      <c r="I42" s="436"/>
    </row>
    <row r="43" spans="2:9" s="309" customFormat="1" ht="14.1" customHeight="1">
      <c r="B43" s="308"/>
      <c r="C43" s="386"/>
      <c r="D43" s="388"/>
      <c r="E43" s="388"/>
      <c r="F43" s="388"/>
      <c r="G43" s="388"/>
      <c r="H43" s="388"/>
      <c r="I43" s="389"/>
    </row>
    <row r="44" spans="2:9" s="309" customFormat="1" ht="14.1" customHeight="1">
      <c r="B44" s="308"/>
      <c r="C44" s="432"/>
      <c r="D44" s="391"/>
      <c r="E44" s="391"/>
      <c r="F44" s="437"/>
      <c r="G44" s="1027" t="s">
        <v>728</v>
      </c>
      <c r="H44" s="1028"/>
      <c r="I44" s="435"/>
    </row>
    <row r="45" spans="2:9" s="309" customFormat="1" ht="14.1" customHeight="1">
      <c r="B45" s="308"/>
      <c r="C45" s="457" t="s">
        <v>9</v>
      </c>
      <c r="D45" s="458" t="s">
        <v>815</v>
      </c>
      <c r="E45" s="393"/>
      <c r="F45" s="393"/>
      <c r="G45" s="393"/>
      <c r="H45" s="393"/>
      <c r="I45" s="436"/>
    </row>
    <row r="46" spans="2:9" s="309" customFormat="1" ht="14.1" customHeight="1">
      <c r="B46" s="308"/>
      <c r="C46" s="386"/>
      <c r="D46" s="388"/>
      <c r="E46" s="388"/>
      <c r="F46" s="388"/>
      <c r="G46" s="388"/>
      <c r="H46" s="388"/>
      <c r="I46" s="389"/>
    </row>
    <row r="47" spans="2:9" s="309" customFormat="1" ht="14.1" customHeight="1">
      <c r="B47" s="308"/>
      <c r="C47" s="432"/>
      <c r="D47" s="391"/>
      <c r="E47" s="391"/>
      <c r="F47" s="437"/>
      <c r="G47" s="1027" t="s">
        <v>729</v>
      </c>
      <c r="H47" s="1028"/>
      <c r="I47" s="435"/>
    </row>
    <row r="48" spans="2:9" s="309" customFormat="1" ht="14.1" customHeight="1">
      <c r="B48" s="308"/>
      <c r="C48" s="376" t="s">
        <v>12</v>
      </c>
      <c r="D48" s="1022" t="s">
        <v>730</v>
      </c>
      <c r="E48" s="1034"/>
      <c r="F48" s="1034"/>
      <c r="G48" s="1034"/>
      <c r="H48" s="1023"/>
      <c r="I48" s="401"/>
    </row>
    <row r="49" spans="2:9" s="309" customFormat="1" ht="14.1" customHeight="1">
      <c r="B49" s="308"/>
      <c r="C49" s="377" t="s">
        <v>13</v>
      </c>
      <c r="D49" s="1036" t="s">
        <v>731</v>
      </c>
      <c r="E49" s="1037"/>
      <c r="F49" s="1038"/>
      <c r="G49" s="1039" t="s">
        <v>740</v>
      </c>
      <c r="H49" s="1051"/>
      <c r="I49" s="403"/>
    </row>
    <row r="50" spans="2:9" s="309" customFormat="1" ht="14.1" customHeight="1" thickBot="1">
      <c r="B50" s="308"/>
      <c r="C50" s="456" t="s">
        <v>14</v>
      </c>
      <c r="D50" s="1029" t="s">
        <v>817</v>
      </c>
      <c r="E50" s="1030"/>
      <c r="F50" s="1030"/>
      <c r="G50" s="1030"/>
      <c r="H50" s="1031"/>
      <c r="I50" s="404"/>
    </row>
    <row r="51" spans="2:9" s="309" customFormat="1">
      <c r="B51" s="308"/>
      <c r="C51" s="461"/>
      <c r="D51" s="446"/>
      <c r="E51" s="446"/>
      <c r="F51" s="446"/>
      <c r="G51" s="446"/>
      <c r="H51" s="446"/>
      <c r="I51" s="440"/>
    </row>
    <row r="52" spans="2:9" s="309" customFormat="1">
      <c r="B52" s="308"/>
      <c r="C52" s="461"/>
      <c r="D52" s="446"/>
      <c r="E52" s="446"/>
      <c r="F52" s="446"/>
      <c r="G52" s="446"/>
      <c r="H52" s="446"/>
      <c r="I52" s="440"/>
    </row>
    <row r="53" spans="2:9" s="570" customFormat="1" ht="16.5" thickBot="1">
      <c r="B53" s="541">
        <v>4</v>
      </c>
      <c r="C53" s="569" t="s">
        <v>973</v>
      </c>
      <c r="H53" s="573"/>
    </row>
    <row r="54" spans="2:9" s="520" customFormat="1" ht="26.25" thickBot="1">
      <c r="B54" s="519"/>
      <c r="C54" s="334" t="s">
        <v>0</v>
      </c>
      <c r="D54" s="335" t="s">
        <v>1</v>
      </c>
      <c r="E54" s="335" t="s">
        <v>2</v>
      </c>
      <c r="F54" s="335" t="s">
        <v>3</v>
      </c>
      <c r="G54" s="431" t="s">
        <v>4</v>
      </c>
      <c r="H54" s="335" t="s">
        <v>952</v>
      </c>
      <c r="I54" s="337" t="s">
        <v>954</v>
      </c>
    </row>
    <row r="55" spans="2:9" s="309" customFormat="1" ht="14.1" customHeight="1">
      <c r="B55" s="308"/>
      <c r="C55" s="491" t="s">
        <v>7</v>
      </c>
      <c r="D55" s="365" t="s">
        <v>810</v>
      </c>
      <c r="E55" s="382"/>
      <c r="F55" s="382"/>
      <c r="G55" s="382"/>
      <c r="H55" s="382"/>
      <c r="I55" s="384"/>
    </row>
    <row r="56" spans="2:9" s="309" customFormat="1" ht="14.1" customHeight="1">
      <c r="B56" s="308"/>
      <c r="C56" s="385"/>
      <c r="D56" s="365" t="s">
        <v>10</v>
      </c>
      <c r="E56" s="351" t="s">
        <v>16</v>
      </c>
      <c r="F56" s="351" t="s">
        <v>726</v>
      </c>
      <c r="G56" s="352">
        <v>1</v>
      </c>
      <c r="H56" s="382"/>
      <c r="I56" s="384"/>
    </row>
    <row r="57" spans="2:9" s="309" customFormat="1" ht="14.1" customHeight="1">
      <c r="B57" s="308"/>
      <c r="C57" s="386"/>
      <c r="D57" s="387" t="s">
        <v>11</v>
      </c>
      <c r="E57" s="354" t="s">
        <v>17</v>
      </c>
      <c r="F57" s="354" t="s">
        <v>726</v>
      </c>
      <c r="G57" s="355">
        <v>3.2000000000000001E-2</v>
      </c>
      <c r="H57" s="388"/>
      <c r="I57" s="389"/>
    </row>
    <row r="58" spans="2:9" s="309" customFormat="1" ht="14.1" customHeight="1">
      <c r="B58" s="308"/>
      <c r="C58" s="432"/>
      <c r="D58" s="391"/>
      <c r="E58" s="391"/>
      <c r="F58" s="437"/>
      <c r="G58" s="1027" t="s">
        <v>727</v>
      </c>
      <c r="H58" s="1028"/>
      <c r="I58" s="435"/>
    </row>
    <row r="59" spans="2:9" s="309" customFormat="1" ht="14.1" customHeight="1">
      <c r="B59" s="308"/>
      <c r="C59" s="457" t="s">
        <v>8</v>
      </c>
      <c r="D59" s="458" t="s">
        <v>811</v>
      </c>
      <c r="E59" s="393"/>
      <c r="F59" s="393"/>
      <c r="G59" s="393"/>
      <c r="H59" s="393"/>
      <c r="I59" s="436"/>
    </row>
    <row r="60" spans="2:9" s="309" customFormat="1" ht="14.1" customHeight="1">
      <c r="B60" s="308"/>
      <c r="C60" s="386"/>
      <c r="D60" s="388"/>
      <c r="E60" s="388"/>
      <c r="F60" s="388"/>
      <c r="G60" s="388"/>
      <c r="H60" s="388"/>
      <c r="I60" s="389"/>
    </row>
    <row r="61" spans="2:9" s="309" customFormat="1" ht="14.1" customHeight="1">
      <c r="B61" s="308"/>
      <c r="C61" s="432"/>
      <c r="D61" s="391"/>
      <c r="E61" s="391"/>
      <c r="F61" s="437"/>
      <c r="G61" s="1027" t="s">
        <v>728</v>
      </c>
      <c r="H61" s="1028"/>
      <c r="I61" s="435"/>
    </row>
    <row r="62" spans="2:9" s="309" customFormat="1" ht="14.1" customHeight="1">
      <c r="B62" s="308"/>
      <c r="C62" s="457" t="s">
        <v>9</v>
      </c>
      <c r="D62" s="458" t="s">
        <v>815</v>
      </c>
      <c r="E62" s="393"/>
      <c r="F62" s="393"/>
      <c r="G62" s="393"/>
      <c r="H62" s="393"/>
      <c r="I62" s="436"/>
    </row>
    <row r="63" spans="2:9" s="309" customFormat="1" ht="14.1" customHeight="1">
      <c r="B63" s="308"/>
      <c r="C63" s="386"/>
      <c r="D63" s="388"/>
      <c r="E63" s="388"/>
      <c r="F63" s="388"/>
      <c r="G63" s="388"/>
      <c r="H63" s="388"/>
      <c r="I63" s="389"/>
    </row>
    <row r="64" spans="2:9" s="309" customFormat="1" ht="14.1" customHeight="1">
      <c r="B64" s="308"/>
      <c r="C64" s="432"/>
      <c r="D64" s="391"/>
      <c r="E64" s="391"/>
      <c r="F64" s="437"/>
      <c r="G64" s="1027" t="s">
        <v>729</v>
      </c>
      <c r="H64" s="1028"/>
      <c r="I64" s="435"/>
    </row>
    <row r="65" spans="2:9" s="309" customFormat="1" ht="14.1" customHeight="1">
      <c r="B65" s="308"/>
      <c r="C65" s="376" t="s">
        <v>12</v>
      </c>
      <c r="D65" s="1022" t="s">
        <v>730</v>
      </c>
      <c r="E65" s="1034"/>
      <c r="F65" s="1034"/>
      <c r="G65" s="1034"/>
      <c r="H65" s="1023"/>
      <c r="I65" s="401"/>
    </row>
    <row r="66" spans="2:9" s="309" customFormat="1" ht="14.1" customHeight="1">
      <c r="B66" s="308"/>
      <c r="C66" s="377" t="s">
        <v>13</v>
      </c>
      <c r="D66" s="1036" t="s">
        <v>731</v>
      </c>
      <c r="E66" s="1037"/>
      <c r="F66" s="1038"/>
      <c r="G66" s="1039" t="s">
        <v>740</v>
      </c>
      <c r="H66" s="1051"/>
      <c r="I66" s="403"/>
    </row>
    <row r="67" spans="2:9" s="309" customFormat="1" ht="14.1" customHeight="1" thickBot="1">
      <c r="B67" s="308"/>
      <c r="C67" s="456" t="s">
        <v>14</v>
      </c>
      <c r="D67" s="1029" t="s">
        <v>817</v>
      </c>
      <c r="E67" s="1030"/>
      <c r="F67" s="1030"/>
      <c r="G67" s="1030"/>
      <c r="H67" s="1031"/>
      <c r="I67" s="404"/>
    </row>
    <row r="68" spans="2:9" s="309" customFormat="1">
      <c r="B68" s="308"/>
      <c r="C68" s="11"/>
      <c r="D68" s="338"/>
      <c r="E68" s="338"/>
      <c r="F68" s="338"/>
      <c r="G68" s="338"/>
      <c r="H68" s="526"/>
      <c r="I68" s="338"/>
    </row>
    <row r="69" spans="2:9" s="570" customFormat="1" ht="16.5" thickBot="1">
      <c r="B69" s="541">
        <v>5</v>
      </c>
      <c r="C69" s="569" t="s">
        <v>974</v>
      </c>
      <c r="H69" s="573"/>
    </row>
    <row r="70" spans="2:9" s="520" customFormat="1" ht="26.25" thickBot="1">
      <c r="B70" s="519"/>
      <c r="C70" s="334" t="s">
        <v>0</v>
      </c>
      <c r="D70" s="335" t="s">
        <v>1</v>
      </c>
      <c r="E70" s="335" t="s">
        <v>2</v>
      </c>
      <c r="F70" s="335" t="s">
        <v>3</v>
      </c>
      <c r="G70" s="431" t="s">
        <v>4</v>
      </c>
      <c r="H70" s="335" t="s">
        <v>952</v>
      </c>
      <c r="I70" s="337" t="s">
        <v>957</v>
      </c>
    </row>
    <row r="71" spans="2:9" s="309" customFormat="1" ht="14.1" customHeight="1">
      <c r="B71" s="308"/>
      <c r="C71" s="491" t="s">
        <v>7</v>
      </c>
      <c r="D71" s="365" t="s">
        <v>810</v>
      </c>
      <c r="E71" s="382"/>
      <c r="F71" s="382"/>
      <c r="G71" s="382"/>
      <c r="H71" s="382"/>
      <c r="I71" s="384"/>
    </row>
    <row r="72" spans="2:9" s="309" customFormat="1" ht="14.1" customHeight="1">
      <c r="B72" s="308"/>
      <c r="C72" s="385"/>
      <c r="D72" s="365" t="s">
        <v>10</v>
      </c>
      <c r="E72" s="351" t="s">
        <v>16</v>
      </c>
      <c r="F72" s="351" t="s">
        <v>726</v>
      </c>
      <c r="G72" s="352">
        <v>1.5</v>
      </c>
      <c r="H72" s="382"/>
      <c r="I72" s="384"/>
    </row>
    <row r="73" spans="2:9" s="309" customFormat="1" ht="14.1" customHeight="1">
      <c r="B73" s="308"/>
      <c r="C73" s="386"/>
      <c r="D73" s="387" t="s">
        <v>11</v>
      </c>
      <c r="E73" s="354" t="s">
        <v>17</v>
      </c>
      <c r="F73" s="354" t="s">
        <v>726</v>
      </c>
      <c r="G73" s="355">
        <v>0.06</v>
      </c>
      <c r="H73" s="388"/>
      <c r="I73" s="389"/>
    </row>
    <row r="74" spans="2:9" s="309" customFormat="1" ht="14.1" customHeight="1">
      <c r="B74" s="308"/>
      <c r="C74" s="432"/>
      <c r="D74" s="391"/>
      <c r="E74" s="391"/>
      <c r="F74" s="437"/>
      <c r="G74" s="1027" t="s">
        <v>727</v>
      </c>
      <c r="H74" s="1028"/>
      <c r="I74" s="435"/>
    </row>
    <row r="75" spans="2:9" s="309" customFormat="1" ht="14.1" customHeight="1">
      <c r="B75" s="308"/>
      <c r="C75" s="457" t="s">
        <v>8</v>
      </c>
      <c r="D75" s="458" t="s">
        <v>811</v>
      </c>
      <c r="E75" s="393"/>
      <c r="F75" s="393"/>
      <c r="G75" s="393"/>
      <c r="H75" s="393"/>
      <c r="I75" s="436"/>
    </row>
    <row r="76" spans="2:9" s="309" customFormat="1" ht="14.1" customHeight="1">
      <c r="B76" s="308"/>
      <c r="C76" s="386"/>
      <c r="D76" s="388"/>
      <c r="E76" s="388"/>
      <c r="F76" s="388"/>
      <c r="G76" s="388"/>
      <c r="H76" s="388"/>
      <c r="I76" s="389"/>
    </row>
    <row r="77" spans="2:9" s="309" customFormat="1" ht="14.1" customHeight="1">
      <c r="B77" s="308"/>
      <c r="C77" s="432"/>
      <c r="D77" s="391"/>
      <c r="E77" s="391"/>
      <c r="F77" s="437"/>
      <c r="G77" s="1027" t="s">
        <v>728</v>
      </c>
      <c r="H77" s="1028"/>
      <c r="I77" s="435"/>
    </row>
    <row r="78" spans="2:9" s="309" customFormat="1" ht="14.1" customHeight="1">
      <c r="B78" s="308"/>
      <c r="C78" s="457" t="s">
        <v>9</v>
      </c>
      <c r="D78" s="458" t="s">
        <v>815</v>
      </c>
      <c r="E78" s="393"/>
      <c r="F78" s="393"/>
      <c r="G78" s="393"/>
      <c r="H78" s="393"/>
      <c r="I78" s="436"/>
    </row>
    <row r="79" spans="2:9" s="309" customFormat="1" ht="14.1" customHeight="1">
      <c r="B79" s="308"/>
      <c r="C79" s="386"/>
      <c r="D79" s="388"/>
      <c r="E79" s="388"/>
      <c r="F79" s="388"/>
      <c r="G79" s="388"/>
      <c r="H79" s="388"/>
      <c r="I79" s="389"/>
    </row>
    <row r="80" spans="2:9" s="309" customFormat="1" ht="14.1" customHeight="1">
      <c r="B80" s="308"/>
      <c r="C80" s="432"/>
      <c r="D80" s="391"/>
      <c r="E80" s="391"/>
      <c r="F80" s="437"/>
      <c r="G80" s="1027" t="s">
        <v>729</v>
      </c>
      <c r="H80" s="1028"/>
      <c r="I80" s="435"/>
    </row>
    <row r="81" spans="2:9" s="309" customFormat="1" ht="14.1" customHeight="1">
      <c r="B81" s="308"/>
      <c r="C81" s="376" t="s">
        <v>12</v>
      </c>
      <c r="D81" s="1022" t="s">
        <v>730</v>
      </c>
      <c r="E81" s="1034"/>
      <c r="F81" s="1034"/>
      <c r="G81" s="1034"/>
      <c r="H81" s="1023"/>
      <c r="I81" s="401"/>
    </row>
    <row r="82" spans="2:9" s="309" customFormat="1" ht="14.1" customHeight="1">
      <c r="B82" s="308"/>
      <c r="C82" s="377" t="s">
        <v>13</v>
      </c>
      <c r="D82" s="1036" t="s">
        <v>731</v>
      </c>
      <c r="E82" s="1037"/>
      <c r="F82" s="1038"/>
      <c r="G82" s="1039" t="s">
        <v>740</v>
      </c>
      <c r="H82" s="1051"/>
      <c r="I82" s="403"/>
    </row>
    <row r="83" spans="2:9" s="309" customFormat="1" ht="14.1" customHeight="1" thickBot="1">
      <c r="B83" s="308"/>
      <c r="C83" s="456" t="s">
        <v>14</v>
      </c>
      <c r="D83" s="1029" t="s">
        <v>817</v>
      </c>
      <c r="E83" s="1030"/>
      <c r="F83" s="1030"/>
      <c r="G83" s="1030"/>
      <c r="H83" s="1031"/>
      <c r="I83" s="404"/>
    </row>
    <row r="84" spans="2:9" s="309" customFormat="1">
      <c r="B84" s="308"/>
      <c r="C84" s="461"/>
      <c r="D84" s="446"/>
      <c r="E84" s="446"/>
      <c r="F84" s="446"/>
      <c r="G84" s="446"/>
      <c r="H84" s="446"/>
      <c r="I84" s="440"/>
    </row>
    <row r="85" spans="2:9" s="570" customFormat="1" ht="16.5" thickBot="1">
      <c r="B85" s="541">
        <v>6</v>
      </c>
      <c r="C85" s="569" t="s">
        <v>975</v>
      </c>
      <c r="H85" s="573"/>
    </row>
    <row r="86" spans="2:9" s="520" customFormat="1" ht="26.25" thickBot="1">
      <c r="B86" s="519"/>
      <c r="C86" s="334" t="s">
        <v>0</v>
      </c>
      <c r="D86" s="335" t="s">
        <v>1</v>
      </c>
      <c r="E86" s="335" t="s">
        <v>2</v>
      </c>
      <c r="F86" s="335" t="s">
        <v>3</v>
      </c>
      <c r="G86" s="431" t="s">
        <v>4</v>
      </c>
      <c r="H86" s="335" t="s">
        <v>952</v>
      </c>
      <c r="I86" s="337" t="s">
        <v>953</v>
      </c>
    </row>
    <row r="87" spans="2:9" s="309" customFormat="1">
      <c r="B87" s="308"/>
      <c r="C87" s="491" t="s">
        <v>7</v>
      </c>
      <c r="D87" s="365" t="s">
        <v>810</v>
      </c>
      <c r="E87" s="382"/>
      <c r="F87" s="382"/>
      <c r="G87" s="382"/>
      <c r="H87" s="382"/>
      <c r="I87" s="384"/>
    </row>
    <row r="88" spans="2:9" s="309" customFormat="1">
      <c r="B88" s="308"/>
      <c r="C88" s="385"/>
      <c r="D88" s="365" t="s">
        <v>10</v>
      </c>
      <c r="E88" s="351" t="s">
        <v>16</v>
      </c>
      <c r="F88" s="351" t="s">
        <v>726</v>
      </c>
      <c r="G88" s="352">
        <v>1.2</v>
      </c>
      <c r="H88" s="382"/>
      <c r="I88" s="384"/>
    </row>
    <row r="89" spans="2:9" s="309" customFormat="1">
      <c r="B89" s="308"/>
      <c r="C89" s="386"/>
      <c r="D89" s="387" t="s">
        <v>11</v>
      </c>
      <c r="E89" s="354" t="s">
        <v>17</v>
      </c>
      <c r="F89" s="354" t="s">
        <v>726</v>
      </c>
      <c r="G89" s="355">
        <v>4.4999999999999998E-2</v>
      </c>
      <c r="H89" s="388"/>
      <c r="I89" s="389"/>
    </row>
    <row r="90" spans="2:9" s="309" customFormat="1">
      <c r="B90" s="308"/>
      <c r="C90" s="432"/>
      <c r="D90" s="391"/>
      <c r="E90" s="391"/>
      <c r="F90" s="437"/>
      <c r="G90" s="1027" t="s">
        <v>727</v>
      </c>
      <c r="H90" s="1028"/>
      <c r="I90" s="435"/>
    </row>
    <row r="91" spans="2:9" s="309" customFormat="1">
      <c r="B91" s="308"/>
      <c r="C91" s="457" t="s">
        <v>8</v>
      </c>
      <c r="D91" s="458" t="s">
        <v>811</v>
      </c>
      <c r="E91" s="393"/>
      <c r="F91" s="393"/>
      <c r="G91" s="462"/>
      <c r="H91" s="393"/>
      <c r="I91" s="436"/>
    </row>
    <row r="92" spans="2:9" s="309" customFormat="1">
      <c r="B92" s="308"/>
      <c r="C92" s="386"/>
      <c r="D92" s="388"/>
      <c r="E92" s="388"/>
      <c r="F92" s="388"/>
      <c r="G92" s="498"/>
      <c r="H92" s="388"/>
      <c r="I92" s="389"/>
    </row>
    <row r="93" spans="2:9" s="309" customFormat="1">
      <c r="B93" s="308"/>
      <c r="C93" s="521"/>
      <c r="D93" s="500"/>
      <c r="E93" s="500"/>
      <c r="F93" s="497"/>
      <c r="G93" s="1043" t="s">
        <v>728</v>
      </c>
      <c r="H93" s="1043"/>
      <c r="I93" s="395"/>
    </row>
    <row r="94" spans="2:9" s="309" customFormat="1">
      <c r="B94" s="308"/>
      <c r="C94" s="457" t="s">
        <v>9</v>
      </c>
      <c r="D94" s="458" t="s">
        <v>815</v>
      </c>
      <c r="E94" s="393"/>
      <c r="F94" s="393"/>
      <c r="G94" s="500"/>
      <c r="H94" s="393"/>
      <c r="I94" s="522"/>
    </row>
    <row r="95" spans="2:9" s="309" customFormat="1">
      <c r="B95" s="308"/>
      <c r="C95" s="386"/>
      <c r="D95" s="388"/>
      <c r="E95" s="388"/>
      <c r="F95" s="388"/>
      <c r="G95" s="501"/>
      <c r="H95" s="388"/>
      <c r="I95" s="523"/>
    </row>
    <row r="96" spans="2:9" s="309" customFormat="1">
      <c r="B96" s="308"/>
      <c r="C96" s="432"/>
      <c r="D96" s="391"/>
      <c r="E96" s="391"/>
      <c r="F96" s="437"/>
      <c r="G96" s="1027" t="s">
        <v>729</v>
      </c>
      <c r="H96" s="1028"/>
      <c r="I96" s="435"/>
    </row>
    <row r="97" spans="2:9" s="309" customFormat="1">
      <c r="B97" s="308"/>
      <c r="C97" s="376" t="s">
        <v>12</v>
      </c>
      <c r="D97" s="1022" t="s">
        <v>730</v>
      </c>
      <c r="E97" s="1034"/>
      <c r="F97" s="1034"/>
      <c r="G97" s="1034"/>
      <c r="H97" s="1023"/>
      <c r="I97" s="401"/>
    </row>
    <row r="98" spans="2:9" s="309" customFormat="1">
      <c r="B98" s="308"/>
      <c r="C98" s="377" t="s">
        <v>13</v>
      </c>
      <c r="D98" s="1036" t="s">
        <v>731</v>
      </c>
      <c r="E98" s="1037"/>
      <c r="F98" s="1038"/>
      <c r="G98" s="1039" t="s">
        <v>740</v>
      </c>
      <c r="H98" s="1051"/>
      <c r="I98" s="403"/>
    </row>
    <row r="99" spans="2:9" s="309" customFormat="1" ht="13.5" thickBot="1">
      <c r="B99" s="308"/>
      <c r="C99" s="456" t="s">
        <v>14</v>
      </c>
      <c r="D99" s="1029" t="s">
        <v>817</v>
      </c>
      <c r="E99" s="1030"/>
      <c r="F99" s="1030"/>
      <c r="G99" s="1030"/>
      <c r="H99" s="1031"/>
      <c r="I99" s="404"/>
    </row>
    <row r="100" spans="2:9" s="309" customFormat="1">
      <c r="B100" s="308"/>
      <c r="C100" s="461"/>
      <c r="D100" s="446"/>
      <c r="E100" s="446"/>
      <c r="F100" s="446"/>
      <c r="G100" s="446"/>
      <c r="H100" s="446"/>
      <c r="I100" s="440"/>
    </row>
    <row r="101" spans="2:9" s="570" customFormat="1" ht="16.5" thickBot="1">
      <c r="B101" s="541">
        <v>7</v>
      </c>
      <c r="C101" s="569" t="s">
        <v>976</v>
      </c>
      <c r="H101" s="573"/>
    </row>
    <row r="102" spans="2:9" s="309" customFormat="1" ht="13.5" thickBot="1">
      <c r="B102" s="308"/>
      <c r="C102" s="334" t="s">
        <v>0</v>
      </c>
      <c r="D102" s="335" t="s">
        <v>1</v>
      </c>
      <c r="E102" s="335" t="s">
        <v>2</v>
      </c>
      <c r="F102" s="335" t="s">
        <v>3</v>
      </c>
      <c r="G102" s="431" t="s">
        <v>4</v>
      </c>
      <c r="H102" s="335" t="s">
        <v>742</v>
      </c>
      <c r="I102" s="337" t="s">
        <v>736</v>
      </c>
    </row>
    <row r="103" spans="2:9" s="309" customFormat="1">
      <c r="B103" s="308"/>
      <c r="C103" s="491" t="s">
        <v>7</v>
      </c>
      <c r="D103" s="365" t="s">
        <v>810</v>
      </c>
      <c r="E103" s="382"/>
      <c r="F103" s="382"/>
      <c r="G103" s="382"/>
      <c r="H103" s="382"/>
      <c r="I103" s="384"/>
    </row>
    <row r="104" spans="2:9" s="309" customFormat="1">
      <c r="B104" s="308"/>
      <c r="C104" s="385"/>
      <c r="D104" s="365" t="s">
        <v>10</v>
      </c>
      <c r="E104" s="351" t="s">
        <v>16</v>
      </c>
      <c r="F104" s="351" t="s">
        <v>726</v>
      </c>
      <c r="G104" s="352">
        <v>0.05</v>
      </c>
      <c r="H104" s="382"/>
      <c r="I104" s="384"/>
    </row>
    <row r="105" spans="2:9" s="309" customFormat="1">
      <c r="B105" s="308"/>
      <c r="C105" s="386"/>
      <c r="D105" s="387" t="s">
        <v>11</v>
      </c>
      <c r="E105" s="354" t="s">
        <v>17</v>
      </c>
      <c r="F105" s="354" t="s">
        <v>726</v>
      </c>
      <c r="G105" s="355">
        <v>5.0000000000000001E-3</v>
      </c>
      <c r="H105" s="388"/>
      <c r="I105" s="389"/>
    </row>
    <row r="106" spans="2:9" s="309" customFormat="1">
      <c r="B106" s="308"/>
      <c r="C106" s="432"/>
      <c r="D106" s="391"/>
      <c r="E106" s="391"/>
      <c r="F106" s="437"/>
      <c r="G106" s="1027" t="s">
        <v>727</v>
      </c>
      <c r="H106" s="1028"/>
      <c r="I106" s="435"/>
    </row>
    <row r="107" spans="2:9" s="309" customFormat="1">
      <c r="B107" s="308"/>
      <c r="C107" s="457" t="s">
        <v>8</v>
      </c>
      <c r="D107" s="458" t="s">
        <v>811</v>
      </c>
      <c r="E107" s="393"/>
      <c r="F107" s="393"/>
      <c r="G107" s="393"/>
      <c r="H107" s="393"/>
      <c r="I107" s="436"/>
    </row>
    <row r="108" spans="2:9" s="309" customFormat="1">
      <c r="B108" s="308"/>
      <c r="C108" s="386"/>
      <c r="D108" s="388"/>
      <c r="E108" s="388"/>
      <c r="F108" s="388"/>
      <c r="G108" s="388"/>
      <c r="H108" s="388"/>
      <c r="I108" s="389"/>
    </row>
    <row r="109" spans="2:9" s="309" customFormat="1">
      <c r="B109" s="308"/>
      <c r="C109" s="432"/>
      <c r="D109" s="391"/>
      <c r="E109" s="391"/>
      <c r="F109" s="437"/>
      <c r="G109" s="1027" t="s">
        <v>728</v>
      </c>
      <c r="H109" s="1028"/>
      <c r="I109" s="435"/>
    </row>
    <row r="110" spans="2:9" s="309" customFormat="1">
      <c r="B110" s="308"/>
      <c r="C110" s="457" t="s">
        <v>9</v>
      </c>
      <c r="D110" s="458" t="s">
        <v>815</v>
      </c>
      <c r="E110" s="393"/>
      <c r="F110" s="393"/>
      <c r="G110" s="393"/>
      <c r="H110" s="393"/>
      <c r="I110" s="436"/>
    </row>
    <row r="111" spans="2:9" s="309" customFormat="1">
      <c r="B111" s="308"/>
      <c r="C111" s="386"/>
      <c r="D111" s="388"/>
      <c r="E111" s="388"/>
      <c r="F111" s="388"/>
      <c r="G111" s="388"/>
      <c r="H111" s="388"/>
      <c r="I111" s="389"/>
    </row>
    <row r="112" spans="2:9" s="309" customFormat="1">
      <c r="B112" s="308"/>
      <c r="C112" s="432"/>
      <c r="D112" s="391"/>
      <c r="E112" s="391"/>
      <c r="F112" s="437"/>
      <c r="G112" s="1027" t="s">
        <v>729</v>
      </c>
      <c r="H112" s="1028"/>
      <c r="I112" s="435"/>
    </row>
    <row r="113" spans="2:9" s="309" customFormat="1">
      <c r="B113" s="308"/>
      <c r="C113" s="376" t="s">
        <v>12</v>
      </c>
      <c r="D113" s="1022" t="s">
        <v>730</v>
      </c>
      <c r="E113" s="1034"/>
      <c r="F113" s="1034"/>
      <c r="G113" s="1034"/>
      <c r="H113" s="1023"/>
      <c r="I113" s="401"/>
    </row>
    <row r="114" spans="2:9" s="309" customFormat="1">
      <c r="B114" s="308"/>
      <c r="C114" s="377" t="s">
        <v>13</v>
      </c>
      <c r="D114" s="1036" t="s">
        <v>731</v>
      </c>
      <c r="E114" s="1037"/>
      <c r="F114" s="1038"/>
      <c r="G114" s="1039" t="s">
        <v>740</v>
      </c>
      <c r="H114" s="1051"/>
      <c r="I114" s="403"/>
    </row>
    <row r="115" spans="2:9" s="309" customFormat="1" ht="13.5" thickBot="1">
      <c r="B115" s="308"/>
      <c r="C115" s="456" t="s">
        <v>14</v>
      </c>
      <c r="D115" s="1029" t="s">
        <v>817</v>
      </c>
      <c r="E115" s="1030"/>
      <c r="F115" s="1030"/>
      <c r="G115" s="1030"/>
      <c r="H115" s="1031"/>
      <c r="I115" s="404"/>
    </row>
    <row r="116" spans="2:9" s="309" customFormat="1">
      <c r="B116" s="308"/>
      <c r="C116" s="11"/>
      <c r="D116" s="338"/>
      <c r="E116" s="338"/>
      <c r="F116" s="338"/>
      <c r="G116" s="338"/>
      <c r="H116" s="526"/>
      <c r="I116" s="338"/>
    </row>
    <row r="117" spans="2:9" s="570" customFormat="1" ht="16.5" thickBot="1">
      <c r="B117" s="541">
        <v>8</v>
      </c>
      <c r="C117" s="569" t="s">
        <v>1280</v>
      </c>
      <c r="H117" s="573"/>
    </row>
    <row r="118" spans="2:9" s="309" customFormat="1" ht="26.25" thickBot="1">
      <c r="B118" s="308"/>
      <c r="C118" s="334" t="s">
        <v>840</v>
      </c>
      <c r="D118" s="335" t="s">
        <v>841</v>
      </c>
      <c r="E118" s="335" t="s">
        <v>842</v>
      </c>
      <c r="F118" s="335" t="s">
        <v>843</v>
      </c>
      <c r="G118" s="431" t="s">
        <v>844</v>
      </c>
      <c r="H118" s="524" t="s">
        <v>955</v>
      </c>
      <c r="I118" s="337" t="s">
        <v>846</v>
      </c>
    </row>
    <row r="119" spans="2:9" s="309" customFormat="1">
      <c r="B119" s="308"/>
      <c r="C119" s="491" t="s">
        <v>7</v>
      </c>
      <c r="D119" s="365" t="s">
        <v>810</v>
      </c>
      <c r="E119" s="382"/>
      <c r="F119" s="382"/>
      <c r="G119" s="382"/>
      <c r="H119" s="382"/>
      <c r="I119" s="384"/>
    </row>
    <row r="120" spans="2:9" s="309" customFormat="1">
      <c r="B120" s="308"/>
      <c r="C120" s="385"/>
      <c r="D120" s="365" t="s">
        <v>10</v>
      </c>
      <c r="E120" s="351" t="s">
        <v>16</v>
      </c>
      <c r="F120" s="351" t="s">
        <v>726</v>
      </c>
      <c r="G120" s="352">
        <v>0.33</v>
      </c>
      <c r="H120" s="382"/>
      <c r="I120" s="384"/>
    </row>
    <row r="121" spans="2:9" s="309" customFormat="1">
      <c r="B121" s="308"/>
      <c r="C121" s="386"/>
      <c r="D121" s="387" t="s">
        <v>11</v>
      </c>
      <c r="E121" s="354" t="s">
        <v>17</v>
      </c>
      <c r="F121" s="354" t="s">
        <v>726</v>
      </c>
      <c r="G121" s="355">
        <v>0.01</v>
      </c>
      <c r="H121" s="388"/>
      <c r="I121" s="389"/>
    </row>
    <row r="122" spans="2:9" s="309" customFormat="1">
      <c r="B122" s="308"/>
      <c r="C122" s="432"/>
      <c r="D122" s="391"/>
      <c r="E122" s="391"/>
      <c r="F122" s="437"/>
      <c r="G122" s="1027" t="s">
        <v>727</v>
      </c>
      <c r="H122" s="1028"/>
      <c r="I122" s="435"/>
    </row>
    <row r="123" spans="2:9" s="309" customFormat="1">
      <c r="B123" s="308"/>
      <c r="C123" s="457" t="s">
        <v>8</v>
      </c>
      <c r="D123" s="458" t="s">
        <v>811</v>
      </c>
      <c r="E123" s="393"/>
      <c r="F123" s="393"/>
      <c r="G123" s="393"/>
      <c r="H123" s="393"/>
      <c r="I123" s="436"/>
    </row>
    <row r="124" spans="2:9" s="309" customFormat="1">
      <c r="B124" s="308"/>
      <c r="C124" s="386"/>
      <c r="D124" s="388"/>
      <c r="E124" s="388"/>
      <c r="F124" s="388"/>
      <c r="G124" s="388"/>
      <c r="H124" s="388"/>
      <c r="I124" s="389"/>
    </row>
    <row r="125" spans="2:9" s="309" customFormat="1">
      <c r="B125" s="308"/>
      <c r="C125" s="432"/>
      <c r="D125" s="391"/>
      <c r="E125" s="391"/>
      <c r="F125" s="437"/>
      <c r="G125" s="1027" t="s">
        <v>728</v>
      </c>
      <c r="H125" s="1028"/>
      <c r="I125" s="435"/>
    </row>
    <row r="126" spans="2:9" s="309" customFormat="1">
      <c r="B126" s="308"/>
      <c r="C126" s="457" t="s">
        <v>9</v>
      </c>
      <c r="D126" s="458" t="s">
        <v>815</v>
      </c>
      <c r="E126" s="393"/>
      <c r="F126" s="393"/>
      <c r="G126" s="393"/>
      <c r="H126" s="393"/>
      <c r="I126" s="436"/>
    </row>
    <row r="127" spans="2:9" s="309" customFormat="1">
      <c r="B127" s="308"/>
      <c r="C127" s="386"/>
      <c r="D127" s="388"/>
      <c r="E127" s="388"/>
      <c r="F127" s="388"/>
      <c r="G127" s="388"/>
      <c r="H127" s="388"/>
      <c r="I127" s="389"/>
    </row>
    <row r="128" spans="2:9" s="309" customFormat="1">
      <c r="B128" s="308"/>
      <c r="C128" s="432"/>
      <c r="D128" s="391"/>
      <c r="E128" s="391"/>
      <c r="F128" s="437"/>
      <c r="G128" s="1027" t="s">
        <v>729</v>
      </c>
      <c r="H128" s="1028"/>
      <c r="I128" s="395"/>
    </row>
    <row r="129" spans="2:11" s="309" customFormat="1">
      <c r="B129" s="308"/>
      <c r="C129" s="376" t="s">
        <v>12</v>
      </c>
      <c r="D129" s="1022" t="s">
        <v>730</v>
      </c>
      <c r="E129" s="1034"/>
      <c r="F129" s="1034"/>
      <c r="G129" s="1034"/>
      <c r="H129" s="1034"/>
      <c r="I129" s="401"/>
    </row>
    <row r="130" spans="2:11" s="309" customFormat="1">
      <c r="B130" s="308"/>
      <c r="C130" s="377" t="s">
        <v>13</v>
      </c>
      <c r="D130" s="1036" t="s">
        <v>731</v>
      </c>
      <c r="E130" s="1037"/>
      <c r="F130" s="1038"/>
      <c r="G130" s="1039" t="s">
        <v>740</v>
      </c>
      <c r="H130" s="1035"/>
      <c r="I130" s="403"/>
    </row>
    <row r="131" spans="2:11" s="309" customFormat="1" ht="13.5" thickBot="1">
      <c r="B131" s="308"/>
      <c r="C131" s="456" t="s">
        <v>14</v>
      </c>
      <c r="D131" s="1029" t="s">
        <v>817</v>
      </c>
      <c r="E131" s="1030"/>
      <c r="F131" s="1030"/>
      <c r="G131" s="1030"/>
      <c r="H131" s="1030"/>
      <c r="I131" s="404"/>
    </row>
    <row r="132" spans="2:11" s="309" customFormat="1" ht="14.1" customHeight="1">
      <c r="B132" s="308"/>
      <c r="C132" s="461"/>
      <c r="D132" s="446"/>
      <c r="E132" s="446"/>
      <c r="F132" s="446"/>
      <c r="G132" s="446"/>
      <c r="H132" s="446"/>
      <c r="I132" s="440"/>
    </row>
    <row r="133" spans="2:11" s="570" customFormat="1" ht="16.5" thickBot="1">
      <c r="B133" s="541">
        <v>9</v>
      </c>
      <c r="C133" s="569" t="s">
        <v>977</v>
      </c>
      <c r="H133" s="573"/>
    </row>
    <row r="134" spans="2:11" s="309" customFormat="1" ht="26.25" thickBot="1">
      <c r="B134" s="308"/>
      <c r="C134" s="334" t="s">
        <v>840</v>
      </c>
      <c r="D134" s="335" t="s">
        <v>841</v>
      </c>
      <c r="E134" s="335" t="s">
        <v>842</v>
      </c>
      <c r="F134" s="335" t="s">
        <v>843</v>
      </c>
      <c r="G134" s="431" t="s">
        <v>844</v>
      </c>
      <c r="H134" s="524" t="s">
        <v>952</v>
      </c>
      <c r="I134" s="337" t="s">
        <v>846</v>
      </c>
      <c r="J134" s="493"/>
      <c r="K134" s="493"/>
    </row>
    <row r="135" spans="2:11" s="309" customFormat="1">
      <c r="B135" s="308"/>
      <c r="C135" s="491" t="s">
        <v>7</v>
      </c>
      <c r="D135" s="365" t="s">
        <v>810</v>
      </c>
      <c r="E135" s="382"/>
      <c r="F135" s="382"/>
      <c r="G135" s="382"/>
      <c r="H135" s="382"/>
      <c r="I135" s="384"/>
    </row>
    <row r="136" spans="2:11" s="309" customFormat="1">
      <c r="B136" s="308"/>
      <c r="C136" s="385"/>
      <c r="D136" s="365" t="s">
        <v>10</v>
      </c>
      <c r="E136" s="351" t="s">
        <v>16</v>
      </c>
      <c r="F136" s="351" t="s">
        <v>726</v>
      </c>
      <c r="G136" s="352">
        <v>0.5</v>
      </c>
      <c r="H136" s="382"/>
      <c r="I136" s="384"/>
    </row>
    <row r="137" spans="2:11" s="309" customFormat="1">
      <c r="B137" s="308"/>
      <c r="C137" s="386"/>
      <c r="D137" s="387" t="s">
        <v>11</v>
      </c>
      <c r="E137" s="354" t="s">
        <v>17</v>
      </c>
      <c r="F137" s="354" t="s">
        <v>726</v>
      </c>
      <c r="G137" s="355">
        <v>0.05</v>
      </c>
      <c r="H137" s="388"/>
      <c r="I137" s="389"/>
    </row>
    <row r="138" spans="2:11" s="309" customFormat="1">
      <c r="B138" s="308"/>
      <c r="C138" s="432"/>
      <c r="D138" s="391"/>
      <c r="E138" s="391"/>
      <c r="F138" s="437"/>
      <c r="G138" s="1027" t="s">
        <v>727</v>
      </c>
      <c r="H138" s="1028"/>
      <c r="I138" s="435"/>
    </row>
    <row r="139" spans="2:11" s="309" customFormat="1">
      <c r="B139" s="308"/>
      <c r="C139" s="457" t="s">
        <v>8</v>
      </c>
      <c r="D139" s="458" t="s">
        <v>811</v>
      </c>
      <c r="E139" s="393"/>
      <c r="F139" s="393"/>
      <c r="G139" s="393"/>
      <c r="H139" s="393"/>
      <c r="I139" s="436"/>
    </row>
    <row r="140" spans="2:11" s="309" customFormat="1">
      <c r="B140" s="308"/>
      <c r="C140" s="386"/>
      <c r="D140" s="388"/>
      <c r="E140" s="388"/>
      <c r="F140" s="388"/>
      <c r="G140" s="388"/>
      <c r="H140" s="388"/>
      <c r="I140" s="389"/>
    </row>
    <row r="141" spans="2:11" s="309" customFormat="1">
      <c r="B141" s="308"/>
      <c r="C141" s="432"/>
      <c r="D141" s="391"/>
      <c r="E141" s="391"/>
      <c r="F141" s="437"/>
      <c r="G141" s="1027" t="s">
        <v>728</v>
      </c>
      <c r="H141" s="1028"/>
      <c r="I141" s="435"/>
    </row>
    <row r="142" spans="2:11" s="309" customFormat="1">
      <c r="B142" s="308"/>
      <c r="C142" s="542" t="s">
        <v>9</v>
      </c>
      <c r="D142" s="494" t="s">
        <v>815</v>
      </c>
      <c r="E142" s="320"/>
      <c r="F142" s="320"/>
      <c r="G142" s="320"/>
      <c r="H142" s="320"/>
      <c r="I142" s="435"/>
    </row>
    <row r="143" spans="2:11" s="309" customFormat="1">
      <c r="B143" s="308"/>
      <c r="C143" s="432"/>
      <c r="D143" s="391"/>
      <c r="E143" s="391"/>
      <c r="F143" s="437"/>
      <c r="G143" s="1027" t="s">
        <v>729</v>
      </c>
      <c r="H143" s="1028"/>
      <c r="I143" s="435"/>
    </row>
    <row r="144" spans="2:11" s="309" customFormat="1">
      <c r="B144" s="308"/>
      <c r="C144" s="376" t="s">
        <v>12</v>
      </c>
      <c r="D144" s="1022" t="s">
        <v>730</v>
      </c>
      <c r="E144" s="1034"/>
      <c r="F144" s="1034"/>
      <c r="G144" s="1034"/>
      <c r="H144" s="1034"/>
      <c r="I144" s="401"/>
    </row>
    <row r="145" spans="2:9" s="309" customFormat="1">
      <c r="B145" s="308"/>
      <c r="C145" s="377" t="s">
        <v>13</v>
      </c>
      <c r="D145" s="1036" t="s">
        <v>731</v>
      </c>
      <c r="E145" s="1037"/>
      <c r="F145" s="1038"/>
      <c r="G145" s="1039" t="s">
        <v>740</v>
      </c>
      <c r="H145" s="1035"/>
      <c r="I145" s="403"/>
    </row>
    <row r="146" spans="2:9" s="309" customFormat="1" ht="13.5" thickBot="1">
      <c r="B146" s="308"/>
      <c r="C146" s="456" t="s">
        <v>14</v>
      </c>
      <c r="D146" s="1029" t="s">
        <v>817</v>
      </c>
      <c r="E146" s="1030"/>
      <c r="F146" s="1030"/>
      <c r="G146" s="1030"/>
      <c r="H146" s="1030"/>
      <c r="I146" s="404"/>
    </row>
    <row r="147" spans="2:9" s="309" customFormat="1">
      <c r="B147" s="308"/>
      <c r="H147" s="440"/>
    </row>
    <row r="148" spans="2:9" s="570" customFormat="1" ht="16.5" thickBot="1">
      <c r="B148" s="541">
        <v>10</v>
      </c>
      <c r="C148" s="569" t="s">
        <v>978</v>
      </c>
      <c r="H148" s="573"/>
    </row>
    <row r="149" spans="2:9" s="309" customFormat="1" ht="26.25" thickBot="1">
      <c r="B149" s="308"/>
      <c r="C149" s="334" t="s">
        <v>840</v>
      </c>
      <c r="D149" s="335" t="s">
        <v>841</v>
      </c>
      <c r="E149" s="335" t="s">
        <v>842</v>
      </c>
      <c r="F149" s="335" t="s">
        <v>843</v>
      </c>
      <c r="G149" s="431" t="s">
        <v>844</v>
      </c>
      <c r="H149" s="524" t="s">
        <v>952</v>
      </c>
      <c r="I149" s="337" t="s">
        <v>846</v>
      </c>
    </row>
    <row r="150" spans="2:9" s="309" customFormat="1">
      <c r="B150" s="308"/>
      <c r="C150" s="491" t="s">
        <v>7</v>
      </c>
      <c r="D150" s="365" t="s">
        <v>810</v>
      </c>
      <c r="E150" s="382"/>
      <c r="F150" s="382"/>
      <c r="G150" s="382"/>
      <c r="H150" s="382"/>
      <c r="I150" s="384"/>
    </row>
    <row r="151" spans="2:9" s="309" customFormat="1">
      <c r="B151" s="308"/>
      <c r="C151" s="385"/>
      <c r="D151" s="365" t="s">
        <v>10</v>
      </c>
      <c r="E151" s="351" t="s">
        <v>16</v>
      </c>
      <c r="F151" s="351" t="s">
        <v>726</v>
      </c>
      <c r="G151" s="352">
        <v>0.5</v>
      </c>
      <c r="H151" s="382"/>
      <c r="I151" s="384"/>
    </row>
    <row r="152" spans="2:9" s="309" customFormat="1">
      <c r="B152" s="308"/>
      <c r="C152" s="386"/>
      <c r="D152" s="387" t="s">
        <v>11</v>
      </c>
      <c r="E152" s="354" t="s">
        <v>17</v>
      </c>
      <c r="F152" s="354" t="s">
        <v>726</v>
      </c>
      <c r="G152" s="355">
        <v>0.05</v>
      </c>
      <c r="H152" s="388"/>
      <c r="I152" s="389"/>
    </row>
    <row r="153" spans="2:9" s="309" customFormat="1">
      <c r="B153" s="308"/>
      <c r="C153" s="432"/>
      <c r="D153" s="391"/>
      <c r="E153" s="391"/>
      <c r="F153" s="437"/>
      <c r="G153" s="1027" t="s">
        <v>727</v>
      </c>
      <c r="H153" s="1028"/>
      <c r="I153" s="435"/>
    </row>
    <row r="154" spans="2:9" s="309" customFormat="1">
      <c r="B154" s="308"/>
      <c r="C154" s="457" t="s">
        <v>8</v>
      </c>
      <c r="D154" s="458" t="s">
        <v>811</v>
      </c>
      <c r="E154" s="393"/>
      <c r="F154" s="393"/>
      <c r="G154" s="393"/>
      <c r="H154" s="393"/>
      <c r="I154" s="436"/>
    </row>
    <row r="155" spans="2:9" s="309" customFormat="1">
      <c r="B155" s="308"/>
      <c r="C155" s="386"/>
      <c r="D155" s="388"/>
      <c r="E155" s="388"/>
      <c r="F155" s="388"/>
      <c r="G155" s="388"/>
      <c r="H155" s="388"/>
      <c r="I155" s="389"/>
    </row>
    <row r="156" spans="2:9" s="309" customFormat="1">
      <c r="B156" s="308"/>
      <c r="C156" s="432"/>
      <c r="D156" s="391"/>
      <c r="E156" s="391"/>
      <c r="F156" s="437"/>
      <c r="G156" s="1027" t="s">
        <v>728</v>
      </c>
      <c r="H156" s="1028"/>
      <c r="I156" s="435"/>
    </row>
    <row r="157" spans="2:9" s="309" customFormat="1">
      <c r="B157" s="308"/>
      <c r="C157" s="457" t="s">
        <v>9</v>
      </c>
      <c r="D157" s="458" t="s">
        <v>815</v>
      </c>
      <c r="E157" s="393"/>
      <c r="F157" s="462"/>
      <c r="G157" s="393"/>
      <c r="H157" s="393"/>
      <c r="I157" s="436"/>
    </row>
    <row r="158" spans="2:9" s="309" customFormat="1">
      <c r="B158" s="308"/>
      <c r="C158" s="386"/>
      <c r="D158" s="388"/>
      <c r="E158" s="388"/>
      <c r="F158" s="498"/>
      <c r="G158" s="388"/>
      <c r="H158" s="388"/>
      <c r="I158" s="389"/>
    </row>
    <row r="159" spans="2:9" s="309" customFormat="1">
      <c r="B159" s="308"/>
      <c r="C159" s="432"/>
      <c r="D159" s="391"/>
      <c r="E159" s="391"/>
      <c r="F159" s="437"/>
      <c r="G159" s="1152" t="s">
        <v>729</v>
      </c>
      <c r="H159" s="1153"/>
      <c r="I159" s="435"/>
    </row>
    <row r="160" spans="2:9" s="309" customFormat="1">
      <c r="B160" s="308"/>
      <c r="C160" s="376" t="s">
        <v>12</v>
      </c>
      <c r="D160" s="1022" t="s">
        <v>730</v>
      </c>
      <c r="E160" s="1034"/>
      <c r="F160" s="1034"/>
      <c r="G160" s="1034"/>
      <c r="H160" s="1034"/>
      <c r="I160" s="401"/>
    </row>
    <row r="161" spans="2:9" s="309" customFormat="1">
      <c r="B161" s="308"/>
      <c r="C161" s="377" t="s">
        <v>13</v>
      </c>
      <c r="D161" s="1036" t="s">
        <v>731</v>
      </c>
      <c r="E161" s="1037"/>
      <c r="F161" s="1038"/>
      <c r="G161" s="1039" t="s">
        <v>740</v>
      </c>
      <c r="H161" s="1035"/>
      <c r="I161" s="403"/>
    </row>
    <row r="162" spans="2:9" s="309" customFormat="1" ht="13.5" thickBot="1">
      <c r="B162" s="308"/>
      <c r="C162" s="456" t="s">
        <v>14</v>
      </c>
      <c r="D162" s="1029" t="s">
        <v>817</v>
      </c>
      <c r="E162" s="1030"/>
      <c r="F162" s="1030"/>
      <c r="G162" s="1030"/>
      <c r="H162" s="1030"/>
      <c r="I162" s="404"/>
    </row>
    <row r="163" spans="2:9" s="309" customFormat="1">
      <c r="B163" s="308"/>
      <c r="C163" s="11"/>
      <c r="D163" s="338"/>
      <c r="E163" s="338"/>
      <c r="F163" s="338"/>
      <c r="G163" s="338"/>
      <c r="H163" s="526"/>
      <c r="I163" s="338"/>
    </row>
    <row r="164" spans="2:9" s="570" customFormat="1" ht="24" customHeight="1" thickBot="1">
      <c r="B164" s="541">
        <v>11</v>
      </c>
      <c r="C164" s="569" t="s">
        <v>979</v>
      </c>
      <c r="H164" s="573"/>
    </row>
    <row r="165" spans="2:9" s="309" customFormat="1" ht="31.5" customHeight="1" thickBot="1">
      <c r="B165" s="308"/>
      <c r="C165" s="507" t="s">
        <v>840</v>
      </c>
      <c r="D165" s="490" t="s">
        <v>841</v>
      </c>
      <c r="E165" s="335" t="s">
        <v>842</v>
      </c>
      <c r="F165" s="335" t="s">
        <v>843</v>
      </c>
      <c r="G165" s="431" t="s">
        <v>844</v>
      </c>
      <c r="H165" s="508" t="s">
        <v>952</v>
      </c>
      <c r="I165" s="509" t="s">
        <v>953</v>
      </c>
    </row>
    <row r="166" spans="2:9" s="309" customFormat="1">
      <c r="B166" s="308"/>
      <c r="C166" s="491" t="s">
        <v>7</v>
      </c>
      <c r="D166" s="365" t="s">
        <v>810</v>
      </c>
      <c r="E166" s="382"/>
      <c r="F166" s="382"/>
      <c r="G166" s="382"/>
      <c r="H166" s="382"/>
      <c r="I166" s="510"/>
    </row>
    <row r="167" spans="2:9" s="309" customFormat="1">
      <c r="B167" s="308"/>
      <c r="C167" s="385"/>
      <c r="D167" s="365" t="s">
        <v>10</v>
      </c>
      <c r="E167" s="351" t="s">
        <v>16</v>
      </c>
      <c r="F167" s="351" t="s">
        <v>726</v>
      </c>
      <c r="G167" s="352">
        <v>0.3</v>
      </c>
      <c r="H167" s="382"/>
      <c r="I167" s="510"/>
    </row>
    <row r="168" spans="2:9" s="309" customFormat="1" ht="15" customHeight="1">
      <c r="B168" s="308"/>
      <c r="C168" s="386"/>
      <c r="D168" s="387" t="s">
        <v>11</v>
      </c>
      <c r="E168" s="354" t="s">
        <v>17</v>
      </c>
      <c r="F168" s="354" t="s">
        <v>726</v>
      </c>
      <c r="G168" s="355">
        <v>0.01</v>
      </c>
      <c r="H168" s="388"/>
      <c r="I168" s="511"/>
    </row>
    <row r="169" spans="2:9" s="309" customFormat="1">
      <c r="B169" s="308"/>
      <c r="C169" s="432"/>
      <c r="D169" s="391"/>
      <c r="E169" s="391"/>
      <c r="F169" s="437"/>
      <c r="G169" s="1027" t="s">
        <v>727</v>
      </c>
      <c r="H169" s="1028"/>
      <c r="I169" s="512"/>
    </row>
    <row r="170" spans="2:9" s="309" customFormat="1">
      <c r="B170" s="308"/>
      <c r="C170" s="457" t="s">
        <v>8</v>
      </c>
      <c r="D170" s="458" t="s">
        <v>811</v>
      </c>
      <c r="E170" s="393"/>
      <c r="F170" s="393"/>
      <c r="G170" s="393"/>
      <c r="H170" s="393"/>
      <c r="I170" s="513"/>
    </row>
    <row r="171" spans="2:9" s="309" customFormat="1" ht="15" customHeight="1">
      <c r="B171" s="308"/>
      <c r="C171" s="386"/>
      <c r="D171" s="387" t="s">
        <v>202</v>
      </c>
      <c r="E171" s="388"/>
      <c r="F171" s="388"/>
      <c r="G171" s="355">
        <v>1.2</v>
      </c>
      <c r="H171" s="388"/>
      <c r="I171" s="511"/>
    </row>
    <row r="172" spans="2:9" s="309" customFormat="1">
      <c r="B172" s="308"/>
      <c r="C172" s="432"/>
      <c r="D172" s="391"/>
      <c r="E172" s="391"/>
      <c r="F172" s="437"/>
      <c r="G172" s="1027" t="s">
        <v>728</v>
      </c>
      <c r="H172" s="1028"/>
      <c r="I172" s="512"/>
    </row>
    <row r="173" spans="2:9" s="309" customFormat="1">
      <c r="B173" s="308"/>
      <c r="C173" s="457" t="s">
        <v>9</v>
      </c>
      <c r="D173" s="458" t="s">
        <v>815</v>
      </c>
      <c r="E173" s="393"/>
      <c r="F173" s="393"/>
      <c r="G173" s="393"/>
      <c r="H173" s="393"/>
      <c r="I173" s="513"/>
    </row>
    <row r="174" spans="2:9" s="309" customFormat="1" ht="15" customHeight="1">
      <c r="B174" s="308"/>
      <c r="C174" s="386"/>
      <c r="D174" s="388"/>
      <c r="E174" s="388"/>
      <c r="F174" s="388"/>
      <c r="G174" s="388"/>
      <c r="H174" s="388"/>
      <c r="I174" s="511"/>
    </row>
    <row r="175" spans="2:9" s="309" customFormat="1">
      <c r="B175" s="308"/>
      <c r="C175" s="432"/>
      <c r="D175" s="391"/>
      <c r="E175" s="391"/>
      <c r="F175" s="437"/>
      <c r="G175" s="1027" t="s">
        <v>729</v>
      </c>
      <c r="H175" s="1028"/>
      <c r="I175" s="512"/>
    </row>
    <row r="176" spans="2:9" s="309" customFormat="1" ht="15" customHeight="1">
      <c r="B176" s="308"/>
      <c r="C176" s="376" t="s">
        <v>12</v>
      </c>
      <c r="D176" s="1022" t="s">
        <v>730</v>
      </c>
      <c r="E176" s="1034"/>
      <c r="F176" s="1034"/>
      <c r="G176" s="1034"/>
      <c r="H176" s="1023"/>
      <c r="I176" s="514"/>
    </row>
    <row r="177" spans="2:9" s="309" customFormat="1" ht="15" customHeight="1">
      <c r="B177" s="308"/>
      <c r="C177" s="377" t="s">
        <v>13</v>
      </c>
      <c r="D177" s="1036" t="s">
        <v>731</v>
      </c>
      <c r="E177" s="1037"/>
      <c r="F177" s="1038"/>
      <c r="G177" s="1039" t="s">
        <v>740</v>
      </c>
      <c r="H177" s="1051"/>
      <c r="I177" s="515"/>
    </row>
    <row r="178" spans="2:9" s="309" customFormat="1" ht="13.5" thickBot="1">
      <c r="B178" s="308"/>
      <c r="C178" s="456" t="s">
        <v>14</v>
      </c>
      <c r="D178" s="1029" t="s">
        <v>817</v>
      </c>
      <c r="E178" s="1030"/>
      <c r="F178" s="1030"/>
      <c r="G178" s="1030"/>
      <c r="H178" s="1031"/>
      <c r="I178" s="516"/>
    </row>
    <row r="179" spans="2:9" s="309" customFormat="1">
      <c r="B179" s="308"/>
      <c r="C179" s="461"/>
      <c r="D179" s="446"/>
      <c r="E179" s="446"/>
      <c r="F179" s="446"/>
      <c r="G179" s="446"/>
      <c r="H179" s="446"/>
      <c r="I179" s="502"/>
    </row>
    <row r="180" spans="2:9" s="570" customFormat="1" ht="18" customHeight="1" thickBot="1">
      <c r="B180" s="541">
        <v>12</v>
      </c>
      <c r="C180" s="569" t="s">
        <v>980</v>
      </c>
      <c r="H180" s="573"/>
    </row>
    <row r="181" spans="2:9" s="309" customFormat="1" ht="26.25" thickBot="1">
      <c r="B181" s="308"/>
      <c r="C181" s="334" t="s">
        <v>840</v>
      </c>
      <c r="D181" s="335" t="s">
        <v>841</v>
      </c>
      <c r="E181" s="335" t="s">
        <v>842</v>
      </c>
      <c r="F181" s="335" t="s">
        <v>843</v>
      </c>
      <c r="G181" s="431" t="s">
        <v>844</v>
      </c>
      <c r="H181" s="508" t="s">
        <v>955</v>
      </c>
      <c r="I181" s="337" t="s">
        <v>846</v>
      </c>
    </row>
    <row r="182" spans="2:9" s="309" customFormat="1">
      <c r="B182" s="308"/>
      <c r="C182" s="491" t="s">
        <v>7</v>
      </c>
      <c r="D182" s="365" t="s">
        <v>810</v>
      </c>
      <c r="E182" s="382"/>
      <c r="F182" s="382"/>
      <c r="G182" s="382"/>
      <c r="H182" s="382"/>
      <c r="I182" s="384"/>
    </row>
    <row r="183" spans="2:9" s="309" customFormat="1">
      <c r="B183" s="308"/>
      <c r="C183" s="385"/>
      <c r="D183" s="365" t="s">
        <v>10</v>
      </c>
      <c r="E183" s="351" t="s">
        <v>16</v>
      </c>
      <c r="F183" s="351" t="s">
        <v>726</v>
      </c>
      <c r="G183" s="352">
        <v>0.8</v>
      </c>
      <c r="H183" s="382"/>
      <c r="I183" s="384"/>
    </row>
    <row r="184" spans="2:9" s="309" customFormat="1">
      <c r="B184" s="308"/>
      <c r="C184" s="385"/>
      <c r="D184" s="365" t="s">
        <v>24</v>
      </c>
      <c r="E184" s="351" t="s">
        <v>22</v>
      </c>
      <c r="F184" s="351" t="s">
        <v>726</v>
      </c>
      <c r="G184" s="352">
        <v>0.4</v>
      </c>
      <c r="H184" s="382"/>
      <c r="I184" s="384"/>
    </row>
    <row r="185" spans="2:9" s="309" customFormat="1">
      <c r="B185" s="308"/>
      <c r="C185" s="385"/>
      <c r="D185" s="365" t="s">
        <v>942</v>
      </c>
      <c r="E185" s="351" t="s">
        <v>21</v>
      </c>
      <c r="F185" s="351" t="s">
        <v>726</v>
      </c>
      <c r="G185" s="352">
        <v>0.04</v>
      </c>
      <c r="H185" s="382"/>
      <c r="I185" s="384"/>
    </row>
    <row r="186" spans="2:9" s="309" customFormat="1" ht="15" customHeight="1">
      <c r="B186" s="308"/>
      <c r="C186" s="386"/>
      <c r="D186" s="387" t="s">
        <v>11</v>
      </c>
      <c r="E186" s="354" t="s">
        <v>17</v>
      </c>
      <c r="F186" s="354" t="s">
        <v>726</v>
      </c>
      <c r="G186" s="355">
        <v>0.08</v>
      </c>
      <c r="H186" s="388"/>
      <c r="I186" s="389"/>
    </row>
    <row r="187" spans="2:9" s="309" customFormat="1">
      <c r="B187" s="308"/>
      <c r="C187" s="432"/>
      <c r="D187" s="391"/>
      <c r="E187" s="391"/>
      <c r="F187" s="437"/>
      <c r="G187" s="1027" t="s">
        <v>727</v>
      </c>
      <c r="H187" s="1028"/>
      <c r="I187" s="435"/>
    </row>
    <row r="188" spans="2:9" s="309" customFormat="1">
      <c r="B188" s="308"/>
      <c r="C188" s="457" t="s">
        <v>8</v>
      </c>
      <c r="D188" s="458" t="s">
        <v>811</v>
      </c>
      <c r="E188" s="393"/>
      <c r="F188" s="393"/>
      <c r="G188" s="393"/>
      <c r="H188" s="393"/>
      <c r="I188" s="436"/>
    </row>
    <row r="189" spans="2:9" s="309" customFormat="1" ht="14.25">
      <c r="B189" s="308"/>
      <c r="C189" s="385"/>
      <c r="D189" s="365" t="s">
        <v>950</v>
      </c>
      <c r="E189" s="382"/>
      <c r="F189" s="383" t="s">
        <v>750</v>
      </c>
      <c r="G189" s="352">
        <v>0.13500000000000001</v>
      </c>
      <c r="H189" s="382"/>
      <c r="I189" s="384"/>
    </row>
    <row r="190" spans="2:9" s="309" customFormat="1" ht="14.25">
      <c r="B190" s="308"/>
      <c r="C190" s="385"/>
      <c r="D190" s="365" t="s">
        <v>412</v>
      </c>
      <c r="E190" s="382"/>
      <c r="F190" s="383" t="s">
        <v>750</v>
      </c>
      <c r="G190" s="352">
        <v>0.4</v>
      </c>
      <c r="H190" s="382"/>
      <c r="I190" s="384"/>
    </row>
    <row r="191" spans="2:9" s="309" customFormat="1" ht="15" customHeight="1">
      <c r="B191" s="308"/>
      <c r="C191" s="386"/>
      <c r="D191" s="387" t="s">
        <v>908</v>
      </c>
      <c r="E191" s="388"/>
      <c r="F191" s="459" t="s">
        <v>750</v>
      </c>
      <c r="G191" s="355">
        <v>0.94799999999999995</v>
      </c>
      <c r="H191" s="388"/>
      <c r="I191" s="389"/>
    </row>
    <row r="192" spans="2:9" s="309" customFormat="1">
      <c r="B192" s="308"/>
      <c r="C192" s="432"/>
      <c r="D192" s="391"/>
      <c r="E192" s="391"/>
      <c r="F192" s="437"/>
      <c r="G192" s="1027" t="s">
        <v>728</v>
      </c>
      <c r="H192" s="1028"/>
      <c r="I192" s="435"/>
    </row>
    <row r="193" spans="2:9" s="309" customFormat="1">
      <c r="B193" s="308"/>
      <c r="C193" s="457" t="s">
        <v>9</v>
      </c>
      <c r="D193" s="458" t="s">
        <v>815</v>
      </c>
      <c r="E193" s="393"/>
      <c r="F193" s="393"/>
      <c r="G193" s="393"/>
      <c r="H193" s="393"/>
      <c r="I193" s="436"/>
    </row>
    <row r="194" spans="2:9" s="309" customFormat="1" ht="15" customHeight="1">
      <c r="B194" s="308"/>
      <c r="C194" s="386"/>
      <c r="D194" s="388"/>
      <c r="E194" s="388"/>
      <c r="F194" s="388"/>
      <c r="G194" s="388"/>
      <c r="H194" s="388"/>
      <c r="I194" s="389"/>
    </row>
    <row r="195" spans="2:9" s="309" customFormat="1">
      <c r="B195" s="308"/>
      <c r="C195" s="432"/>
      <c r="D195" s="391"/>
      <c r="E195" s="391"/>
      <c r="F195" s="437"/>
      <c r="G195" s="1043" t="s">
        <v>729</v>
      </c>
      <c r="H195" s="1043"/>
      <c r="I195" s="435"/>
    </row>
    <row r="196" spans="2:9" s="309" customFormat="1" ht="15" customHeight="1">
      <c r="B196" s="308"/>
      <c r="C196" s="376" t="s">
        <v>12</v>
      </c>
      <c r="D196" s="1022" t="s">
        <v>730</v>
      </c>
      <c r="E196" s="1034"/>
      <c r="F196" s="1034"/>
      <c r="G196" s="1035"/>
      <c r="H196" s="1051"/>
      <c r="I196" s="401"/>
    </row>
    <row r="197" spans="2:9" s="309" customFormat="1" ht="15" customHeight="1">
      <c r="B197" s="308"/>
      <c r="C197" s="377" t="s">
        <v>13</v>
      </c>
      <c r="D197" s="1036" t="s">
        <v>731</v>
      </c>
      <c r="E197" s="1037"/>
      <c r="F197" s="1038"/>
      <c r="G197" s="1039" t="s">
        <v>740</v>
      </c>
      <c r="H197" s="1051"/>
      <c r="I197" s="403"/>
    </row>
    <row r="198" spans="2:9" s="309" customFormat="1" ht="13.5" thickBot="1">
      <c r="B198" s="308"/>
      <c r="C198" s="456" t="s">
        <v>14</v>
      </c>
      <c r="D198" s="1029" t="s">
        <v>817</v>
      </c>
      <c r="E198" s="1030"/>
      <c r="F198" s="1030"/>
      <c r="G198" s="1030"/>
      <c r="H198" s="1031"/>
      <c r="I198" s="404"/>
    </row>
    <row r="199" spans="2:9" s="309" customFormat="1">
      <c r="B199" s="308"/>
      <c r="C199" s="11"/>
      <c r="D199" s="338"/>
      <c r="E199" s="338"/>
      <c r="F199" s="338"/>
      <c r="G199" s="338"/>
      <c r="H199" s="526"/>
      <c r="I199" s="338"/>
    </row>
    <row r="200" spans="2:9" s="570" customFormat="1" ht="16.5" thickBot="1">
      <c r="B200" s="541">
        <v>13</v>
      </c>
      <c r="C200" s="569" t="s">
        <v>1646</v>
      </c>
      <c r="H200" s="573"/>
    </row>
    <row r="201" spans="2:9" s="309" customFormat="1" ht="26.25" thickBot="1">
      <c r="B201" s="308"/>
      <c r="C201" s="334" t="s">
        <v>840</v>
      </c>
      <c r="D201" s="335" t="s">
        <v>841</v>
      </c>
      <c r="E201" s="335" t="s">
        <v>842</v>
      </c>
      <c r="F201" s="335" t="s">
        <v>843</v>
      </c>
      <c r="G201" s="431" t="s">
        <v>844</v>
      </c>
      <c r="H201" s="524" t="s">
        <v>955</v>
      </c>
      <c r="I201" s="496" t="s">
        <v>846</v>
      </c>
    </row>
    <row r="202" spans="2:9" s="309" customFormat="1">
      <c r="B202" s="308"/>
      <c r="C202" s="491" t="s">
        <v>7</v>
      </c>
      <c r="D202" s="365" t="s">
        <v>810</v>
      </c>
      <c r="E202" s="382"/>
      <c r="F202" s="382"/>
      <c r="G202" s="382"/>
      <c r="H202" s="382"/>
      <c r="I202" s="395"/>
    </row>
    <row r="203" spans="2:9" s="309" customFormat="1">
      <c r="B203" s="308"/>
      <c r="C203" s="385"/>
      <c r="D203" s="365" t="s">
        <v>10</v>
      </c>
      <c r="E203" s="351" t="s">
        <v>16</v>
      </c>
      <c r="F203" s="351" t="s">
        <v>726</v>
      </c>
      <c r="G203" s="352">
        <v>0.15</v>
      </c>
      <c r="H203" s="382"/>
      <c r="I203" s="395"/>
    </row>
    <row r="204" spans="2:9" s="309" customFormat="1">
      <c r="B204" s="308"/>
      <c r="C204" s="386"/>
      <c r="D204" s="387" t="s">
        <v>11</v>
      </c>
      <c r="E204" s="354" t="s">
        <v>17</v>
      </c>
      <c r="F204" s="354" t="s">
        <v>726</v>
      </c>
      <c r="G204" s="355">
        <v>1.4999999999999999E-2</v>
      </c>
      <c r="H204" s="388"/>
      <c r="I204" s="395"/>
    </row>
    <row r="205" spans="2:9" s="309" customFormat="1">
      <c r="B205" s="308"/>
      <c r="C205" s="432"/>
      <c r="D205" s="391"/>
      <c r="E205" s="391"/>
      <c r="F205" s="437"/>
      <c r="G205" s="1027" t="s">
        <v>727</v>
      </c>
      <c r="H205" s="1028"/>
      <c r="I205" s="435"/>
    </row>
    <row r="206" spans="2:9" s="309" customFormat="1">
      <c r="B206" s="308"/>
      <c r="C206" s="457" t="s">
        <v>8</v>
      </c>
      <c r="D206" s="458" t="s">
        <v>811</v>
      </c>
      <c r="E206" s="393"/>
      <c r="F206" s="393"/>
      <c r="G206" s="393"/>
      <c r="H206" s="393"/>
      <c r="I206" s="436"/>
    </row>
    <row r="207" spans="2:9" s="309" customFormat="1" ht="14.25">
      <c r="B207" s="308"/>
      <c r="C207" s="386"/>
      <c r="D207" s="387" t="s">
        <v>204</v>
      </c>
      <c r="E207" s="388"/>
      <c r="F207" s="459" t="s">
        <v>750</v>
      </c>
      <c r="G207" s="355">
        <v>6</v>
      </c>
      <c r="H207" s="388"/>
      <c r="I207" s="389"/>
    </row>
    <row r="208" spans="2:9" s="309" customFormat="1">
      <c r="B208" s="308"/>
      <c r="C208" s="432"/>
      <c r="D208" s="391"/>
      <c r="E208" s="391"/>
      <c r="F208" s="437"/>
      <c r="G208" s="1027" t="s">
        <v>728</v>
      </c>
      <c r="H208" s="1028"/>
      <c r="I208" s="435"/>
    </row>
    <row r="209" spans="2:9" s="309" customFormat="1">
      <c r="B209" s="308"/>
      <c r="C209" s="457" t="s">
        <v>9</v>
      </c>
      <c r="D209" s="458" t="s">
        <v>815</v>
      </c>
      <c r="E209" s="393"/>
      <c r="F209" s="393"/>
      <c r="G209" s="393"/>
      <c r="H209" s="393"/>
      <c r="I209" s="436"/>
    </row>
    <row r="210" spans="2:9" s="309" customFormat="1">
      <c r="B210" s="308"/>
      <c r="C210" s="386"/>
      <c r="D210" s="388"/>
      <c r="E210" s="388"/>
      <c r="F210" s="388"/>
      <c r="G210" s="388"/>
      <c r="H210" s="388"/>
      <c r="I210" s="389"/>
    </row>
    <row r="211" spans="2:9" s="309" customFormat="1">
      <c r="B211" s="308"/>
      <c r="C211" s="432"/>
      <c r="D211" s="391"/>
      <c r="E211" s="391"/>
      <c r="F211" s="437"/>
      <c r="G211" s="1027" t="s">
        <v>729</v>
      </c>
      <c r="H211" s="1028"/>
      <c r="I211" s="435"/>
    </row>
    <row r="212" spans="2:9" s="309" customFormat="1">
      <c r="B212" s="308"/>
      <c r="C212" s="376" t="s">
        <v>12</v>
      </c>
      <c r="D212" s="1022" t="s">
        <v>730</v>
      </c>
      <c r="E212" s="1034"/>
      <c r="F212" s="1034"/>
      <c r="G212" s="1034"/>
      <c r="H212" s="1023"/>
      <c r="I212" s="401"/>
    </row>
    <row r="213" spans="2:9" s="309" customFormat="1">
      <c r="B213" s="308"/>
      <c r="C213" s="377" t="s">
        <v>13</v>
      </c>
      <c r="D213" s="1036" t="s">
        <v>731</v>
      </c>
      <c r="E213" s="1037"/>
      <c r="F213" s="1038"/>
      <c r="G213" s="1039" t="s">
        <v>740</v>
      </c>
      <c r="H213" s="1051"/>
      <c r="I213" s="403"/>
    </row>
    <row r="214" spans="2:9" s="309" customFormat="1" ht="13.5" thickBot="1">
      <c r="B214" s="308"/>
      <c r="C214" s="456" t="s">
        <v>14</v>
      </c>
      <c r="D214" s="1029" t="s">
        <v>817</v>
      </c>
      <c r="E214" s="1030"/>
      <c r="F214" s="1030"/>
      <c r="G214" s="1030"/>
      <c r="H214" s="1031"/>
      <c r="I214" s="404"/>
    </row>
    <row r="215" spans="2:9" s="309" customFormat="1">
      <c r="B215" s="308"/>
      <c r="C215" s="461"/>
      <c r="D215" s="446"/>
      <c r="E215" s="446"/>
      <c r="F215" s="446"/>
      <c r="G215" s="446"/>
      <c r="H215" s="446"/>
      <c r="I215" s="440"/>
    </row>
    <row r="216" spans="2:9" s="570" customFormat="1" ht="16.5" thickBot="1">
      <c r="B216" s="541">
        <v>14</v>
      </c>
      <c r="C216" s="569" t="s">
        <v>981</v>
      </c>
      <c r="H216" s="573"/>
    </row>
    <row r="217" spans="2:9" s="309" customFormat="1" ht="26.25" thickBot="1">
      <c r="B217" s="308"/>
      <c r="C217" s="334" t="s">
        <v>840</v>
      </c>
      <c r="D217" s="335" t="s">
        <v>841</v>
      </c>
      <c r="E217" s="335" t="s">
        <v>842</v>
      </c>
      <c r="F217" s="335" t="s">
        <v>843</v>
      </c>
      <c r="G217" s="431" t="s">
        <v>844</v>
      </c>
      <c r="H217" s="508" t="s">
        <v>952</v>
      </c>
      <c r="I217" s="337" t="s">
        <v>846</v>
      </c>
    </row>
    <row r="218" spans="2:9" s="309" customFormat="1">
      <c r="B218" s="308"/>
      <c r="C218" s="491" t="s">
        <v>7</v>
      </c>
      <c r="D218" s="365" t="s">
        <v>810</v>
      </c>
      <c r="E218" s="382"/>
      <c r="F218" s="382"/>
      <c r="G218" s="382"/>
      <c r="H218" s="382"/>
      <c r="I218" s="384"/>
    </row>
    <row r="219" spans="2:9" s="309" customFormat="1">
      <c r="B219" s="308"/>
      <c r="C219" s="385"/>
      <c r="D219" s="365" t="s">
        <v>10</v>
      </c>
      <c r="E219" s="351" t="s">
        <v>16</v>
      </c>
      <c r="F219" s="351" t="s">
        <v>726</v>
      </c>
      <c r="G219" s="352">
        <v>0.25</v>
      </c>
      <c r="H219" s="382"/>
      <c r="I219" s="384"/>
    </row>
    <row r="220" spans="2:9" s="309" customFormat="1">
      <c r="B220" s="308"/>
      <c r="C220" s="386"/>
      <c r="D220" s="387" t="s">
        <v>11</v>
      </c>
      <c r="E220" s="354" t="s">
        <v>17</v>
      </c>
      <c r="F220" s="354" t="s">
        <v>726</v>
      </c>
      <c r="G220" s="355">
        <v>2.5000000000000001E-2</v>
      </c>
      <c r="H220" s="388"/>
      <c r="I220" s="389"/>
    </row>
    <row r="221" spans="2:9" s="309" customFormat="1">
      <c r="B221" s="308"/>
      <c r="C221" s="432"/>
      <c r="D221" s="391"/>
      <c r="E221" s="391"/>
      <c r="F221" s="437"/>
      <c r="G221" s="1027" t="s">
        <v>727</v>
      </c>
      <c r="H221" s="1028"/>
      <c r="I221" s="435"/>
    </row>
    <row r="222" spans="2:9" s="309" customFormat="1">
      <c r="B222" s="308"/>
      <c r="C222" s="457" t="s">
        <v>8</v>
      </c>
      <c r="D222" s="458" t="s">
        <v>811</v>
      </c>
      <c r="E222" s="393"/>
      <c r="F222" s="393"/>
      <c r="G222" s="393"/>
      <c r="H222" s="393"/>
      <c r="I222" s="436"/>
    </row>
    <row r="223" spans="2:9" s="309" customFormat="1" ht="14.25">
      <c r="B223" s="308"/>
      <c r="C223" s="386"/>
      <c r="D223" s="387" t="s">
        <v>951</v>
      </c>
      <c r="E223" s="388"/>
      <c r="F223" s="459" t="s">
        <v>750</v>
      </c>
      <c r="G223" s="355">
        <v>1.2</v>
      </c>
      <c r="H223" s="388"/>
      <c r="I223" s="389"/>
    </row>
    <row r="224" spans="2:9" s="309" customFormat="1">
      <c r="B224" s="308"/>
      <c r="C224" s="432"/>
      <c r="D224" s="391"/>
      <c r="E224" s="391"/>
      <c r="F224" s="437"/>
      <c r="G224" s="1027" t="s">
        <v>728</v>
      </c>
      <c r="H224" s="1028"/>
      <c r="I224" s="435"/>
    </row>
    <row r="225" spans="2:9" s="309" customFormat="1">
      <c r="B225" s="308"/>
      <c r="C225" s="457" t="s">
        <v>9</v>
      </c>
      <c r="D225" s="458" t="s">
        <v>815</v>
      </c>
      <c r="E225" s="393"/>
      <c r="F225" s="393"/>
      <c r="G225" s="393"/>
      <c r="H225" s="393"/>
      <c r="I225" s="436"/>
    </row>
    <row r="226" spans="2:9" s="309" customFormat="1">
      <c r="B226" s="308"/>
      <c r="C226" s="386"/>
      <c r="D226" s="388"/>
      <c r="E226" s="388"/>
      <c r="F226" s="388"/>
      <c r="G226" s="388"/>
      <c r="H226" s="388"/>
      <c r="I226" s="389"/>
    </row>
    <row r="227" spans="2:9" s="309" customFormat="1">
      <c r="B227" s="308"/>
      <c r="C227" s="432"/>
      <c r="D227" s="391"/>
      <c r="E227" s="391"/>
      <c r="F227" s="437"/>
      <c r="G227" s="1027" t="s">
        <v>729</v>
      </c>
      <c r="H227" s="1028"/>
      <c r="I227" s="435"/>
    </row>
    <row r="228" spans="2:9" s="309" customFormat="1">
      <c r="B228" s="308"/>
      <c r="C228" s="376" t="s">
        <v>12</v>
      </c>
      <c r="D228" s="1022" t="s">
        <v>730</v>
      </c>
      <c r="E228" s="1034"/>
      <c r="F228" s="1034"/>
      <c r="G228" s="1034"/>
      <c r="H228" s="1023"/>
      <c r="I228" s="401"/>
    </row>
    <row r="229" spans="2:9" s="309" customFormat="1">
      <c r="B229" s="308"/>
      <c r="C229" s="377" t="s">
        <v>13</v>
      </c>
      <c r="D229" s="1036" t="s">
        <v>731</v>
      </c>
      <c r="E229" s="1037"/>
      <c r="F229" s="1038"/>
      <c r="G229" s="1039" t="s">
        <v>740</v>
      </c>
      <c r="H229" s="1051"/>
      <c r="I229" s="403"/>
    </row>
    <row r="230" spans="2:9" s="309" customFormat="1" ht="13.5" thickBot="1">
      <c r="B230" s="308"/>
      <c r="C230" s="456" t="s">
        <v>14</v>
      </c>
      <c r="D230" s="1029" t="s">
        <v>817</v>
      </c>
      <c r="E230" s="1030"/>
      <c r="F230" s="1030"/>
      <c r="G230" s="1030"/>
      <c r="H230" s="1031"/>
      <c r="I230" s="404"/>
    </row>
    <row r="231" spans="2:9" s="309" customFormat="1">
      <c r="B231" s="308"/>
      <c r="C231" s="461"/>
      <c r="D231" s="446"/>
      <c r="E231" s="446"/>
      <c r="F231" s="446"/>
      <c r="G231" s="446"/>
      <c r="H231" s="446"/>
      <c r="I231" s="440"/>
    </row>
    <row r="232" spans="2:9" s="405" customFormat="1" ht="16.5" customHeight="1">
      <c r="B232" s="517">
        <v>15</v>
      </c>
      <c r="C232" s="569" t="s">
        <v>191</v>
      </c>
      <c r="D232" s="569"/>
      <c r="E232" s="569"/>
      <c r="F232" s="569"/>
      <c r="G232" s="569"/>
      <c r="H232" s="569"/>
      <c r="I232" s="471"/>
    </row>
    <row r="233" spans="2:9" ht="13.5" thickBot="1">
      <c r="C233" s="341"/>
    </row>
    <row r="234" spans="2:9" ht="42" customHeight="1" thickBot="1">
      <c r="C234" s="934" t="s">
        <v>0</v>
      </c>
      <c r="D234" s="935" t="s">
        <v>1</v>
      </c>
      <c r="E234" s="936" t="s">
        <v>2</v>
      </c>
      <c r="F234" s="935" t="s">
        <v>3</v>
      </c>
      <c r="G234" s="935" t="s">
        <v>4</v>
      </c>
      <c r="H234" s="937" t="s">
        <v>5</v>
      </c>
      <c r="I234" s="938" t="s">
        <v>59</v>
      </c>
    </row>
    <row r="235" spans="2:9">
      <c r="C235" s="64" t="s">
        <v>7</v>
      </c>
      <c r="D235" s="407" t="s">
        <v>74</v>
      </c>
      <c r="E235" s="18"/>
      <c r="F235" s="22"/>
      <c r="G235" s="418"/>
      <c r="H235" s="529"/>
      <c r="I235" s="21"/>
    </row>
    <row r="236" spans="2:9">
      <c r="C236" s="64">
        <v>1</v>
      </c>
      <c r="D236" s="407" t="s">
        <v>10</v>
      </c>
      <c r="E236" s="26" t="s">
        <v>16</v>
      </c>
      <c r="F236" s="22" t="s">
        <v>66</v>
      </c>
      <c r="G236" s="31">
        <v>0.25</v>
      </c>
      <c r="H236" s="529"/>
      <c r="I236" s="928">
        <f>G236*H236</f>
        <v>0</v>
      </c>
    </row>
    <row r="237" spans="2:9">
      <c r="C237" s="64">
        <f>C236+1</f>
        <v>2</v>
      </c>
      <c r="D237" s="407" t="s">
        <v>11</v>
      </c>
      <c r="E237" s="26" t="s">
        <v>22</v>
      </c>
      <c r="F237" s="22" t="s">
        <v>66</v>
      </c>
      <c r="G237" s="31">
        <v>0.01</v>
      </c>
      <c r="H237" s="529"/>
      <c r="I237" s="928">
        <f>G237*H237</f>
        <v>0</v>
      </c>
    </row>
    <row r="238" spans="2:9">
      <c r="C238" s="1143" t="s">
        <v>60</v>
      </c>
      <c r="D238" s="1144"/>
      <c r="E238" s="1144"/>
      <c r="F238" s="1144"/>
      <c r="G238" s="1144"/>
      <c r="H238" s="1145"/>
      <c r="I238" s="929">
        <f>SUM(I235:I237)</f>
        <v>0</v>
      </c>
    </row>
    <row r="239" spans="2:9">
      <c r="C239" s="64" t="s">
        <v>8</v>
      </c>
      <c r="D239" s="407" t="s">
        <v>61</v>
      </c>
      <c r="E239" s="18"/>
      <c r="F239" s="22"/>
      <c r="G239" s="478"/>
      <c r="H239" s="530"/>
      <c r="I239" s="927"/>
    </row>
    <row r="240" spans="2:9">
      <c r="C240" s="64">
        <v>1</v>
      </c>
      <c r="D240" s="407" t="s">
        <v>78</v>
      </c>
      <c r="E240" s="18"/>
      <c r="F240" s="22" t="s">
        <v>56</v>
      </c>
      <c r="G240" s="31">
        <v>0.15</v>
      </c>
      <c r="H240" s="530"/>
      <c r="I240" s="928">
        <f>G240*H240</f>
        <v>0</v>
      </c>
    </row>
    <row r="241" spans="2:9">
      <c r="C241" s="64">
        <f>C240+1</f>
        <v>2</v>
      </c>
      <c r="D241" s="407" t="s">
        <v>76</v>
      </c>
      <c r="E241" s="18"/>
      <c r="F241" s="22" t="s">
        <v>57</v>
      </c>
      <c r="G241" s="31">
        <v>0.1</v>
      </c>
      <c r="H241" s="530"/>
      <c r="I241" s="928">
        <f>G241*H241</f>
        <v>0</v>
      </c>
    </row>
    <row r="242" spans="2:9">
      <c r="C242" s="64">
        <f>C241+1</f>
        <v>3</v>
      </c>
      <c r="D242" s="407" t="s">
        <v>79</v>
      </c>
      <c r="E242" s="18"/>
      <c r="F242" s="22" t="s">
        <v>80</v>
      </c>
      <c r="G242" s="31">
        <v>0.25</v>
      </c>
      <c r="H242" s="530"/>
      <c r="I242" s="928">
        <f>G242*H242</f>
        <v>0</v>
      </c>
    </row>
    <row r="243" spans="2:9">
      <c r="C243" s="1143" t="s">
        <v>18</v>
      </c>
      <c r="D243" s="1144"/>
      <c r="E243" s="1144"/>
      <c r="F243" s="1144"/>
      <c r="G243" s="1144"/>
      <c r="H243" s="1145"/>
      <c r="I243" s="929">
        <f>SUM(I239:I242)</f>
        <v>0</v>
      </c>
    </row>
    <row r="244" spans="2:9">
      <c r="C244" s="64" t="s">
        <v>9</v>
      </c>
      <c r="D244" s="407" t="s">
        <v>62</v>
      </c>
      <c r="E244" s="505"/>
      <c r="F244" s="415"/>
      <c r="G244" s="505"/>
      <c r="H244" s="531"/>
      <c r="I244" s="927"/>
    </row>
    <row r="245" spans="2:9">
      <c r="C245" s="64"/>
      <c r="D245" s="407"/>
      <c r="E245" s="18"/>
      <c r="F245" s="22"/>
      <c r="G245" s="30"/>
      <c r="H245" s="529"/>
      <c r="I245" s="928">
        <f>G245*H245</f>
        <v>0</v>
      </c>
    </row>
    <row r="246" spans="2:9">
      <c r="C246" s="1143" t="s">
        <v>63</v>
      </c>
      <c r="D246" s="1144"/>
      <c r="E246" s="1144"/>
      <c r="F246" s="1144"/>
      <c r="G246" s="1144"/>
      <c r="H246" s="1145"/>
      <c r="I246" s="929">
        <f>SUM(I244:I245)</f>
        <v>0</v>
      </c>
    </row>
    <row r="247" spans="2:9">
      <c r="C247" s="44" t="s">
        <v>12</v>
      </c>
      <c r="D247" s="1146" t="s">
        <v>64</v>
      </c>
      <c r="E247" s="1147"/>
      <c r="F247" s="1147"/>
      <c r="G247" s="1147"/>
      <c r="H247" s="1148"/>
      <c r="I247" s="929">
        <f>I238+I243+I246</f>
        <v>0</v>
      </c>
    </row>
    <row r="248" spans="2:9">
      <c r="C248" s="43" t="s">
        <v>13</v>
      </c>
      <c r="D248" s="1149" t="s">
        <v>65</v>
      </c>
      <c r="E248" s="1150"/>
      <c r="F248" s="1151"/>
      <c r="G248" s="483"/>
      <c r="H248" s="532">
        <f>I247</f>
        <v>0</v>
      </c>
      <c r="I248" s="939">
        <f>G248*H248</f>
        <v>0</v>
      </c>
    </row>
    <row r="249" spans="2:9" ht="13.5" thickBot="1">
      <c r="C249" s="45" t="s">
        <v>14</v>
      </c>
      <c r="D249" s="1140" t="s">
        <v>73</v>
      </c>
      <c r="E249" s="1141"/>
      <c r="F249" s="1141"/>
      <c r="G249" s="1141"/>
      <c r="H249" s="1142"/>
      <c r="I249" s="940">
        <f>I247+I248</f>
        <v>0</v>
      </c>
    </row>
    <row r="251" spans="2:9" s="405" customFormat="1" ht="13.5" thickBot="1">
      <c r="B251" s="517">
        <v>16</v>
      </c>
      <c r="C251" s="518" t="str">
        <f>REKAP!E67</f>
        <v>Mengurug tanah m3</v>
      </c>
      <c r="E251" s="280"/>
      <c r="F251" s="406"/>
      <c r="G251" s="470"/>
      <c r="H251" s="527"/>
      <c r="I251" s="471"/>
    </row>
    <row r="252" spans="2:9">
      <c r="C252" s="1069" t="s">
        <v>0</v>
      </c>
      <c r="D252" s="1071" t="s">
        <v>1</v>
      </c>
      <c r="E252" s="1073" t="s">
        <v>2</v>
      </c>
      <c r="F252" s="1071" t="s">
        <v>3</v>
      </c>
      <c r="G252" s="1077" t="s">
        <v>4</v>
      </c>
      <c r="H252" s="503" t="s">
        <v>5</v>
      </c>
      <c r="I252" s="473" t="s">
        <v>59</v>
      </c>
    </row>
    <row r="253" spans="2:9" ht="13.5" thickBot="1">
      <c r="C253" s="1070"/>
      <c r="D253" s="1072"/>
      <c r="E253" s="1074"/>
      <c r="F253" s="1072"/>
      <c r="G253" s="1078"/>
      <c r="H253" s="528" t="s">
        <v>6</v>
      </c>
      <c r="I253" s="475" t="s">
        <v>6</v>
      </c>
    </row>
    <row r="254" spans="2:9">
      <c r="C254" s="64" t="s">
        <v>7</v>
      </c>
      <c r="D254" s="407" t="s">
        <v>74</v>
      </c>
      <c r="E254" s="18"/>
      <c r="F254" s="22"/>
      <c r="G254" s="418"/>
      <c r="H254" s="529"/>
      <c r="I254" s="927"/>
    </row>
    <row r="255" spans="2:9">
      <c r="C255" s="64">
        <v>1</v>
      </c>
      <c r="D255" s="407" t="s">
        <v>10</v>
      </c>
      <c r="E255" s="26" t="s">
        <v>16</v>
      </c>
      <c r="F255" s="22" t="s">
        <v>66</v>
      </c>
      <c r="G255" s="31">
        <v>0.3</v>
      </c>
      <c r="H255" s="529"/>
      <c r="I255" s="928">
        <f>G255*H255</f>
        <v>0</v>
      </c>
    </row>
    <row r="256" spans="2:9">
      <c r="C256" s="64">
        <f>C255+1</f>
        <v>2</v>
      </c>
      <c r="D256" s="407" t="s">
        <v>11</v>
      </c>
      <c r="E256" s="26" t="s">
        <v>22</v>
      </c>
      <c r="F256" s="22" t="s">
        <v>66</v>
      </c>
      <c r="G256" s="31">
        <v>0.01</v>
      </c>
      <c r="H256" s="529"/>
      <c r="I256" s="928">
        <f>G256*H256</f>
        <v>0</v>
      </c>
    </row>
    <row r="257" spans="2:9">
      <c r="C257" s="1143" t="s">
        <v>60</v>
      </c>
      <c r="D257" s="1144"/>
      <c r="E257" s="1144"/>
      <c r="F257" s="1144"/>
      <c r="G257" s="1144"/>
      <c r="H257" s="1145"/>
      <c r="I257" s="929">
        <f>SUM(I254:I256)</f>
        <v>0</v>
      </c>
    </row>
    <row r="258" spans="2:9">
      <c r="C258" s="64" t="s">
        <v>8</v>
      </c>
      <c r="D258" s="407" t="s">
        <v>61</v>
      </c>
      <c r="E258" s="18"/>
      <c r="F258" s="22"/>
      <c r="G258" s="478"/>
      <c r="H258" s="530"/>
      <c r="I258" s="927"/>
    </row>
    <row r="259" spans="2:9">
      <c r="C259" s="64">
        <v>1</v>
      </c>
      <c r="D259" s="407" t="s">
        <v>205</v>
      </c>
      <c r="E259" s="18"/>
      <c r="F259" s="22" t="s">
        <v>56</v>
      </c>
      <c r="G259" s="31">
        <v>1.2</v>
      </c>
      <c r="H259" s="530"/>
      <c r="I259" s="928">
        <f>G259*H259</f>
        <v>0</v>
      </c>
    </row>
    <row r="260" spans="2:9">
      <c r="C260" s="1143" t="s">
        <v>18</v>
      </c>
      <c r="D260" s="1144"/>
      <c r="E260" s="1144"/>
      <c r="F260" s="1144"/>
      <c r="G260" s="1144"/>
      <c r="H260" s="1145"/>
      <c r="I260" s="929">
        <f>SUM(I258:I259)</f>
        <v>0</v>
      </c>
    </row>
    <row r="261" spans="2:9">
      <c r="C261" s="64" t="s">
        <v>9</v>
      </c>
      <c r="D261" s="407" t="s">
        <v>62</v>
      </c>
      <c r="E261" s="505"/>
      <c r="F261" s="415"/>
      <c r="G261" s="505"/>
      <c r="H261" s="531"/>
      <c r="I261" s="927"/>
    </row>
    <row r="262" spans="2:9">
      <c r="C262" s="64"/>
      <c r="D262" s="407"/>
      <c r="E262" s="18"/>
      <c r="F262" s="22"/>
      <c r="G262" s="30"/>
      <c r="H262" s="529"/>
      <c r="I262" s="928">
        <f>G262*H262</f>
        <v>0</v>
      </c>
    </row>
    <row r="263" spans="2:9">
      <c r="C263" s="1143" t="s">
        <v>63</v>
      </c>
      <c r="D263" s="1144"/>
      <c r="E263" s="1144"/>
      <c r="F263" s="1144"/>
      <c r="G263" s="1144"/>
      <c r="H263" s="1145"/>
      <c r="I263" s="929">
        <f>SUM(I261:I262)</f>
        <v>0</v>
      </c>
    </row>
    <row r="264" spans="2:9">
      <c r="C264" s="44" t="s">
        <v>12</v>
      </c>
      <c r="D264" s="1146" t="s">
        <v>64</v>
      </c>
      <c r="E264" s="1147"/>
      <c r="F264" s="1147"/>
      <c r="G264" s="1147"/>
      <c r="H264" s="1148"/>
      <c r="I264" s="929">
        <f>I257+I260+I263</f>
        <v>0</v>
      </c>
    </row>
    <row r="265" spans="2:9">
      <c r="C265" s="43" t="s">
        <v>13</v>
      </c>
      <c r="D265" s="1149" t="s">
        <v>65</v>
      </c>
      <c r="E265" s="1150"/>
      <c r="F265" s="1151"/>
      <c r="G265" s="483"/>
      <c r="H265" s="532">
        <f>I264</f>
        <v>0</v>
      </c>
      <c r="I265" s="939">
        <f>G265*H265</f>
        <v>0</v>
      </c>
    </row>
    <row r="266" spans="2:9" ht="13.5" thickBot="1">
      <c r="C266" s="45" t="s">
        <v>14</v>
      </c>
      <c r="D266" s="1140" t="s">
        <v>73</v>
      </c>
      <c r="E266" s="1141"/>
      <c r="F266" s="1141"/>
      <c r="G266" s="1141"/>
      <c r="H266" s="1142"/>
      <c r="I266" s="940">
        <f>I264+I265</f>
        <v>0</v>
      </c>
    </row>
    <row r="268" spans="2:9" s="405" customFormat="1" ht="13.5" thickBot="1">
      <c r="B268" s="517">
        <v>17</v>
      </c>
      <c r="C268" s="518" t="str">
        <f>REKAP!E69</f>
        <v>Membuat sumur m1</v>
      </c>
      <c r="E268" s="280"/>
      <c r="F268" s="406"/>
      <c r="G268" s="470"/>
      <c r="H268" s="527"/>
      <c r="I268" s="471"/>
    </row>
    <row r="269" spans="2:9">
      <c r="C269" s="1069" t="s">
        <v>0</v>
      </c>
      <c r="D269" s="1071" t="s">
        <v>1</v>
      </c>
      <c r="E269" s="1073" t="s">
        <v>2</v>
      </c>
      <c r="F269" s="1071" t="s">
        <v>3</v>
      </c>
      <c r="G269" s="1077" t="s">
        <v>4</v>
      </c>
      <c r="H269" s="503" t="s">
        <v>5</v>
      </c>
      <c r="I269" s="473" t="s">
        <v>59</v>
      </c>
    </row>
    <row r="270" spans="2:9" ht="13.5" thickBot="1">
      <c r="C270" s="1070"/>
      <c r="D270" s="1072"/>
      <c r="E270" s="1074"/>
      <c r="F270" s="1072"/>
      <c r="G270" s="1078"/>
      <c r="H270" s="528" t="s">
        <v>6</v>
      </c>
      <c r="I270" s="475" t="s">
        <v>6</v>
      </c>
    </row>
    <row r="271" spans="2:9">
      <c r="C271" s="64" t="s">
        <v>7</v>
      </c>
      <c r="D271" s="407" t="s">
        <v>74</v>
      </c>
      <c r="E271" s="504"/>
      <c r="F271" s="22"/>
      <c r="G271" s="418"/>
      <c r="H271" s="536"/>
      <c r="I271" s="927"/>
    </row>
    <row r="272" spans="2:9">
      <c r="C272" s="64">
        <v>1</v>
      </c>
      <c r="D272" s="407" t="s">
        <v>206</v>
      </c>
      <c r="E272" s="534" t="s">
        <v>16</v>
      </c>
      <c r="F272" s="22" t="s">
        <v>66</v>
      </c>
      <c r="G272" s="31">
        <v>1</v>
      </c>
      <c r="H272" s="536"/>
      <c r="I272" s="928">
        <f>G272*H272</f>
        <v>0</v>
      </c>
    </row>
    <row r="273" spans="2:9">
      <c r="C273" s="64">
        <f>C272+1</f>
        <v>2</v>
      </c>
      <c r="D273" s="407" t="s">
        <v>10</v>
      </c>
      <c r="E273" s="534" t="s">
        <v>22</v>
      </c>
      <c r="F273" s="22" t="s">
        <v>66</v>
      </c>
      <c r="G273" s="31">
        <v>0.73499999999999999</v>
      </c>
      <c r="H273" s="536"/>
      <c r="I273" s="928">
        <f>G273*H273</f>
        <v>0</v>
      </c>
    </row>
    <row r="274" spans="2:9">
      <c r="C274" s="43">
        <v>3</v>
      </c>
      <c r="D274" s="409" t="s">
        <v>11</v>
      </c>
      <c r="E274" s="535"/>
      <c r="F274" s="41" t="s">
        <v>66</v>
      </c>
      <c r="G274" s="538">
        <v>7.3499999999999996E-2</v>
      </c>
      <c r="H274" s="537"/>
      <c r="I274" s="928"/>
    </row>
    <row r="275" spans="2:9">
      <c r="C275" s="1143" t="s">
        <v>60</v>
      </c>
      <c r="D275" s="1144"/>
      <c r="E275" s="1144"/>
      <c r="F275" s="1144"/>
      <c r="G275" s="1144"/>
      <c r="H275" s="1145"/>
      <c r="I275" s="929">
        <f>SUM(I271:I273)</f>
        <v>0</v>
      </c>
    </row>
    <row r="276" spans="2:9">
      <c r="C276" s="64" t="s">
        <v>8</v>
      </c>
      <c r="D276" s="407" t="s">
        <v>61</v>
      </c>
      <c r="E276" s="18"/>
      <c r="F276" s="22"/>
      <c r="G276" s="478"/>
      <c r="H276" s="530"/>
      <c r="I276" s="927"/>
    </row>
    <row r="277" spans="2:9">
      <c r="C277" s="64">
        <v>1</v>
      </c>
      <c r="D277" s="407" t="s">
        <v>207</v>
      </c>
      <c r="E277" s="18"/>
      <c r="F277" s="22" t="s">
        <v>56</v>
      </c>
      <c r="G277" s="31">
        <v>2</v>
      </c>
      <c r="H277" s="530"/>
      <c r="I277" s="928">
        <f>G277*H277</f>
        <v>0</v>
      </c>
    </row>
    <row r="278" spans="2:9">
      <c r="C278" s="1143" t="s">
        <v>18</v>
      </c>
      <c r="D278" s="1144"/>
      <c r="E278" s="1144"/>
      <c r="F278" s="1144"/>
      <c r="G278" s="1144"/>
      <c r="H278" s="1145"/>
      <c r="I278" s="929">
        <f>SUM(I276:I277)</f>
        <v>0</v>
      </c>
    </row>
    <row r="279" spans="2:9">
      <c r="C279" s="64" t="s">
        <v>9</v>
      </c>
      <c r="D279" s="407" t="s">
        <v>62</v>
      </c>
      <c r="E279" s="770"/>
      <c r="F279" s="415"/>
      <c r="G279" s="770"/>
      <c r="H279" s="531"/>
      <c r="I279" s="927"/>
    </row>
    <row r="280" spans="2:9">
      <c r="C280" s="64"/>
      <c r="D280" s="407"/>
      <c r="E280" s="18"/>
      <c r="F280" s="22"/>
      <c r="G280" s="30"/>
      <c r="H280" s="529"/>
      <c r="I280" s="928">
        <f>G280*H280</f>
        <v>0</v>
      </c>
    </row>
    <row r="281" spans="2:9">
      <c r="C281" s="1143" t="s">
        <v>63</v>
      </c>
      <c r="D281" s="1144"/>
      <c r="E281" s="1144"/>
      <c r="F281" s="1144"/>
      <c r="G281" s="1144"/>
      <c r="H281" s="1145"/>
      <c r="I281" s="929">
        <f>SUM(I279:I280)</f>
        <v>0</v>
      </c>
    </row>
    <row r="282" spans="2:9">
      <c r="C282" s="44" t="s">
        <v>12</v>
      </c>
      <c r="D282" s="1146" t="s">
        <v>64</v>
      </c>
      <c r="E282" s="1147"/>
      <c r="F282" s="1147"/>
      <c r="G282" s="1147"/>
      <c r="H282" s="1148"/>
      <c r="I282" s="929">
        <f>I275+I278+I281</f>
        <v>0</v>
      </c>
    </row>
    <row r="283" spans="2:9">
      <c r="C283" s="43" t="s">
        <v>13</v>
      </c>
      <c r="D283" s="1149" t="s">
        <v>65</v>
      </c>
      <c r="E283" s="1150"/>
      <c r="F283" s="1151"/>
      <c r="G283" s="483"/>
      <c r="H283" s="532">
        <f>I282</f>
        <v>0</v>
      </c>
      <c r="I283" s="939">
        <f>G283*H283</f>
        <v>0</v>
      </c>
    </row>
    <row r="284" spans="2:9" ht="13.5" thickBot="1">
      <c r="C284" s="45" t="s">
        <v>14</v>
      </c>
      <c r="D284" s="1140" t="s">
        <v>73</v>
      </c>
      <c r="E284" s="1141"/>
      <c r="F284" s="1141"/>
      <c r="G284" s="1141"/>
      <c r="H284" s="1142"/>
      <c r="I284" s="940">
        <f>I282+I283</f>
        <v>0</v>
      </c>
    </row>
    <row r="285" spans="2:9">
      <c r="I285" s="941"/>
    </row>
    <row r="286" spans="2:9" s="405" customFormat="1">
      <c r="B286" s="517">
        <v>18</v>
      </c>
      <c r="C286" s="518" t="str">
        <f>'[1]Lamp_1 (Konstruksi 1-199)'!$F$387</f>
        <v>Gebalan rumput</v>
      </c>
      <c r="E286" s="280"/>
      <c r="F286" s="406"/>
      <c r="G286" s="470"/>
      <c r="H286" s="527"/>
      <c r="I286" s="471"/>
    </row>
    <row r="287" spans="2:9" ht="13.5" thickBot="1">
      <c r="C287" s="341"/>
    </row>
    <row r="288" spans="2:9">
      <c r="C288" s="1069" t="s">
        <v>0</v>
      </c>
      <c r="D288" s="1071" t="s">
        <v>1</v>
      </c>
      <c r="E288" s="1073" t="s">
        <v>2</v>
      </c>
      <c r="F288" s="1071" t="s">
        <v>3</v>
      </c>
      <c r="G288" s="1077" t="s">
        <v>4</v>
      </c>
      <c r="H288" s="503" t="s">
        <v>5</v>
      </c>
      <c r="I288" s="473" t="s">
        <v>59</v>
      </c>
    </row>
    <row r="289" spans="3:9" ht="13.5" thickBot="1">
      <c r="C289" s="1070"/>
      <c r="D289" s="1072"/>
      <c r="E289" s="1074"/>
      <c r="F289" s="1072"/>
      <c r="G289" s="1078"/>
      <c r="H289" s="528" t="s">
        <v>6</v>
      </c>
      <c r="I289" s="475" t="s">
        <v>6</v>
      </c>
    </row>
    <row r="290" spans="3:9">
      <c r="C290" s="539" t="s">
        <v>7</v>
      </c>
      <c r="D290" s="407" t="s">
        <v>74</v>
      </c>
      <c r="E290" s="504"/>
      <c r="F290" s="22"/>
      <c r="G290" s="505"/>
      <c r="H290" s="529"/>
      <c r="I290" s="927"/>
    </row>
    <row r="291" spans="3:9">
      <c r="C291" s="539">
        <v>1</v>
      </c>
      <c r="D291" s="407" t="s">
        <v>10</v>
      </c>
      <c r="E291" s="534" t="s">
        <v>16</v>
      </c>
      <c r="F291" s="22" t="s">
        <v>66</v>
      </c>
      <c r="G291" s="540">
        <v>0.5</v>
      </c>
      <c r="H291" s="529"/>
      <c r="I291" s="928">
        <f>G291*H291</f>
        <v>0</v>
      </c>
    </row>
    <row r="292" spans="3:9">
      <c r="C292" s="539">
        <f>C291+1</f>
        <v>2</v>
      </c>
      <c r="D292" s="409" t="s">
        <v>11</v>
      </c>
      <c r="E292" s="534" t="s">
        <v>22</v>
      </c>
      <c r="F292" s="41" t="s">
        <v>66</v>
      </c>
      <c r="G292" s="540">
        <v>2.5000000000000001E-2</v>
      </c>
      <c r="H292" s="533"/>
      <c r="I292" s="928">
        <f>G292*H292</f>
        <v>0</v>
      </c>
    </row>
    <row r="293" spans="3:9">
      <c r="C293" s="1143" t="s">
        <v>60</v>
      </c>
      <c r="D293" s="1144"/>
      <c r="E293" s="1144"/>
      <c r="F293" s="1144"/>
      <c r="G293" s="1144"/>
      <c r="H293" s="1145"/>
      <c r="I293" s="929">
        <f>SUM(I290:I292)</f>
        <v>0</v>
      </c>
    </row>
    <row r="294" spans="3:9">
      <c r="C294" s="64" t="s">
        <v>8</v>
      </c>
      <c r="D294" s="407" t="s">
        <v>61</v>
      </c>
      <c r="E294" s="18"/>
      <c r="F294" s="22"/>
      <c r="G294" s="478"/>
      <c r="H294" s="530"/>
      <c r="I294" s="927"/>
    </row>
    <row r="295" spans="3:9">
      <c r="C295" s="64">
        <v>1</v>
      </c>
      <c r="D295" s="407" t="s">
        <v>208</v>
      </c>
      <c r="E295" s="18"/>
      <c r="F295" s="22" t="s">
        <v>56</v>
      </c>
      <c r="G295" s="31">
        <v>0.2</v>
      </c>
      <c r="H295" s="530"/>
      <c r="I295" s="928">
        <f>G295*H295</f>
        <v>0</v>
      </c>
    </row>
    <row r="296" spans="3:9">
      <c r="C296" s="64">
        <f>C295+1</f>
        <v>2</v>
      </c>
      <c r="D296" s="407" t="s">
        <v>209</v>
      </c>
      <c r="E296" s="18"/>
      <c r="F296" s="22" t="s">
        <v>57</v>
      </c>
      <c r="G296" s="31">
        <v>1</v>
      </c>
      <c r="H296" s="530"/>
      <c r="I296" s="928">
        <f>G296*H296</f>
        <v>0</v>
      </c>
    </row>
    <row r="297" spans="3:9">
      <c r="C297" s="1143" t="s">
        <v>18</v>
      </c>
      <c r="D297" s="1144"/>
      <c r="E297" s="1144"/>
      <c r="F297" s="1144"/>
      <c r="G297" s="1144"/>
      <c r="H297" s="1145"/>
      <c r="I297" s="929">
        <f>SUM(I294:I296)</f>
        <v>0</v>
      </c>
    </row>
    <row r="298" spans="3:9">
      <c r="C298" s="64" t="s">
        <v>9</v>
      </c>
      <c r="D298" s="407" t="s">
        <v>62</v>
      </c>
      <c r="E298" s="505"/>
      <c r="F298" s="415"/>
      <c r="G298" s="505"/>
      <c r="H298" s="531"/>
      <c r="I298" s="927"/>
    </row>
    <row r="299" spans="3:9">
      <c r="C299" s="64"/>
      <c r="D299" s="407"/>
      <c r="E299" s="18"/>
      <c r="F299" s="22"/>
      <c r="G299" s="30"/>
      <c r="H299" s="529"/>
      <c r="I299" s="928">
        <f>G299*H299</f>
        <v>0</v>
      </c>
    </row>
    <row r="300" spans="3:9">
      <c r="C300" s="1143" t="s">
        <v>63</v>
      </c>
      <c r="D300" s="1144"/>
      <c r="E300" s="1144"/>
      <c r="F300" s="1144"/>
      <c r="G300" s="1144"/>
      <c r="H300" s="1145"/>
      <c r="I300" s="929">
        <f>SUM(I298:I299)</f>
        <v>0</v>
      </c>
    </row>
    <row r="301" spans="3:9">
      <c r="C301" s="44" t="s">
        <v>12</v>
      </c>
      <c r="D301" s="1146" t="s">
        <v>64</v>
      </c>
      <c r="E301" s="1147"/>
      <c r="F301" s="1147"/>
      <c r="G301" s="1147"/>
      <c r="H301" s="1148"/>
      <c r="I301" s="929">
        <f>I293+I297+I300</f>
        <v>0</v>
      </c>
    </row>
    <row r="302" spans="3:9">
      <c r="C302" s="43" t="s">
        <v>13</v>
      </c>
      <c r="D302" s="1149" t="s">
        <v>65</v>
      </c>
      <c r="E302" s="1150"/>
      <c r="F302" s="1151"/>
      <c r="G302" s="483"/>
      <c r="H302" s="532">
        <f>I301</f>
        <v>0</v>
      </c>
      <c r="I302" s="939">
        <f>G302*H302</f>
        <v>0</v>
      </c>
    </row>
    <row r="303" spans="3:9" ht="13.5" thickBot="1">
      <c r="C303" s="45" t="s">
        <v>14</v>
      </c>
      <c r="D303" s="1140" t="s">
        <v>73</v>
      </c>
      <c r="E303" s="1141"/>
      <c r="F303" s="1141"/>
      <c r="G303" s="1141"/>
      <c r="H303" s="1142"/>
      <c r="I303" s="940">
        <f>I301+I302</f>
        <v>0</v>
      </c>
    </row>
  </sheetData>
  <mergeCells count="141">
    <mergeCell ref="D160:H160"/>
    <mergeCell ref="D161:F161"/>
    <mergeCell ref="G161:H161"/>
    <mergeCell ref="D162:H162"/>
    <mergeCell ref="G169:H169"/>
    <mergeCell ref="G141:H141"/>
    <mergeCell ref="G143:H143"/>
    <mergeCell ref="D144:H144"/>
    <mergeCell ref="D145:F145"/>
    <mergeCell ref="G145:H145"/>
    <mergeCell ref="D146:H146"/>
    <mergeCell ref="D99:H99"/>
    <mergeCell ref="G122:H122"/>
    <mergeCell ref="G125:H125"/>
    <mergeCell ref="G128:H128"/>
    <mergeCell ref="D129:H129"/>
    <mergeCell ref="D130:F130"/>
    <mergeCell ref="G130:H130"/>
    <mergeCell ref="D131:H131"/>
    <mergeCell ref="G159:H159"/>
    <mergeCell ref="D249:H249"/>
    <mergeCell ref="C238:H238"/>
    <mergeCell ref="C243:H243"/>
    <mergeCell ref="C246:H246"/>
    <mergeCell ref="D247:H247"/>
    <mergeCell ref="D248:F248"/>
    <mergeCell ref="D252:D253"/>
    <mergeCell ref="E252:E253"/>
    <mergeCell ref="F252:F253"/>
    <mergeCell ref="G252:G253"/>
    <mergeCell ref="G41:H41"/>
    <mergeCell ref="G44:H44"/>
    <mergeCell ref="G47:H47"/>
    <mergeCell ref="D48:H48"/>
    <mergeCell ref="D49:F49"/>
    <mergeCell ref="D213:F213"/>
    <mergeCell ref="G49:H49"/>
    <mergeCell ref="D50:H50"/>
    <mergeCell ref="G58:H58"/>
    <mergeCell ref="G61:H61"/>
    <mergeCell ref="G64:H64"/>
    <mergeCell ref="D65:H65"/>
    <mergeCell ref="D66:F66"/>
    <mergeCell ref="G66:H66"/>
    <mergeCell ref="D67:H67"/>
    <mergeCell ref="G74:H74"/>
    <mergeCell ref="G77:H77"/>
    <mergeCell ref="G172:H172"/>
    <mergeCell ref="G175:H175"/>
    <mergeCell ref="D176:H176"/>
    <mergeCell ref="G80:H80"/>
    <mergeCell ref="D81:H81"/>
    <mergeCell ref="D82:F82"/>
    <mergeCell ref="G82:H82"/>
    <mergeCell ref="C25:F25"/>
    <mergeCell ref="G25:H25"/>
    <mergeCell ref="C28:F28"/>
    <mergeCell ref="G28:H28"/>
    <mergeCell ref="G31:H31"/>
    <mergeCell ref="D32:H32"/>
    <mergeCell ref="D33:F33"/>
    <mergeCell ref="G33:H33"/>
    <mergeCell ref="D34:H34"/>
    <mergeCell ref="G8:H8"/>
    <mergeCell ref="C11:F11"/>
    <mergeCell ref="G11:H11"/>
    <mergeCell ref="C14:F14"/>
    <mergeCell ref="G14:H14"/>
    <mergeCell ref="D15:H15"/>
    <mergeCell ref="D16:F16"/>
    <mergeCell ref="G16:H16"/>
    <mergeCell ref="D17:H17"/>
    <mergeCell ref="D83:H83"/>
    <mergeCell ref="G90:H90"/>
    <mergeCell ref="G93:H93"/>
    <mergeCell ref="G195:H195"/>
    <mergeCell ref="D196:H196"/>
    <mergeCell ref="D177:F177"/>
    <mergeCell ref="G177:H177"/>
    <mergeCell ref="D178:H178"/>
    <mergeCell ref="G187:H187"/>
    <mergeCell ref="G192:H192"/>
    <mergeCell ref="G106:H106"/>
    <mergeCell ref="G109:H109"/>
    <mergeCell ref="G112:H112"/>
    <mergeCell ref="D113:H113"/>
    <mergeCell ref="D114:F114"/>
    <mergeCell ref="G114:H114"/>
    <mergeCell ref="D115:H115"/>
    <mergeCell ref="G153:H153"/>
    <mergeCell ref="G156:H156"/>
    <mergeCell ref="G138:H138"/>
    <mergeCell ref="G96:H96"/>
    <mergeCell ref="D97:H97"/>
    <mergeCell ref="D98:F98"/>
    <mergeCell ref="G98:H98"/>
    <mergeCell ref="D197:F197"/>
    <mergeCell ref="G197:H197"/>
    <mergeCell ref="D198:H198"/>
    <mergeCell ref="G205:H205"/>
    <mergeCell ref="G208:H208"/>
    <mergeCell ref="G211:H211"/>
    <mergeCell ref="D212:H212"/>
    <mergeCell ref="G213:H213"/>
    <mergeCell ref="D214:H214"/>
    <mergeCell ref="G221:H221"/>
    <mergeCell ref="G224:H224"/>
    <mergeCell ref="G227:H227"/>
    <mergeCell ref="D228:H228"/>
    <mergeCell ref="D229:F229"/>
    <mergeCell ref="G229:H229"/>
    <mergeCell ref="D230:H230"/>
    <mergeCell ref="D301:H301"/>
    <mergeCell ref="D302:F302"/>
    <mergeCell ref="C293:H293"/>
    <mergeCell ref="C297:H297"/>
    <mergeCell ref="C300:H300"/>
    <mergeCell ref="C269:C270"/>
    <mergeCell ref="D269:D270"/>
    <mergeCell ref="E269:E270"/>
    <mergeCell ref="F269:F270"/>
    <mergeCell ref="G269:G270"/>
    <mergeCell ref="C257:H257"/>
    <mergeCell ref="C260:H260"/>
    <mergeCell ref="C263:H263"/>
    <mergeCell ref="D264:H264"/>
    <mergeCell ref="D265:F265"/>
    <mergeCell ref="D266:H266"/>
    <mergeCell ref="C252:C253"/>
    <mergeCell ref="D303:H303"/>
    <mergeCell ref="C275:H275"/>
    <mergeCell ref="C278:H278"/>
    <mergeCell ref="C281:H281"/>
    <mergeCell ref="D282:H282"/>
    <mergeCell ref="D283:F283"/>
    <mergeCell ref="D284:H284"/>
    <mergeCell ref="C288:C289"/>
    <mergeCell ref="D288:D289"/>
    <mergeCell ref="E288:E289"/>
    <mergeCell ref="F288:F289"/>
    <mergeCell ref="G288:G289"/>
  </mergeCells>
  <printOptions horizontalCentered="1"/>
  <pageMargins left="0.39370078740157483" right="0.31496062992125984" top="0.74803149606299213" bottom="0.74803149606299213" header="0.31496062992125984" footer="0.31496062992125984"/>
  <pageSetup paperSize="258" scale="95" firstPageNumber="14" fitToHeight="0" orientation="portrait" useFirstPageNumber="1" horizontalDpi="4294967293" r:id="rId1"/>
  <headerFooter>
    <oddFooter>&amp;R&amp;P</oddFooter>
  </headerFooter>
  <rowBreaks count="5" manualBreakCount="5">
    <brk id="50" max="16383" man="1"/>
    <brk id="99" min="1" max="8" man="1"/>
    <brk id="147" max="16383" man="1"/>
    <brk id="198" max="16383" man="1"/>
    <brk id="24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theme="3" tint="0.59999389629810485"/>
  </sheetPr>
  <dimension ref="B2:I230"/>
  <sheetViews>
    <sheetView showGridLines="0" view="pageBreakPreview" topLeftCell="A199" zoomScale="85" zoomScaleSheetLayoutView="85" zoomScalePageLayoutView="55" workbookViewId="0">
      <selection activeCell="M155" sqref="M155"/>
    </sheetView>
  </sheetViews>
  <sheetFormatPr defaultRowHeight="12.75"/>
  <cols>
    <col min="1" max="1" width="9.140625" style="2"/>
    <col min="2" max="2" width="4.7109375" style="4" customWidth="1"/>
    <col min="3" max="3" width="4.5703125" style="4" customWidth="1"/>
    <col min="4" max="4" width="31.42578125" style="2" bestFit="1" customWidth="1"/>
    <col min="5" max="5" width="7.140625" style="3" bestFit="1" customWidth="1"/>
    <col min="6" max="6" width="8.5703125" style="4" customWidth="1"/>
    <col min="7" max="7" width="11.140625" style="55" customWidth="1"/>
    <col min="8" max="8" width="14.42578125" style="547" customWidth="1"/>
    <col min="9" max="9" width="14.140625" style="6" customWidth="1"/>
    <col min="10" max="16384" width="9.140625" style="2"/>
  </cols>
  <sheetData>
    <row r="2" spans="2:9">
      <c r="B2" s="10" t="s">
        <v>457</v>
      </c>
      <c r="C2" s="270" t="str">
        <f>'[1]Lamp_1 (Konstruksi 1-199)'!$D$393</f>
        <v>PEKERJAAN PONDASI</v>
      </c>
    </row>
    <row r="3" spans="2:9">
      <c r="B3" s="10"/>
      <c r="C3" s="270"/>
    </row>
    <row r="4" spans="2:9" s="597" customFormat="1" ht="16.5" thickBot="1">
      <c r="B4" s="598">
        <v>1</v>
      </c>
      <c r="C4" s="572" t="s">
        <v>983</v>
      </c>
      <c r="E4" s="598"/>
      <c r="F4" s="598"/>
      <c r="H4" s="599"/>
    </row>
    <row r="5" spans="2:9" s="580" customFormat="1" ht="26.25" thickBot="1">
      <c r="B5" s="602"/>
      <c r="C5" s="330" t="s">
        <v>840</v>
      </c>
      <c r="D5" s="331" t="s">
        <v>841</v>
      </c>
      <c r="E5" s="331" t="s">
        <v>842</v>
      </c>
      <c r="F5" s="331" t="s">
        <v>843</v>
      </c>
      <c r="G5" s="332" t="s">
        <v>844</v>
      </c>
      <c r="H5" s="331" t="s">
        <v>845</v>
      </c>
      <c r="I5" s="333" t="s">
        <v>846</v>
      </c>
    </row>
    <row r="6" spans="2:9" s="580" customFormat="1" ht="14.1" customHeight="1">
      <c r="B6" s="602"/>
      <c r="C6" s="543" t="s">
        <v>7</v>
      </c>
      <c r="D6" s="289" t="s">
        <v>810</v>
      </c>
      <c r="E6" s="581"/>
      <c r="F6" s="581"/>
      <c r="G6" s="299"/>
      <c r="H6" s="299"/>
      <c r="I6" s="300"/>
    </row>
    <row r="7" spans="2:9" s="580" customFormat="1" ht="14.1" customHeight="1">
      <c r="B7" s="602"/>
      <c r="C7" s="298"/>
      <c r="D7" s="289" t="s">
        <v>10</v>
      </c>
      <c r="E7" s="285" t="s">
        <v>16</v>
      </c>
      <c r="F7" s="285" t="s">
        <v>726</v>
      </c>
      <c r="G7" s="286">
        <v>1.5</v>
      </c>
      <c r="H7" s="299"/>
      <c r="I7" s="300"/>
    </row>
    <row r="8" spans="2:9" s="580" customFormat="1" ht="14.1" customHeight="1">
      <c r="B8" s="602"/>
      <c r="C8" s="298"/>
      <c r="D8" s="289" t="s">
        <v>143</v>
      </c>
      <c r="E8" s="285" t="s">
        <v>22</v>
      </c>
      <c r="F8" s="285" t="s">
        <v>726</v>
      </c>
      <c r="G8" s="286">
        <v>0.75</v>
      </c>
      <c r="H8" s="299"/>
      <c r="I8" s="300"/>
    </row>
    <row r="9" spans="2:9" s="580" customFormat="1" ht="14.1" customHeight="1">
      <c r="B9" s="602"/>
      <c r="C9" s="298"/>
      <c r="D9" s="289" t="s">
        <v>20</v>
      </c>
      <c r="E9" s="285" t="s">
        <v>21</v>
      </c>
      <c r="F9" s="285" t="s">
        <v>726</v>
      </c>
      <c r="G9" s="286">
        <v>7.4999999999999997E-2</v>
      </c>
      <c r="H9" s="299"/>
      <c r="I9" s="300"/>
    </row>
    <row r="10" spans="2:9" s="580" customFormat="1" ht="14.1" customHeight="1">
      <c r="B10" s="602"/>
      <c r="C10" s="301"/>
      <c r="D10" s="177" t="s">
        <v>11</v>
      </c>
      <c r="E10" s="287" t="s">
        <v>17</v>
      </c>
      <c r="F10" s="287" t="s">
        <v>726</v>
      </c>
      <c r="G10" s="288">
        <v>7.4999999999999997E-2</v>
      </c>
      <c r="H10" s="302"/>
      <c r="I10" s="303"/>
    </row>
    <row r="11" spans="2:9" s="580" customFormat="1" ht="14.1" customHeight="1">
      <c r="B11" s="602"/>
      <c r="C11" s="314"/>
      <c r="D11" s="582"/>
      <c r="E11" s="315"/>
      <c r="F11" s="583"/>
      <c r="G11" s="1155" t="s">
        <v>727</v>
      </c>
      <c r="H11" s="1156"/>
      <c r="I11" s="584"/>
    </row>
    <row r="12" spans="2:9" s="580" customFormat="1" ht="14.1" customHeight="1">
      <c r="B12" s="602"/>
      <c r="C12" s="292" t="s">
        <v>8</v>
      </c>
      <c r="D12" s="293" t="s">
        <v>811</v>
      </c>
      <c r="E12" s="585"/>
      <c r="F12" s="585"/>
      <c r="G12" s="296"/>
      <c r="H12" s="296"/>
      <c r="I12" s="297"/>
    </row>
    <row r="13" spans="2:9" s="580" customFormat="1" ht="14.1" customHeight="1">
      <c r="B13" s="602"/>
      <c r="C13" s="298"/>
      <c r="D13" s="289" t="s">
        <v>137</v>
      </c>
      <c r="E13" s="581"/>
      <c r="F13" s="581" t="s">
        <v>750</v>
      </c>
      <c r="G13" s="286">
        <v>1.2</v>
      </c>
      <c r="H13" s="299"/>
      <c r="I13" s="300"/>
    </row>
    <row r="14" spans="2:9" s="580" customFormat="1" ht="14.1" customHeight="1">
      <c r="B14" s="602"/>
      <c r="C14" s="298"/>
      <c r="D14" s="289" t="s">
        <v>806</v>
      </c>
      <c r="E14" s="581"/>
      <c r="F14" s="285" t="s">
        <v>734</v>
      </c>
      <c r="G14" s="286">
        <v>202</v>
      </c>
      <c r="H14" s="299"/>
      <c r="I14" s="300"/>
    </row>
    <row r="15" spans="2:9" s="580" customFormat="1" ht="14.1" customHeight="1">
      <c r="B15" s="602"/>
      <c r="C15" s="301"/>
      <c r="D15" s="177" t="s">
        <v>211</v>
      </c>
      <c r="E15" s="586"/>
      <c r="F15" s="586" t="s">
        <v>750</v>
      </c>
      <c r="G15" s="288">
        <v>0.48499999999999999</v>
      </c>
      <c r="H15" s="302"/>
      <c r="I15" s="303"/>
    </row>
    <row r="16" spans="2:9" s="580" customFormat="1" ht="14.1" customHeight="1">
      <c r="B16" s="602"/>
      <c r="C16" s="314"/>
      <c r="D16" s="582"/>
      <c r="E16" s="315"/>
      <c r="F16" s="583"/>
      <c r="G16" s="1157" t="s">
        <v>728</v>
      </c>
      <c r="H16" s="1158"/>
      <c r="I16" s="584"/>
    </row>
    <row r="17" spans="2:9" s="580" customFormat="1" ht="14.1" customHeight="1">
      <c r="B17" s="602"/>
      <c r="C17" s="292" t="s">
        <v>9</v>
      </c>
      <c r="D17" s="293" t="s">
        <v>815</v>
      </c>
      <c r="E17" s="585"/>
      <c r="F17" s="585"/>
      <c r="G17" s="296"/>
      <c r="H17" s="296"/>
      <c r="I17" s="297"/>
    </row>
    <row r="18" spans="2:9" s="580" customFormat="1" ht="14.1" customHeight="1">
      <c r="B18" s="602"/>
      <c r="C18" s="301"/>
      <c r="D18" s="302"/>
      <c r="E18" s="586"/>
      <c r="F18" s="586"/>
      <c r="G18" s="302"/>
      <c r="H18" s="302"/>
      <c r="I18" s="303"/>
    </row>
    <row r="19" spans="2:9" s="580" customFormat="1" ht="14.1" customHeight="1">
      <c r="B19" s="602"/>
      <c r="C19" s="314"/>
      <c r="D19" s="582"/>
      <c r="E19" s="315"/>
      <c r="F19" s="583"/>
      <c r="G19" s="1157" t="s">
        <v>729</v>
      </c>
      <c r="H19" s="1158"/>
      <c r="I19" s="584"/>
    </row>
    <row r="20" spans="2:9" s="580" customFormat="1" ht="14.1" customHeight="1">
      <c r="B20" s="602"/>
      <c r="C20" s="574" t="s">
        <v>12</v>
      </c>
      <c r="D20" s="1125" t="s">
        <v>730</v>
      </c>
      <c r="E20" s="1160"/>
      <c r="F20" s="1160"/>
      <c r="G20" s="1160"/>
      <c r="H20" s="1126"/>
      <c r="I20" s="305"/>
    </row>
    <row r="21" spans="2:9" s="580" customFormat="1" ht="14.1" customHeight="1">
      <c r="B21" s="602"/>
      <c r="C21" s="290" t="s">
        <v>13</v>
      </c>
      <c r="D21" s="1116" t="s">
        <v>731</v>
      </c>
      <c r="E21" s="1117"/>
      <c r="F21" s="1118"/>
      <c r="G21" s="1113" t="s">
        <v>740</v>
      </c>
      <c r="H21" s="1115"/>
      <c r="I21" s="306"/>
    </row>
    <row r="22" spans="2:9" s="580" customFormat="1" ht="14.1" customHeight="1" thickBot="1">
      <c r="B22" s="602"/>
      <c r="C22" s="291" t="s">
        <v>14</v>
      </c>
      <c r="D22" s="1119" t="s">
        <v>817</v>
      </c>
      <c r="E22" s="1120"/>
      <c r="F22" s="1120"/>
      <c r="G22" s="1120"/>
      <c r="H22" s="1121"/>
      <c r="I22" s="307"/>
    </row>
    <row r="23" spans="2:9" s="580" customFormat="1" ht="14.1" customHeight="1">
      <c r="B23" s="602"/>
      <c r="C23" s="295"/>
      <c r="D23" s="284"/>
      <c r="E23" s="295"/>
      <c r="F23" s="295"/>
      <c r="G23" s="284"/>
      <c r="H23" s="284"/>
      <c r="I23" s="316"/>
    </row>
    <row r="24" spans="2:9" s="598" customFormat="1" ht="16.5" thickBot="1">
      <c r="B24" s="598">
        <v>2</v>
      </c>
      <c r="C24" s="566" t="s">
        <v>984</v>
      </c>
      <c r="H24" s="601"/>
    </row>
    <row r="25" spans="2:9" s="580" customFormat="1" ht="26.25" thickBot="1">
      <c r="B25" s="602"/>
      <c r="C25" s="330" t="s">
        <v>840</v>
      </c>
      <c r="D25" s="331" t="s">
        <v>841</v>
      </c>
      <c r="E25" s="331" t="s">
        <v>842</v>
      </c>
      <c r="F25" s="331" t="s">
        <v>843</v>
      </c>
      <c r="G25" s="332" t="s">
        <v>844</v>
      </c>
      <c r="H25" s="331" t="s">
        <v>845</v>
      </c>
      <c r="I25" s="333" t="s">
        <v>846</v>
      </c>
    </row>
    <row r="26" spans="2:9" s="580" customFormat="1" ht="14.1" customHeight="1">
      <c r="B26" s="602"/>
      <c r="C26" s="543" t="s">
        <v>7</v>
      </c>
      <c r="D26" s="289" t="s">
        <v>810</v>
      </c>
      <c r="E26" s="581"/>
      <c r="F26" s="581"/>
      <c r="G26" s="299"/>
      <c r="H26" s="299"/>
      <c r="I26" s="300"/>
    </row>
    <row r="27" spans="2:9" s="580" customFormat="1" ht="14.1" customHeight="1">
      <c r="B27" s="602"/>
      <c r="C27" s="298"/>
      <c r="D27" s="289" t="s">
        <v>10</v>
      </c>
      <c r="E27" s="285" t="s">
        <v>16</v>
      </c>
      <c r="F27" s="285" t="s">
        <v>726</v>
      </c>
      <c r="G27" s="286">
        <v>1.5</v>
      </c>
      <c r="H27" s="299"/>
      <c r="I27" s="300"/>
    </row>
    <row r="28" spans="2:9" s="580" customFormat="1" ht="14.1" customHeight="1">
      <c r="B28" s="602"/>
      <c r="C28" s="298"/>
      <c r="D28" s="289" t="s">
        <v>143</v>
      </c>
      <c r="E28" s="285" t="s">
        <v>22</v>
      </c>
      <c r="F28" s="285" t="s">
        <v>726</v>
      </c>
      <c r="G28" s="286">
        <v>0.75</v>
      </c>
      <c r="H28" s="299"/>
      <c r="I28" s="300"/>
    </row>
    <row r="29" spans="2:9" s="580" customFormat="1" ht="14.1" customHeight="1">
      <c r="B29" s="602"/>
      <c r="C29" s="298"/>
      <c r="D29" s="289" t="s">
        <v>20</v>
      </c>
      <c r="E29" s="285" t="s">
        <v>21</v>
      </c>
      <c r="F29" s="285" t="s">
        <v>726</v>
      </c>
      <c r="G29" s="286">
        <v>7.4999999999999997E-2</v>
      </c>
      <c r="H29" s="299"/>
      <c r="I29" s="300"/>
    </row>
    <row r="30" spans="2:9" s="580" customFormat="1" ht="14.1" customHeight="1">
      <c r="B30" s="602"/>
      <c r="C30" s="301"/>
      <c r="D30" s="177" t="s">
        <v>11</v>
      </c>
      <c r="E30" s="287" t="s">
        <v>17</v>
      </c>
      <c r="F30" s="287" t="s">
        <v>726</v>
      </c>
      <c r="G30" s="288">
        <v>7.4999999999999997E-2</v>
      </c>
      <c r="H30" s="302"/>
      <c r="I30" s="303"/>
    </row>
    <row r="31" spans="2:9" s="580" customFormat="1" ht="14.1" customHeight="1">
      <c r="B31" s="602"/>
      <c r="C31" s="314"/>
      <c r="D31" s="582"/>
      <c r="E31" s="315"/>
      <c r="F31" s="583"/>
      <c r="G31" s="1155" t="s">
        <v>727</v>
      </c>
      <c r="H31" s="1156"/>
      <c r="I31" s="584"/>
    </row>
    <row r="32" spans="2:9" s="580" customFormat="1" ht="14.1" customHeight="1">
      <c r="B32" s="602"/>
      <c r="C32" s="292" t="s">
        <v>8</v>
      </c>
      <c r="D32" s="293" t="s">
        <v>811</v>
      </c>
      <c r="E32" s="585"/>
      <c r="F32" s="585"/>
      <c r="G32" s="296"/>
      <c r="H32" s="296"/>
      <c r="I32" s="297"/>
    </row>
    <row r="33" spans="2:9" s="580" customFormat="1" ht="14.1" customHeight="1">
      <c r="B33" s="602"/>
      <c r="C33" s="298"/>
      <c r="D33" s="289" t="s">
        <v>137</v>
      </c>
      <c r="E33" s="581"/>
      <c r="F33" s="581" t="s">
        <v>750</v>
      </c>
      <c r="G33" s="286">
        <v>1.2</v>
      </c>
      <c r="H33" s="299"/>
      <c r="I33" s="300"/>
    </row>
    <row r="34" spans="2:9" s="580" customFormat="1" ht="14.1" customHeight="1">
      <c r="B34" s="602"/>
      <c r="C34" s="298"/>
      <c r="D34" s="289" t="s">
        <v>806</v>
      </c>
      <c r="E34" s="581"/>
      <c r="F34" s="285" t="s">
        <v>734</v>
      </c>
      <c r="G34" s="286">
        <v>163</v>
      </c>
      <c r="H34" s="299"/>
      <c r="I34" s="300"/>
    </row>
    <row r="35" spans="2:9" s="580" customFormat="1" ht="14.1" customHeight="1">
      <c r="B35" s="602"/>
      <c r="C35" s="301"/>
      <c r="D35" s="177" t="s">
        <v>211</v>
      </c>
      <c r="E35" s="586"/>
      <c r="F35" s="586" t="s">
        <v>750</v>
      </c>
      <c r="G35" s="288">
        <v>0.52</v>
      </c>
      <c r="H35" s="302"/>
      <c r="I35" s="303"/>
    </row>
    <row r="36" spans="2:9" s="580" customFormat="1" ht="14.1" customHeight="1">
      <c r="B36" s="602"/>
      <c r="C36" s="314"/>
      <c r="D36" s="582"/>
      <c r="E36" s="315"/>
      <c r="F36" s="583"/>
      <c r="G36" s="1157" t="s">
        <v>728</v>
      </c>
      <c r="H36" s="1158"/>
      <c r="I36" s="584"/>
    </row>
    <row r="37" spans="2:9" s="580" customFormat="1" ht="14.1" customHeight="1">
      <c r="B37" s="602"/>
      <c r="C37" s="292" t="s">
        <v>9</v>
      </c>
      <c r="D37" s="293" t="s">
        <v>815</v>
      </c>
      <c r="E37" s="585"/>
      <c r="F37" s="585"/>
      <c r="G37" s="296"/>
      <c r="H37" s="296"/>
      <c r="I37" s="297"/>
    </row>
    <row r="38" spans="2:9" s="580" customFormat="1" ht="14.1" customHeight="1">
      <c r="B38" s="602"/>
      <c r="C38" s="298"/>
      <c r="D38" s="299"/>
      <c r="E38" s="581"/>
      <c r="F38" s="581"/>
      <c r="G38" s="299"/>
      <c r="H38" s="299"/>
      <c r="I38" s="300"/>
    </row>
    <row r="39" spans="2:9" s="580" customFormat="1" ht="14.1" customHeight="1">
      <c r="B39" s="602"/>
      <c r="C39" s="301"/>
      <c r="D39" s="302"/>
      <c r="E39" s="586"/>
      <c r="F39" s="586"/>
      <c r="G39" s="302"/>
      <c r="H39" s="302"/>
      <c r="I39" s="303"/>
    </row>
    <row r="40" spans="2:9" s="580" customFormat="1" ht="14.1" customHeight="1">
      <c r="B40" s="602"/>
      <c r="C40" s="314"/>
      <c r="D40" s="582"/>
      <c r="E40" s="315"/>
      <c r="F40" s="315"/>
      <c r="G40" s="1157" t="s">
        <v>729</v>
      </c>
      <c r="H40" s="1158"/>
      <c r="I40" s="584"/>
    </row>
    <row r="41" spans="2:9" s="580" customFormat="1" ht="14.1" customHeight="1">
      <c r="B41" s="602"/>
      <c r="C41" s="574" t="s">
        <v>12</v>
      </c>
      <c r="D41" s="1125" t="s">
        <v>730</v>
      </c>
      <c r="E41" s="1160"/>
      <c r="F41" s="1160"/>
      <c r="G41" s="1160"/>
      <c r="H41" s="1126"/>
      <c r="I41" s="305"/>
    </row>
    <row r="42" spans="2:9" s="580" customFormat="1" ht="14.1" customHeight="1">
      <c r="B42" s="602"/>
      <c r="C42" s="290" t="s">
        <v>13</v>
      </c>
      <c r="D42" s="1116" t="s">
        <v>731</v>
      </c>
      <c r="E42" s="1117"/>
      <c r="F42" s="1118"/>
      <c r="G42" s="1113" t="s">
        <v>740</v>
      </c>
      <c r="H42" s="1115"/>
      <c r="I42" s="306"/>
    </row>
    <row r="43" spans="2:9" s="580" customFormat="1" ht="14.1" customHeight="1" thickBot="1">
      <c r="B43" s="602"/>
      <c r="C43" s="291" t="s">
        <v>14</v>
      </c>
      <c r="D43" s="1119" t="s">
        <v>817</v>
      </c>
      <c r="E43" s="1120"/>
      <c r="F43" s="1120"/>
      <c r="G43" s="1120"/>
      <c r="H43" s="1121"/>
      <c r="I43" s="307"/>
    </row>
    <row r="44" spans="2:9" s="580" customFormat="1" ht="14.1" customHeight="1">
      <c r="B44" s="602"/>
      <c r="C44" s="589"/>
      <c r="E44" s="589"/>
      <c r="F44" s="589"/>
      <c r="H44" s="316"/>
    </row>
    <row r="45" spans="2:9" s="567" customFormat="1" ht="16.5" thickBot="1">
      <c r="B45" s="598">
        <v>3</v>
      </c>
      <c r="C45" s="566" t="s">
        <v>985</v>
      </c>
      <c r="E45" s="596"/>
      <c r="F45" s="596"/>
      <c r="H45" s="568"/>
    </row>
    <row r="46" spans="2:9" s="580" customFormat="1" ht="26.25" thickBot="1">
      <c r="B46" s="602"/>
      <c r="C46" s="330" t="s">
        <v>840</v>
      </c>
      <c r="D46" s="331" t="s">
        <v>841</v>
      </c>
      <c r="E46" s="331" t="s">
        <v>842</v>
      </c>
      <c r="F46" s="331" t="s">
        <v>843</v>
      </c>
      <c r="G46" s="331" t="s">
        <v>844</v>
      </c>
      <c r="H46" s="331" t="s">
        <v>845</v>
      </c>
      <c r="I46" s="333" t="s">
        <v>846</v>
      </c>
    </row>
    <row r="47" spans="2:9" s="580" customFormat="1" ht="14.1" customHeight="1">
      <c r="B47" s="602"/>
      <c r="C47" s="543" t="s">
        <v>7</v>
      </c>
      <c r="D47" s="289" t="s">
        <v>810</v>
      </c>
      <c r="E47" s="581"/>
      <c r="F47" s="581"/>
      <c r="G47" s="299"/>
      <c r="H47" s="299"/>
      <c r="I47" s="300"/>
    </row>
    <row r="48" spans="2:9" s="580" customFormat="1" ht="14.1" customHeight="1">
      <c r="B48" s="602"/>
      <c r="C48" s="298"/>
      <c r="D48" s="289" t="s">
        <v>10</v>
      </c>
      <c r="E48" s="285" t="s">
        <v>16</v>
      </c>
      <c r="F48" s="285" t="s">
        <v>726</v>
      </c>
      <c r="G48" s="286">
        <v>1.5</v>
      </c>
      <c r="H48" s="299"/>
      <c r="I48" s="300"/>
    </row>
    <row r="49" spans="2:9" s="580" customFormat="1" ht="14.1" customHeight="1">
      <c r="B49" s="602"/>
      <c r="C49" s="298"/>
      <c r="D49" s="289" t="s">
        <v>143</v>
      </c>
      <c r="E49" s="285" t="s">
        <v>22</v>
      </c>
      <c r="F49" s="285" t="s">
        <v>726</v>
      </c>
      <c r="G49" s="286">
        <v>0.75</v>
      </c>
      <c r="H49" s="299"/>
      <c r="I49" s="300"/>
    </row>
    <row r="50" spans="2:9" s="580" customFormat="1" ht="14.1" customHeight="1">
      <c r="B50" s="602"/>
      <c r="C50" s="298"/>
      <c r="D50" s="289" t="s">
        <v>20</v>
      </c>
      <c r="E50" s="285" t="s">
        <v>21</v>
      </c>
      <c r="F50" s="285" t="s">
        <v>726</v>
      </c>
      <c r="G50" s="286">
        <v>7.4999999999999997E-2</v>
      </c>
      <c r="H50" s="299"/>
      <c r="I50" s="300"/>
    </row>
    <row r="51" spans="2:9" s="580" customFormat="1" ht="14.1" customHeight="1">
      <c r="B51" s="602"/>
      <c r="C51" s="301"/>
      <c r="D51" s="177" t="s">
        <v>11</v>
      </c>
      <c r="E51" s="287" t="s">
        <v>17</v>
      </c>
      <c r="F51" s="287" t="s">
        <v>726</v>
      </c>
      <c r="G51" s="288">
        <v>7.4999999999999997E-2</v>
      </c>
      <c r="H51" s="302"/>
      <c r="I51" s="303"/>
    </row>
    <row r="52" spans="2:9" s="580" customFormat="1" ht="14.1" customHeight="1">
      <c r="B52" s="602"/>
      <c r="C52" s="314"/>
      <c r="D52" s="582"/>
      <c r="E52" s="315"/>
      <c r="F52" s="583"/>
      <c r="G52" s="1155" t="s">
        <v>727</v>
      </c>
      <c r="H52" s="1156"/>
      <c r="I52" s="584"/>
    </row>
    <row r="53" spans="2:9" s="580" customFormat="1" ht="14.1" customHeight="1">
      <c r="B53" s="602"/>
      <c r="C53" s="292" t="s">
        <v>8</v>
      </c>
      <c r="D53" s="293" t="s">
        <v>811</v>
      </c>
      <c r="E53" s="585"/>
      <c r="F53" s="585"/>
      <c r="G53" s="296"/>
      <c r="H53" s="296"/>
      <c r="I53" s="297"/>
    </row>
    <row r="54" spans="2:9" s="580" customFormat="1" ht="14.1" customHeight="1">
      <c r="B54" s="602"/>
      <c r="C54" s="298"/>
      <c r="D54" s="289" t="s">
        <v>137</v>
      </c>
      <c r="E54" s="581"/>
      <c r="F54" s="581" t="s">
        <v>750</v>
      </c>
      <c r="G54" s="286">
        <v>1.2</v>
      </c>
      <c r="H54" s="299"/>
      <c r="I54" s="300"/>
    </row>
    <row r="55" spans="2:9" s="580" customFormat="1" ht="14.1" customHeight="1">
      <c r="B55" s="602"/>
      <c r="C55" s="298"/>
      <c r="D55" s="289" t="s">
        <v>806</v>
      </c>
      <c r="E55" s="581"/>
      <c r="F55" s="285" t="s">
        <v>734</v>
      </c>
      <c r="G55" s="286">
        <v>136</v>
      </c>
      <c r="H55" s="299"/>
      <c r="I55" s="300"/>
    </row>
    <row r="56" spans="2:9" s="580" customFormat="1" ht="14.1" customHeight="1">
      <c r="B56" s="602"/>
      <c r="C56" s="301"/>
      <c r="D56" s="177" t="s">
        <v>211</v>
      </c>
      <c r="E56" s="586"/>
      <c r="F56" s="586" t="s">
        <v>750</v>
      </c>
      <c r="G56" s="288">
        <v>0.54400000000000004</v>
      </c>
      <c r="H56" s="302"/>
      <c r="I56" s="303"/>
    </row>
    <row r="57" spans="2:9" s="580" customFormat="1" ht="14.1" customHeight="1">
      <c r="B57" s="602"/>
      <c r="C57" s="314"/>
      <c r="D57" s="582"/>
      <c r="E57" s="315"/>
      <c r="F57" s="583"/>
      <c r="G57" s="1157" t="s">
        <v>728</v>
      </c>
      <c r="H57" s="1158"/>
      <c r="I57" s="584"/>
    </row>
    <row r="58" spans="2:9" s="580" customFormat="1" ht="14.1" customHeight="1">
      <c r="B58" s="602"/>
      <c r="C58" s="292" t="s">
        <v>9</v>
      </c>
      <c r="D58" s="293" t="s">
        <v>815</v>
      </c>
      <c r="E58" s="585"/>
      <c r="F58" s="585"/>
      <c r="G58" s="296"/>
      <c r="H58" s="296"/>
      <c r="I58" s="297"/>
    </row>
    <row r="59" spans="2:9" s="580" customFormat="1" ht="14.1" customHeight="1">
      <c r="B59" s="602"/>
      <c r="C59" s="301"/>
      <c r="D59" s="302"/>
      <c r="E59" s="586"/>
      <c r="F59" s="586"/>
      <c r="G59" s="302"/>
      <c r="H59" s="302"/>
      <c r="I59" s="303"/>
    </row>
    <row r="60" spans="2:9" s="580" customFormat="1" ht="14.1" customHeight="1">
      <c r="B60" s="602"/>
      <c r="C60" s="314"/>
      <c r="D60" s="582"/>
      <c r="E60" s="315"/>
      <c r="F60" s="583"/>
      <c r="G60" s="1157" t="s">
        <v>729</v>
      </c>
      <c r="H60" s="1158"/>
      <c r="I60" s="584"/>
    </row>
    <row r="61" spans="2:9" s="580" customFormat="1" ht="14.1" customHeight="1">
      <c r="B61" s="602"/>
      <c r="C61" s="574" t="s">
        <v>12</v>
      </c>
      <c r="D61" s="1125" t="s">
        <v>730</v>
      </c>
      <c r="E61" s="1160"/>
      <c r="F61" s="1160"/>
      <c r="G61" s="1160"/>
      <c r="H61" s="1126"/>
      <c r="I61" s="305"/>
    </row>
    <row r="62" spans="2:9" s="580" customFormat="1" ht="14.1" customHeight="1">
      <c r="B62" s="602"/>
      <c r="C62" s="290" t="s">
        <v>13</v>
      </c>
      <c r="D62" s="1116" t="s">
        <v>731</v>
      </c>
      <c r="E62" s="1117"/>
      <c r="F62" s="1118"/>
      <c r="G62" s="1113" t="s">
        <v>740</v>
      </c>
      <c r="H62" s="1115"/>
      <c r="I62" s="306"/>
    </row>
    <row r="63" spans="2:9" s="580" customFormat="1" ht="14.1" customHeight="1" thickBot="1">
      <c r="B63" s="602"/>
      <c r="C63" s="291" t="s">
        <v>14</v>
      </c>
      <c r="D63" s="1119" t="s">
        <v>817</v>
      </c>
      <c r="E63" s="1120"/>
      <c r="F63" s="1120"/>
      <c r="G63" s="1120"/>
      <c r="H63" s="1121"/>
      <c r="I63" s="307"/>
    </row>
    <row r="64" spans="2:9" s="580" customFormat="1" ht="14.1" customHeight="1">
      <c r="B64" s="602"/>
      <c r="C64" s="295"/>
      <c r="D64" s="284"/>
      <c r="E64" s="295"/>
      <c r="F64" s="295"/>
      <c r="G64" s="284"/>
      <c r="H64" s="284"/>
      <c r="I64" s="316"/>
    </row>
    <row r="65" spans="2:9" s="567" customFormat="1" ht="16.5" thickBot="1">
      <c r="B65" s="598">
        <v>4</v>
      </c>
      <c r="C65" s="566" t="s">
        <v>989</v>
      </c>
      <c r="E65" s="596"/>
      <c r="F65" s="596"/>
      <c r="H65" s="568"/>
    </row>
    <row r="66" spans="2:9" s="580" customFormat="1" ht="26.25" thickBot="1">
      <c r="B66" s="602"/>
      <c r="C66" s="330" t="s">
        <v>840</v>
      </c>
      <c r="D66" s="331" t="s">
        <v>841</v>
      </c>
      <c r="E66" s="331" t="s">
        <v>842</v>
      </c>
      <c r="F66" s="331" t="s">
        <v>843</v>
      </c>
      <c r="G66" s="331" t="s">
        <v>844</v>
      </c>
      <c r="H66" s="331" t="s">
        <v>845</v>
      </c>
      <c r="I66" s="333" t="s">
        <v>846</v>
      </c>
    </row>
    <row r="67" spans="2:9" s="580" customFormat="1" ht="14.1" customHeight="1">
      <c r="B67" s="602"/>
      <c r="C67" s="543" t="s">
        <v>7</v>
      </c>
      <c r="D67" s="289" t="s">
        <v>810</v>
      </c>
      <c r="E67" s="581"/>
      <c r="F67" s="581"/>
      <c r="G67" s="299"/>
      <c r="H67" s="299"/>
      <c r="I67" s="300"/>
    </row>
    <row r="68" spans="2:9" s="580" customFormat="1" ht="14.1" customHeight="1">
      <c r="B68" s="602"/>
      <c r="C68" s="298"/>
      <c r="D68" s="289" t="s">
        <v>10</v>
      </c>
      <c r="E68" s="285" t="s">
        <v>16</v>
      </c>
      <c r="F68" s="285" t="s">
        <v>726</v>
      </c>
      <c r="G68" s="286">
        <v>1.5</v>
      </c>
      <c r="H68" s="299"/>
      <c r="I68" s="300"/>
    </row>
    <row r="69" spans="2:9" s="580" customFormat="1" ht="14.1" customHeight="1">
      <c r="B69" s="602"/>
      <c r="C69" s="298"/>
      <c r="D69" s="289" t="s">
        <v>143</v>
      </c>
      <c r="E69" s="285" t="s">
        <v>22</v>
      </c>
      <c r="F69" s="285" t="s">
        <v>726</v>
      </c>
      <c r="G69" s="286">
        <v>0.75</v>
      </c>
      <c r="H69" s="299"/>
      <c r="I69" s="300"/>
    </row>
    <row r="70" spans="2:9" s="580" customFormat="1" ht="14.1" customHeight="1">
      <c r="B70" s="602"/>
      <c r="C70" s="298"/>
      <c r="D70" s="289" t="s">
        <v>20</v>
      </c>
      <c r="E70" s="285" t="s">
        <v>21</v>
      </c>
      <c r="F70" s="285" t="s">
        <v>726</v>
      </c>
      <c r="G70" s="286">
        <v>7.4999999999999997E-2</v>
      </c>
      <c r="H70" s="299"/>
      <c r="I70" s="300"/>
    </row>
    <row r="71" spans="2:9" s="580" customFormat="1" ht="14.1" customHeight="1">
      <c r="B71" s="602"/>
      <c r="C71" s="301"/>
      <c r="D71" s="177" t="s">
        <v>11</v>
      </c>
      <c r="E71" s="287" t="s">
        <v>17</v>
      </c>
      <c r="F71" s="287" t="s">
        <v>726</v>
      </c>
      <c r="G71" s="288">
        <v>7.4999999999999997E-2</v>
      </c>
      <c r="H71" s="302"/>
      <c r="I71" s="303"/>
    </row>
    <row r="72" spans="2:9" s="580" customFormat="1" ht="14.1" customHeight="1">
      <c r="B72" s="602"/>
      <c r="C72" s="314"/>
      <c r="D72" s="582"/>
      <c r="E72" s="315"/>
      <c r="F72" s="583"/>
      <c r="G72" s="1155" t="s">
        <v>727</v>
      </c>
      <c r="H72" s="1156"/>
      <c r="I72" s="584"/>
    </row>
    <row r="73" spans="2:9" s="580" customFormat="1" ht="14.1" customHeight="1">
      <c r="B73" s="602"/>
      <c r="C73" s="292" t="s">
        <v>8</v>
      </c>
      <c r="D73" s="293" t="s">
        <v>811</v>
      </c>
      <c r="E73" s="585"/>
      <c r="F73" s="585"/>
      <c r="G73" s="296"/>
      <c r="H73" s="296"/>
      <c r="I73" s="297"/>
    </row>
    <row r="74" spans="2:9" s="580" customFormat="1" ht="14.1" customHeight="1">
      <c r="B74" s="602"/>
      <c r="C74" s="298"/>
      <c r="D74" s="289" t="s">
        <v>137</v>
      </c>
      <c r="E74" s="581"/>
      <c r="F74" s="581" t="s">
        <v>750</v>
      </c>
      <c r="G74" s="286">
        <v>1.2</v>
      </c>
      <c r="H74" s="299"/>
      <c r="I74" s="300"/>
    </row>
    <row r="75" spans="2:9" s="580" customFormat="1" ht="14.1" customHeight="1">
      <c r="B75" s="602"/>
      <c r="C75" s="298"/>
      <c r="D75" s="289" t="s">
        <v>806</v>
      </c>
      <c r="E75" s="581"/>
      <c r="F75" s="285" t="s">
        <v>734</v>
      </c>
      <c r="G75" s="286">
        <v>117</v>
      </c>
      <c r="H75" s="299"/>
      <c r="I75" s="300"/>
    </row>
    <row r="76" spans="2:9" s="580" customFormat="1" ht="14.1" customHeight="1">
      <c r="B76" s="602"/>
      <c r="C76" s="301"/>
      <c r="D76" s="177" t="s">
        <v>211</v>
      </c>
      <c r="E76" s="586"/>
      <c r="F76" s="586" t="s">
        <v>750</v>
      </c>
      <c r="G76" s="288">
        <v>0.56100000000000005</v>
      </c>
      <c r="H76" s="302"/>
      <c r="I76" s="303"/>
    </row>
    <row r="77" spans="2:9" s="580" customFormat="1" ht="14.1" customHeight="1">
      <c r="B77" s="602"/>
      <c r="C77" s="314"/>
      <c r="D77" s="582"/>
      <c r="E77" s="315"/>
      <c r="F77" s="583"/>
      <c r="G77" s="1155" t="s">
        <v>728</v>
      </c>
      <c r="H77" s="1156"/>
      <c r="I77" s="584"/>
    </row>
    <row r="78" spans="2:9" s="580" customFormat="1" ht="14.1" customHeight="1">
      <c r="B78" s="602"/>
      <c r="C78" s="292" t="s">
        <v>9</v>
      </c>
      <c r="D78" s="293" t="s">
        <v>815</v>
      </c>
      <c r="E78" s="585"/>
      <c r="F78" s="585"/>
      <c r="G78" s="296"/>
      <c r="H78" s="296"/>
      <c r="I78" s="297"/>
    </row>
    <row r="79" spans="2:9" s="580" customFormat="1" ht="14.1" customHeight="1">
      <c r="B79" s="602"/>
      <c r="C79" s="301"/>
      <c r="D79" s="302"/>
      <c r="E79" s="586"/>
      <c r="F79" s="586"/>
      <c r="G79" s="302"/>
      <c r="H79" s="302"/>
      <c r="I79" s="303"/>
    </row>
    <row r="80" spans="2:9" s="580" customFormat="1" ht="14.1" customHeight="1">
      <c r="B80" s="602"/>
      <c r="C80" s="314"/>
      <c r="D80" s="582"/>
      <c r="E80" s="315"/>
      <c r="F80" s="583"/>
      <c r="G80" s="1163" t="s">
        <v>729</v>
      </c>
      <c r="H80" s="1164"/>
      <c r="I80" s="584"/>
    </row>
    <row r="81" spans="2:9" s="580" customFormat="1" ht="14.1" customHeight="1">
      <c r="B81" s="602"/>
      <c r="C81" s="574" t="s">
        <v>12</v>
      </c>
      <c r="D81" s="1125" t="s">
        <v>730</v>
      </c>
      <c r="E81" s="1160"/>
      <c r="F81" s="1160"/>
      <c r="G81" s="1160"/>
      <c r="H81" s="1126"/>
      <c r="I81" s="305"/>
    </row>
    <row r="82" spans="2:9" s="580" customFormat="1" ht="14.1" customHeight="1">
      <c r="B82" s="602"/>
      <c r="C82" s="290" t="s">
        <v>13</v>
      </c>
      <c r="D82" s="1116" t="s">
        <v>731</v>
      </c>
      <c r="E82" s="1117"/>
      <c r="F82" s="1118"/>
      <c r="G82" s="1113" t="s">
        <v>740</v>
      </c>
      <c r="H82" s="1115"/>
      <c r="I82" s="306"/>
    </row>
    <row r="83" spans="2:9" s="580" customFormat="1" ht="14.1" customHeight="1" thickBot="1">
      <c r="B83" s="602"/>
      <c r="C83" s="291" t="s">
        <v>14</v>
      </c>
      <c r="D83" s="1119" t="s">
        <v>817</v>
      </c>
      <c r="E83" s="1120"/>
      <c r="F83" s="1120"/>
      <c r="G83" s="1120"/>
      <c r="H83" s="1121"/>
      <c r="I83" s="307"/>
    </row>
    <row r="84" spans="2:9" s="580" customFormat="1" ht="14.1" customHeight="1">
      <c r="B84" s="602"/>
      <c r="C84" s="589"/>
      <c r="E84" s="589"/>
      <c r="F84" s="589"/>
      <c r="H84" s="316"/>
    </row>
    <row r="85" spans="2:9" s="567" customFormat="1" ht="16.5" thickBot="1">
      <c r="B85" s="598">
        <v>5</v>
      </c>
      <c r="C85" s="566" t="s">
        <v>988</v>
      </c>
      <c r="E85" s="596"/>
      <c r="F85" s="596"/>
      <c r="H85" s="568"/>
    </row>
    <row r="86" spans="2:9" s="580" customFormat="1" ht="26.25" thickBot="1">
      <c r="B86" s="602"/>
      <c r="C86" s="330" t="s">
        <v>840</v>
      </c>
      <c r="D86" s="331" t="s">
        <v>841</v>
      </c>
      <c r="E86" s="331" t="s">
        <v>842</v>
      </c>
      <c r="F86" s="331" t="s">
        <v>843</v>
      </c>
      <c r="G86" s="331" t="s">
        <v>844</v>
      </c>
      <c r="H86" s="331" t="s">
        <v>845</v>
      </c>
      <c r="I86" s="333" t="s">
        <v>846</v>
      </c>
    </row>
    <row r="87" spans="2:9" s="580" customFormat="1" ht="14.1" customHeight="1">
      <c r="B87" s="602"/>
      <c r="C87" s="543" t="s">
        <v>7</v>
      </c>
      <c r="D87" s="289" t="s">
        <v>810</v>
      </c>
      <c r="E87" s="581"/>
      <c r="F87" s="581"/>
      <c r="G87" s="299"/>
      <c r="H87" s="299"/>
      <c r="I87" s="300"/>
    </row>
    <row r="88" spans="2:9" s="580" customFormat="1" ht="14.1" customHeight="1">
      <c r="B88" s="602"/>
      <c r="C88" s="298"/>
      <c r="D88" s="289" t="s">
        <v>10</v>
      </c>
      <c r="E88" s="285" t="s">
        <v>16</v>
      </c>
      <c r="F88" s="285" t="s">
        <v>726</v>
      </c>
      <c r="G88" s="286">
        <v>1.5</v>
      </c>
      <c r="H88" s="299"/>
      <c r="I88" s="300"/>
    </row>
    <row r="89" spans="2:9" s="580" customFormat="1" ht="14.1" customHeight="1">
      <c r="B89" s="602"/>
      <c r="C89" s="298"/>
      <c r="D89" s="289" t="s">
        <v>143</v>
      </c>
      <c r="E89" s="285" t="s">
        <v>22</v>
      </c>
      <c r="F89" s="285" t="s">
        <v>726</v>
      </c>
      <c r="G89" s="286">
        <v>0.75</v>
      </c>
      <c r="H89" s="299"/>
      <c r="I89" s="300"/>
    </row>
    <row r="90" spans="2:9" s="580" customFormat="1" ht="14.1" customHeight="1">
      <c r="B90" s="602"/>
      <c r="C90" s="298"/>
      <c r="D90" s="289" t="s">
        <v>20</v>
      </c>
      <c r="E90" s="285" t="s">
        <v>21</v>
      </c>
      <c r="F90" s="285" t="s">
        <v>726</v>
      </c>
      <c r="G90" s="286">
        <v>7.4999999999999997E-2</v>
      </c>
      <c r="H90" s="299"/>
      <c r="I90" s="300"/>
    </row>
    <row r="91" spans="2:9" s="580" customFormat="1" ht="14.1" customHeight="1">
      <c r="B91" s="602"/>
      <c r="C91" s="301"/>
      <c r="D91" s="177" t="s">
        <v>11</v>
      </c>
      <c r="E91" s="287" t="s">
        <v>17</v>
      </c>
      <c r="F91" s="287" t="s">
        <v>726</v>
      </c>
      <c r="G91" s="288">
        <v>7.4999999999999997E-2</v>
      </c>
      <c r="H91" s="302"/>
      <c r="I91" s="303"/>
    </row>
    <row r="92" spans="2:9" s="580" customFormat="1" ht="14.1" customHeight="1">
      <c r="B92" s="602"/>
      <c r="C92" s="314"/>
      <c r="D92" s="582"/>
      <c r="E92" s="315"/>
      <c r="F92" s="583"/>
      <c r="G92" s="1155" t="s">
        <v>727</v>
      </c>
      <c r="H92" s="1156"/>
      <c r="I92" s="584"/>
    </row>
    <row r="93" spans="2:9" s="580" customFormat="1" ht="14.1" customHeight="1">
      <c r="B93" s="602"/>
      <c r="C93" s="292" t="s">
        <v>8</v>
      </c>
      <c r="D93" s="293" t="s">
        <v>811</v>
      </c>
      <c r="E93" s="585"/>
      <c r="F93" s="585"/>
      <c r="G93" s="296"/>
      <c r="H93" s="296"/>
      <c r="I93" s="297"/>
    </row>
    <row r="94" spans="2:9" s="580" customFormat="1" ht="14.1" customHeight="1">
      <c r="B94" s="602"/>
      <c r="C94" s="298"/>
      <c r="D94" s="289" t="s">
        <v>137</v>
      </c>
      <c r="E94" s="581"/>
      <c r="F94" s="581" t="s">
        <v>750</v>
      </c>
      <c r="G94" s="286">
        <v>1.2</v>
      </c>
      <c r="H94" s="299"/>
      <c r="I94" s="300"/>
    </row>
    <row r="95" spans="2:9" s="580" customFormat="1" ht="14.1" customHeight="1">
      <c r="B95" s="602"/>
      <c r="C95" s="298"/>
      <c r="D95" s="289" t="s">
        <v>806</v>
      </c>
      <c r="E95" s="581"/>
      <c r="F95" s="285" t="s">
        <v>734</v>
      </c>
      <c r="G95" s="286">
        <v>91</v>
      </c>
      <c r="H95" s="299"/>
      <c r="I95" s="300"/>
    </row>
    <row r="96" spans="2:9" s="580" customFormat="1" ht="14.1" customHeight="1">
      <c r="B96" s="602"/>
      <c r="C96" s="301"/>
      <c r="D96" s="177" t="s">
        <v>211</v>
      </c>
      <c r="E96" s="586"/>
      <c r="F96" s="586" t="s">
        <v>750</v>
      </c>
      <c r="G96" s="288">
        <v>0.58399999999999996</v>
      </c>
      <c r="H96" s="302"/>
      <c r="I96" s="303"/>
    </row>
    <row r="97" spans="2:9" s="580" customFormat="1" ht="14.1" customHeight="1">
      <c r="B97" s="602"/>
      <c r="C97" s="314"/>
      <c r="D97" s="582"/>
      <c r="E97" s="315"/>
      <c r="F97" s="583"/>
      <c r="G97" s="1157" t="s">
        <v>728</v>
      </c>
      <c r="H97" s="1158"/>
      <c r="I97" s="584"/>
    </row>
    <row r="98" spans="2:9" s="580" customFormat="1" ht="14.1" customHeight="1">
      <c r="B98" s="602"/>
      <c r="C98" s="292" t="s">
        <v>9</v>
      </c>
      <c r="D98" s="293" t="s">
        <v>815</v>
      </c>
      <c r="E98" s="585"/>
      <c r="F98" s="585"/>
      <c r="G98" s="296"/>
      <c r="H98" s="296"/>
      <c r="I98" s="297"/>
    </row>
    <row r="99" spans="2:9" s="580" customFormat="1" ht="14.1" customHeight="1">
      <c r="B99" s="602"/>
      <c r="C99" s="301"/>
      <c r="D99" s="302"/>
      <c r="E99" s="586"/>
      <c r="F99" s="586"/>
      <c r="G99" s="302"/>
      <c r="H99" s="302"/>
      <c r="I99" s="303"/>
    </row>
    <row r="100" spans="2:9" s="580" customFormat="1" ht="14.1" customHeight="1">
      <c r="B100" s="602"/>
      <c r="C100" s="314"/>
      <c r="D100" s="582"/>
      <c r="E100" s="315"/>
      <c r="F100" s="583"/>
      <c r="G100" s="1157" t="s">
        <v>729</v>
      </c>
      <c r="H100" s="1158"/>
      <c r="I100" s="584"/>
    </row>
    <row r="101" spans="2:9" s="580" customFormat="1" ht="14.1" customHeight="1">
      <c r="B101" s="602"/>
      <c r="C101" s="574" t="s">
        <v>12</v>
      </c>
      <c r="D101" s="1125" t="s">
        <v>730</v>
      </c>
      <c r="E101" s="1160"/>
      <c r="F101" s="1160"/>
      <c r="G101" s="1160"/>
      <c r="H101" s="1126"/>
      <c r="I101" s="305"/>
    </row>
    <row r="102" spans="2:9" s="580" customFormat="1" ht="14.1" customHeight="1">
      <c r="B102" s="602"/>
      <c r="C102" s="290" t="s">
        <v>13</v>
      </c>
      <c r="D102" s="1116" t="s">
        <v>731</v>
      </c>
      <c r="E102" s="1117"/>
      <c r="F102" s="1118"/>
      <c r="G102" s="1113" t="s">
        <v>740</v>
      </c>
      <c r="H102" s="1115"/>
      <c r="I102" s="306"/>
    </row>
    <row r="103" spans="2:9" s="580" customFormat="1" ht="14.1" customHeight="1" thickBot="1">
      <c r="B103" s="602"/>
      <c r="C103" s="291" t="s">
        <v>14</v>
      </c>
      <c r="D103" s="1119" t="s">
        <v>817</v>
      </c>
      <c r="E103" s="1120"/>
      <c r="F103" s="1120"/>
      <c r="G103" s="1120"/>
      <c r="H103" s="1121"/>
      <c r="I103" s="307"/>
    </row>
    <row r="104" spans="2:9" s="580" customFormat="1" ht="14.1" customHeight="1">
      <c r="B104" s="602"/>
      <c r="C104" s="295"/>
      <c r="D104" s="284"/>
      <c r="E104" s="295"/>
      <c r="F104" s="295"/>
      <c r="G104" s="284"/>
      <c r="H104" s="284"/>
      <c r="I104" s="316"/>
    </row>
    <row r="105" spans="2:9" s="567" customFormat="1" ht="16.5" thickBot="1">
      <c r="B105" s="598">
        <v>6</v>
      </c>
      <c r="C105" s="566" t="s">
        <v>987</v>
      </c>
      <c r="E105" s="596"/>
      <c r="F105" s="596"/>
      <c r="H105" s="568"/>
    </row>
    <row r="106" spans="2:9" s="580" customFormat="1" ht="26.25" thickBot="1">
      <c r="B106" s="602"/>
      <c r="C106" s="330" t="s">
        <v>840</v>
      </c>
      <c r="D106" s="331" t="s">
        <v>841</v>
      </c>
      <c r="E106" s="331" t="s">
        <v>842</v>
      </c>
      <c r="F106" s="331" t="s">
        <v>843</v>
      </c>
      <c r="G106" s="331" t="s">
        <v>844</v>
      </c>
      <c r="H106" s="331" t="s">
        <v>845</v>
      </c>
      <c r="I106" s="333" t="s">
        <v>846</v>
      </c>
    </row>
    <row r="107" spans="2:9" s="580" customFormat="1" ht="14.1" customHeight="1">
      <c r="B107" s="602"/>
      <c r="C107" s="543" t="s">
        <v>7</v>
      </c>
      <c r="D107" s="289" t="s">
        <v>810</v>
      </c>
      <c r="E107" s="581"/>
      <c r="F107" s="581"/>
      <c r="G107" s="299"/>
      <c r="H107" s="299"/>
      <c r="I107" s="300"/>
    </row>
    <row r="108" spans="2:9" s="580" customFormat="1" ht="14.1" customHeight="1">
      <c r="B108" s="602"/>
      <c r="C108" s="298"/>
      <c r="D108" s="289" t="s">
        <v>10</v>
      </c>
      <c r="E108" s="285" t="s">
        <v>16</v>
      </c>
      <c r="F108" s="285" t="s">
        <v>726</v>
      </c>
      <c r="G108" s="286">
        <v>1.5</v>
      </c>
      <c r="H108" s="299"/>
      <c r="I108" s="300"/>
    </row>
    <row r="109" spans="2:9" s="580" customFormat="1" ht="14.1" customHeight="1">
      <c r="B109" s="602"/>
      <c r="C109" s="298"/>
      <c r="D109" s="289" t="s">
        <v>143</v>
      </c>
      <c r="E109" s="285" t="s">
        <v>22</v>
      </c>
      <c r="F109" s="285" t="s">
        <v>726</v>
      </c>
      <c r="G109" s="286">
        <v>0.75</v>
      </c>
      <c r="H109" s="299"/>
      <c r="I109" s="300"/>
    </row>
    <row r="110" spans="2:9" s="580" customFormat="1" ht="14.1" customHeight="1">
      <c r="B110" s="602"/>
      <c r="C110" s="298"/>
      <c r="D110" s="289" t="s">
        <v>20</v>
      </c>
      <c r="E110" s="285" t="s">
        <v>21</v>
      </c>
      <c r="F110" s="285" t="s">
        <v>726</v>
      </c>
      <c r="G110" s="286">
        <v>7.4999999999999997E-2</v>
      </c>
      <c r="H110" s="299"/>
      <c r="I110" s="300"/>
    </row>
    <row r="111" spans="2:9" s="580" customFormat="1" ht="14.1" customHeight="1">
      <c r="B111" s="602"/>
      <c r="C111" s="301"/>
      <c r="D111" s="177" t="s">
        <v>11</v>
      </c>
      <c r="E111" s="287" t="s">
        <v>17</v>
      </c>
      <c r="F111" s="287" t="s">
        <v>726</v>
      </c>
      <c r="G111" s="288">
        <v>7.4999999999999997E-2</v>
      </c>
      <c r="H111" s="302"/>
      <c r="I111" s="303"/>
    </row>
    <row r="112" spans="2:9" s="580" customFormat="1" ht="14.1" customHeight="1">
      <c r="B112" s="602"/>
      <c r="C112" s="314"/>
      <c r="D112" s="582"/>
      <c r="E112" s="315"/>
      <c r="F112" s="583"/>
      <c r="G112" s="1155" t="s">
        <v>727</v>
      </c>
      <c r="H112" s="1156"/>
      <c r="I112" s="584"/>
    </row>
    <row r="113" spans="2:9" s="580" customFormat="1" ht="14.1" customHeight="1">
      <c r="B113" s="602"/>
      <c r="C113" s="292" t="s">
        <v>8</v>
      </c>
      <c r="D113" s="293" t="s">
        <v>811</v>
      </c>
      <c r="E113" s="585"/>
      <c r="F113" s="585"/>
      <c r="G113" s="296"/>
      <c r="H113" s="296"/>
      <c r="I113" s="297"/>
    </row>
    <row r="114" spans="2:9" s="580" customFormat="1" ht="14.1" customHeight="1">
      <c r="B114" s="602"/>
      <c r="C114" s="298"/>
      <c r="D114" s="289" t="s">
        <v>137</v>
      </c>
      <c r="E114" s="581"/>
      <c r="F114" s="581" t="s">
        <v>750</v>
      </c>
      <c r="G114" s="286">
        <v>1.2</v>
      </c>
      <c r="H114" s="299"/>
      <c r="I114" s="300"/>
    </row>
    <row r="115" spans="2:9" s="580" customFormat="1" ht="14.1" customHeight="1">
      <c r="B115" s="602"/>
      <c r="C115" s="298"/>
      <c r="D115" s="289" t="s">
        <v>982</v>
      </c>
      <c r="E115" s="581"/>
      <c r="F115" s="581" t="s">
        <v>750</v>
      </c>
      <c r="G115" s="286">
        <v>0.17</v>
      </c>
      <c r="H115" s="299"/>
      <c r="I115" s="300"/>
    </row>
    <row r="116" spans="2:9" s="580" customFormat="1" ht="14.1" customHeight="1">
      <c r="B116" s="602"/>
      <c r="C116" s="298"/>
      <c r="D116" s="289" t="s">
        <v>806</v>
      </c>
      <c r="E116" s="581"/>
      <c r="F116" s="285" t="s">
        <v>734</v>
      </c>
      <c r="G116" s="286">
        <v>0.17</v>
      </c>
      <c r="H116" s="299"/>
      <c r="I116" s="300"/>
    </row>
    <row r="117" spans="2:9" s="580" customFormat="1" ht="14.1" customHeight="1">
      <c r="B117" s="602"/>
      <c r="C117" s="301"/>
      <c r="D117" s="177" t="s">
        <v>211</v>
      </c>
      <c r="E117" s="586"/>
      <c r="F117" s="586" t="s">
        <v>750</v>
      </c>
      <c r="G117" s="288">
        <v>0.34</v>
      </c>
      <c r="H117" s="302"/>
      <c r="I117" s="303"/>
    </row>
    <row r="118" spans="2:9" s="580" customFormat="1" ht="14.1" customHeight="1">
      <c r="B118" s="602"/>
      <c r="C118" s="314"/>
      <c r="D118" s="582"/>
      <c r="E118" s="315"/>
      <c r="F118" s="583"/>
      <c r="G118" s="1157" t="s">
        <v>728</v>
      </c>
      <c r="H118" s="1158"/>
      <c r="I118" s="584"/>
    </row>
    <row r="119" spans="2:9" s="580" customFormat="1" ht="14.1" customHeight="1">
      <c r="B119" s="602"/>
      <c r="C119" s="292" t="s">
        <v>9</v>
      </c>
      <c r="D119" s="293" t="s">
        <v>815</v>
      </c>
      <c r="E119" s="585"/>
      <c r="F119" s="585"/>
      <c r="G119" s="296"/>
      <c r="H119" s="296"/>
      <c r="I119" s="297"/>
    </row>
    <row r="120" spans="2:9" s="580" customFormat="1" ht="14.1" customHeight="1">
      <c r="B120" s="602"/>
      <c r="C120" s="301"/>
      <c r="D120" s="302"/>
      <c r="E120" s="586"/>
      <c r="F120" s="586"/>
      <c r="G120" s="302"/>
      <c r="H120" s="302"/>
      <c r="I120" s="303"/>
    </row>
    <row r="121" spans="2:9" s="580" customFormat="1" ht="14.1" customHeight="1">
      <c r="B121" s="602"/>
      <c r="C121" s="314"/>
      <c r="D121" s="582"/>
      <c r="E121" s="315"/>
      <c r="F121" s="583"/>
      <c r="G121" s="1157" t="s">
        <v>729</v>
      </c>
      <c r="H121" s="1158"/>
      <c r="I121" s="584"/>
    </row>
    <row r="122" spans="2:9" s="580" customFormat="1" ht="14.1" customHeight="1">
      <c r="B122" s="602"/>
      <c r="C122" s="574" t="s">
        <v>12</v>
      </c>
      <c r="D122" s="1125" t="s">
        <v>730</v>
      </c>
      <c r="E122" s="1160"/>
      <c r="F122" s="1160"/>
      <c r="G122" s="1160"/>
      <c r="H122" s="1126"/>
      <c r="I122" s="305"/>
    </row>
    <row r="123" spans="2:9" s="580" customFormat="1" ht="14.1" customHeight="1">
      <c r="B123" s="602"/>
      <c r="C123" s="290" t="s">
        <v>13</v>
      </c>
      <c r="D123" s="1116" t="s">
        <v>731</v>
      </c>
      <c r="E123" s="1117"/>
      <c r="F123" s="1118"/>
      <c r="G123" s="1113" t="s">
        <v>740</v>
      </c>
      <c r="H123" s="1115"/>
      <c r="I123" s="306"/>
    </row>
    <row r="124" spans="2:9" s="580" customFormat="1" ht="14.1" customHeight="1" thickBot="1">
      <c r="B124" s="602"/>
      <c r="C124" s="291" t="s">
        <v>14</v>
      </c>
      <c r="D124" s="1119" t="s">
        <v>817</v>
      </c>
      <c r="E124" s="1120"/>
      <c r="F124" s="1120"/>
      <c r="G124" s="1120"/>
      <c r="H124" s="1121"/>
      <c r="I124" s="307"/>
    </row>
    <row r="125" spans="2:9" s="580" customFormat="1" ht="14.1" customHeight="1">
      <c r="B125" s="602"/>
      <c r="C125" s="589"/>
      <c r="E125" s="589"/>
      <c r="F125" s="589"/>
      <c r="H125" s="316"/>
    </row>
    <row r="126" spans="2:9" s="567" customFormat="1" ht="16.5" thickBot="1">
      <c r="B126" s="598">
        <v>7</v>
      </c>
      <c r="C126" s="566" t="s">
        <v>986</v>
      </c>
      <c r="E126" s="596"/>
      <c r="F126" s="596"/>
      <c r="H126" s="568"/>
    </row>
    <row r="127" spans="2:9" s="580" customFormat="1" ht="26.25" thickBot="1">
      <c r="B127" s="602"/>
      <c r="C127" s="330" t="s">
        <v>840</v>
      </c>
      <c r="D127" s="331" t="s">
        <v>841</v>
      </c>
      <c r="E127" s="331" t="s">
        <v>842</v>
      </c>
      <c r="F127" s="331" t="s">
        <v>843</v>
      </c>
      <c r="G127" s="331" t="s">
        <v>844</v>
      </c>
      <c r="H127" s="331" t="s">
        <v>845</v>
      </c>
      <c r="I127" s="333" t="s">
        <v>846</v>
      </c>
    </row>
    <row r="128" spans="2:9" s="580" customFormat="1" ht="14.1" customHeight="1">
      <c r="B128" s="602"/>
      <c r="C128" s="543" t="s">
        <v>7</v>
      </c>
      <c r="D128" s="289" t="s">
        <v>810</v>
      </c>
      <c r="E128" s="581"/>
      <c r="F128" s="581"/>
      <c r="G128" s="299"/>
      <c r="H128" s="299"/>
      <c r="I128" s="300"/>
    </row>
    <row r="129" spans="2:9" s="580" customFormat="1" ht="14.1" customHeight="1">
      <c r="B129" s="602"/>
      <c r="C129" s="298"/>
      <c r="D129" s="289" t="s">
        <v>10</v>
      </c>
      <c r="E129" s="285" t="s">
        <v>16</v>
      </c>
      <c r="F129" s="285" t="s">
        <v>726</v>
      </c>
      <c r="G129" s="286">
        <v>1.5</v>
      </c>
      <c r="H129" s="299"/>
      <c r="I129" s="300"/>
    </row>
    <row r="130" spans="2:9" s="580" customFormat="1" ht="14.1" customHeight="1">
      <c r="B130" s="602"/>
      <c r="C130" s="298"/>
      <c r="D130" s="289" t="s">
        <v>143</v>
      </c>
      <c r="E130" s="285" t="s">
        <v>22</v>
      </c>
      <c r="F130" s="285" t="s">
        <v>726</v>
      </c>
      <c r="G130" s="286">
        <v>0.75</v>
      </c>
      <c r="H130" s="299"/>
      <c r="I130" s="300"/>
    </row>
    <row r="131" spans="2:9" s="580" customFormat="1" ht="14.1" customHeight="1">
      <c r="B131" s="602"/>
      <c r="C131" s="298"/>
      <c r="D131" s="289" t="s">
        <v>20</v>
      </c>
      <c r="E131" s="285" t="s">
        <v>21</v>
      </c>
      <c r="F131" s="285" t="s">
        <v>726</v>
      </c>
      <c r="G131" s="286">
        <v>7.4999999999999997E-2</v>
      </c>
      <c r="H131" s="299"/>
      <c r="I131" s="300"/>
    </row>
    <row r="132" spans="2:9" s="580" customFormat="1" ht="14.1" customHeight="1">
      <c r="B132" s="602"/>
      <c r="C132" s="301"/>
      <c r="D132" s="177" t="s">
        <v>11</v>
      </c>
      <c r="E132" s="287" t="s">
        <v>17</v>
      </c>
      <c r="F132" s="287" t="s">
        <v>726</v>
      </c>
      <c r="G132" s="288">
        <v>7.4999999999999997E-2</v>
      </c>
      <c r="H132" s="302"/>
      <c r="I132" s="303"/>
    </row>
    <row r="133" spans="2:9" s="580" customFormat="1" ht="14.1" customHeight="1">
      <c r="B133" s="602"/>
      <c r="C133" s="314"/>
      <c r="D133" s="582"/>
      <c r="E133" s="315"/>
      <c r="F133" s="583"/>
      <c r="G133" s="1155" t="s">
        <v>727</v>
      </c>
      <c r="H133" s="1156"/>
      <c r="I133" s="584"/>
    </row>
    <row r="134" spans="2:9" s="580" customFormat="1" ht="14.1" customHeight="1">
      <c r="B134" s="602"/>
      <c r="C134" s="292" t="s">
        <v>8</v>
      </c>
      <c r="D134" s="293" t="s">
        <v>811</v>
      </c>
      <c r="E134" s="585"/>
      <c r="F134" s="585"/>
      <c r="G134" s="296"/>
      <c r="H134" s="296"/>
      <c r="I134" s="297"/>
    </row>
    <row r="135" spans="2:9" s="580" customFormat="1" ht="14.1" customHeight="1">
      <c r="B135" s="602"/>
      <c r="C135" s="298"/>
      <c r="D135" s="289" t="s">
        <v>137</v>
      </c>
      <c r="E135" s="581"/>
      <c r="F135" s="581" t="s">
        <v>750</v>
      </c>
      <c r="G135" s="286">
        <v>1.2</v>
      </c>
      <c r="H135" s="299"/>
      <c r="I135" s="300"/>
    </row>
    <row r="136" spans="2:9" s="580" customFormat="1" ht="14.1" customHeight="1">
      <c r="B136" s="602"/>
      <c r="C136" s="298"/>
      <c r="D136" s="289" t="s">
        <v>806</v>
      </c>
      <c r="E136" s="581"/>
      <c r="F136" s="285" t="s">
        <v>734</v>
      </c>
      <c r="G136" s="286">
        <v>61</v>
      </c>
      <c r="H136" s="299"/>
      <c r="I136" s="300"/>
    </row>
    <row r="137" spans="2:9" s="580" customFormat="1" ht="14.1" customHeight="1">
      <c r="B137" s="602"/>
      <c r="C137" s="298"/>
      <c r="D137" s="289" t="s">
        <v>982</v>
      </c>
      <c r="E137" s="581"/>
      <c r="F137" s="581" t="s">
        <v>750</v>
      </c>
      <c r="G137" s="286">
        <v>0.14699999999999999</v>
      </c>
      <c r="H137" s="299"/>
      <c r="I137" s="300"/>
    </row>
    <row r="138" spans="2:9" s="580" customFormat="1" ht="14.1" customHeight="1">
      <c r="B138" s="602"/>
      <c r="C138" s="301"/>
      <c r="D138" s="177" t="s">
        <v>211</v>
      </c>
      <c r="E138" s="586"/>
      <c r="F138" s="586" t="s">
        <v>750</v>
      </c>
      <c r="G138" s="288">
        <v>0.49199999999999999</v>
      </c>
      <c r="H138" s="302"/>
      <c r="I138" s="303"/>
    </row>
    <row r="139" spans="2:9" s="580" customFormat="1" ht="14.1" customHeight="1">
      <c r="B139" s="602"/>
      <c r="C139" s="314"/>
      <c r="D139" s="582"/>
      <c r="E139" s="315"/>
      <c r="F139" s="583"/>
      <c r="G139" s="1155" t="s">
        <v>728</v>
      </c>
      <c r="H139" s="1156"/>
      <c r="I139" s="584"/>
    </row>
    <row r="140" spans="2:9" s="580" customFormat="1" ht="14.1" customHeight="1">
      <c r="B140" s="602"/>
      <c r="C140" s="292" t="s">
        <v>9</v>
      </c>
      <c r="D140" s="293" t="s">
        <v>815</v>
      </c>
      <c r="E140" s="585"/>
      <c r="F140" s="585"/>
      <c r="G140" s="296"/>
      <c r="H140" s="296"/>
      <c r="I140" s="297"/>
    </row>
    <row r="141" spans="2:9" s="580" customFormat="1" ht="14.1" customHeight="1">
      <c r="B141" s="602"/>
      <c r="C141" s="301"/>
      <c r="D141" s="302"/>
      <c r="E141" s="586"/>
      <c r="F141" s="586"/>
      <c r="G141" s="302"/>
      <c r="H141" s="302"/>
      <c r="I141" s="303"/>
    </row>
    <row r="142" spans="2:9" s="580" customFormat="1" ht="14.1" customHeight="1">
      <c r="B142" s="602"/>
      <c r="C142" s="314"/>
      <c r="D142" s="582"/>
      <c r="E142" s="315"/>
      <c r="F142" s="583"/>
      <c r="G142" s="1157" t="s">
        <v>729</v>
      </c>
      <c r="H142" s="1158"/>
      <c r="I142" s="584"/>
    </row>
    <row r="143" spans="2:9" s="580" customFormat="1" ht="14.1" customHeight="1">
      <c r="B143" s="602"/>
      <c r="C143" s="603" t="s">
        <v>12</v>
      </c>
      <c r="D143" s="1154" t="s">
        <v>730</v>
      </c>
      <c r="E143" s="1154"/>
      <c r="F143" s="1154"/>
      <c r="G143" s="1154"/>
      <c r="H143" s="1154"/>
      <c r="I143" s="584"/>
    </row>
    <row r="144" spans="2:9" s="580" customFormat="1" ht="14.1" customHeight="1">
      <c r="B144" s="602"/>
      <c r="C144" s="603" t="s">
        <v>13</v>
      </c>
      <c r="D144" s="1161" t="s">
        <v>731</v>
      </c>
      <c r="E144" s="1161"/>
      <c r="F144" s="1161"/>
      <c r="G144" s="1154" t="s">
        <v>740</v>
      </c>
      <c r="H144" s="1154"/>
      <c r="I144" s="584"/>
    </row>
    <row r="145" spans="2:9" s="580" customFormat="1" ht="14.1" customHeight="1" thickBot="1">
      <c r="B145" s="602"/>
      <c r="C145" s="604" t="s">
        <v>14</v>
      </c>
      <c r="D145" s="1162" t="s">
        <v>817</v>
      </c>
      <c r="E145" s="1162"/>
      <c r="F145" s="1162"/>
      <c r="G145" s="1162"/>
      <c r="H145" s="1162"/>
      <c r="I145" s="605"/>
    </row>
    <row r="146" spans="2:9" s="580" customFormat="1" ht="14.1" customHeight="1">
      <c r="B146" s="602"/>
      <c r="C146" s="295"/>
      <c r="D146" s="284"/>
      <c r="E146" s="295"/>
      <c r="F146" s="295"/>
      <c r="G146" s="284"/>
      <c r="H146" s="284"/>
      <c r="I146" s="316"/>
    </row>
    <row r="147" spans="2:9" s="567" customFormat="1" ht="17.25" customHeight="1" thickBot="1">
      <c r="B147" s="598">
        <v>8</v>
      </c>
      <c r="C147" s="566" t="s">
        <v>990</v>
      </c>
      <c r="E147" s="596"/>
      <c r="F147" s="596"/>
      <c r="H147" s="568"/>
    </row>
    <row r="148" spans="2:9" s="580" customFormat="1" ht="26.25" thickBot="1">
      <c r="B148" s="602"/>
      <c r="C148" s="544" t="s">
        <v>840</v>
      </c>
      <c r="D148" s="607" t="s">
        <v>841</v>
      </c>
      <c r="E148" s="607" t="s">
        <v>842</v>
      </c>
      <c r="F148" s="607" t="s">
        <v>843</v>
      </c>
      <c r="G148" s="607" t="s">
        <v>844</v>
      </c>
      <c r="H148" s="607" t="s">
        <v>845</v>
      </c>
      <c r="I148" s="608" t="s">
        <v>846</v>
      </c>
    </row>
    <row r="149" spans="2:9" s="580" customFormat="1" ht="14.1" customHeight="1">
      <c r="B149" s="602"/>
      <c r="C149" s="543" t="s">
        <v>7</v>
      </c>
      <c r="D149" s="289" t="s">
        <v>810</v>
      </c>
      <c r="E149" s="581"/>
      <c r="F149" s="581"/>
      <c r="G149" s="299"/>
      <c r="H149" s="299"/>
      <c r="I149" s="300"/>
    </row>
    <row r="150" spans="2:9" s="580" customFormat="1" ht="14.1" customHeight="1">
      <c r="B150" s="602"/>
      <c r="C150" s="298"/>
      <c r="D150" s="289" t="s">
        <v>10</v>
      </c>
      <c r="E150" s="285" t="s">
        <v>16</v>
      </c>
      <c r="F150" s="285" t="s">
        <v>726</v>
      </c>
      <c r="G150" s="286">
        <v>1.5</v>
      </c>
      <c r="H150" s="299"/>
      <c r="I150" s="300"/>
    </row>
    <row r="151" spans="2:9" s="580" customFormat="1" ht="14.1" customHeight="1">
      <c r="B151" s="602"/>
      <c r="C151" s="298"/>
      <c r="D151" s="289" t="s">
        <v>143</v>
      </c>
      <c r="E151" s="285" t="s">
        <v>22</v>
      </c>
      <c r="F151" s="285" t="s">
        <v>726</v>
      </c>
      <c r="G151" s="286">
        <v>0.75</v>
      </c>
      <c r="H151" s="299"/>
      <c r="I151" s="300"/>
    </row>
    <row r="152" spans="2:9" s="580" customFormat="1" ht="14.1" customHeight="1">
      <c r="B152" s="602"/>
      <c r="C152" s="298"/>
      <c r="D152" s="289" t="s">
        <v>20</v>
      </c>
      <c r="E152" s="285" t="s">
        <v>21</v>
      </c>
      <c r="F152" s="285" t="s">
        <v>726</v>
      </c>
      <c r="G152" s="286">
        <v>7.4999999999999997E-2</v>
      </c>
      <c r="H152" s="299"/>
      <c r="I152" s="300"/>
    </row>
    <row r="153" spans="2:9" s="580" customFormat="1" ht="14.1" customHeight="1">
      <c r="B153" s="602"/>
      <c r="C153" s="301"/>
      <c r="D153" s="177" t="s">
        <v>11</v>
      </c>
      <c r="E153" s="287" t="s">
        <v>17</v>
      </c>
      <c r="F153" s="287" t="s">
        <v>726</v>
      </c>
      <c r="G153" s="288">
        <v>7.4999999999999997E-2</v>
      </c>
      <c r="H153" s="302"/>
      <c r="I153" s="303"/>
    </row>
    <row r="154" spans="2:9" s="580" customFormat="1" ht="14.1" customHeight="1">
      <c r="B154" s="602"/>
      <c r="C154" s="314"/>
      <c r="D154" s="582"/>
      <c r="E154" s="315"/>
      <c r="F154" s="583"/>
      <c r="G154" s="1155" t="s">
        <v>727</v>
      </c>
      <c r="H154" s="1156"/>
      <c r="I154" s="584"/>
    </row>
    <row r="155" spans="2:9" s="580" customFormat="1" ht="14.1" customHeight="1">
      <c r="B155" s="602"/>
      <c r="C155" s="292" t="s">
        <v>8</v>
      </c>
      <c r="D155" s="293" t="s">
        <v>811</v>
      </c>
      <c r="E155" s="585"/>
      <c r="F155" s="585"/>
      <c r="G155" s="296"/>
      <c r="H155" s="296"/>
      <c r="I155" s="297"/>
    </row>
    <row r="156" spans="2:9" s="580" customFormat="1" ht="14.1" customHeight="1">
      <c r="B156" s="602"/>
      <c r="C156" s="298"/>
      <c r="D156" s="289" t="s">
        <v>137</v>
      </c>
      <c r="E156" s="581"/>
      <c r="F156" s="581" t="s">
        <v>750</v>
      </c>
      <c r="G156" s="286">
        <v>1.2</v>
      </c>
      <c r="H156" s="299"/>
      <c r="I156" s="300"/>
    </row>
    <row r="157" spans="2:9" s="580" customFormat="1" ht="14.1" customHeight="1">
      <c r="B157" s="602"/>
      <c r="C157" s="298"/>
      <c r="D157" s="289" t="s">
        <v>806</v>
      </c>
      <c r="E157" s="581"/>
      <c r="F157" s="285" t="s">
        <v>734</v>
      </c>
      <c r="G157" s="286">
        <v>41</v>
      </c>
      <c r="H157" s="299"/>
      <c r="I157" s="300"/>
    </row>
    <row r="158" spans="2:9" s="580" customFormat="1" ht="14.1" customHeight="1">
      <c r="B158" s="602"/>
      <c r="C158" s="298"/>
      <c r="D158" s="289" t="s">
        <v>982</v>
      </c>
      <c r="E158" s="581"/>
      <c r="F158" s="581" t="s">
        <v>750</v>
      </c>
      <c r="G158" s="286">
        <v>0.13100000000000001</v>
      </c>
      <c r="H158" s="299"/>
      <c r="I158" s="300"/>
    </row>
    <row r="159" spans="2:9" s="580" customFormat="1" ht="14.1" customHeight="1">
      <c r="B159" s="602"/>
      <c r="C159" s="301"/>
      <c r="D159" s="177" t="s">
        <v>211</v>
      </c>
      <c r="E159" s="586"/>
      <c r="F159" s="586" t="s">
        <v>750</v>
      </c>
      <c r="G159" s="288">
        <v>0.52300000000000002</v>
      </c>
      <c r="H159" s="302"/>
      <c r="I159" s="303"/>
    </row>
    <row r="160" spans="2:9" s="580" customFormat="1" ht="14.1" customHeight="1">
      <c r="B160" s="602"/>
      <c r="C160" s="314"/>
      <c r="D160" s="582"/>
      <c r="E160" s="315"/>
      <c r="F160" s="583"/>
      <c r="G160" s="1157" t="s">
        <v>728</v>
      </c>
      <c r="H160" s="1158"/>
      <c r="I160" s="606"/>
    </row>
    <row r="161" spans="2:9" s="580" customFormat="1" ht="14.1" customHeight="1">
      <c r="B161" s="602"/>
      <c r="C161" s="292" t="s">
        <v>9</v>
      </c>
      <c r="D161" s="293" t="s">
        <v>815</v>
      </c>
      <c r="E161" s="585"/>
      <c r="F161" s="585"/>
      <c r="G161" s="296"/>
      <c r="H161" s="591"/>
      <c r="I161" s="297"/>
    </row>
    <row r="162" spans="2:9" s="580" customFormat="1" ht="14.1" customHeight="1">
      <c r="B162" s="602"/>
      <c r="C162" s="301"/>
      <c r="D162" s="302"/>
      <c r="E162" s="586"/>
      <c r="F162" s="586"/>
      <c r="G162" s="302"/>
      <c r="H162" s="592"/>
      <c r="I162" s="303"/>
    </row>
    <row r="163" spans="2:9" s="580" customFormat="1" ht="14.1" customHeight="1">
      <c r="B163" s="602"/>
      <c r="C163" s="314"/>
      <c r="D163" s="582"/>
      <c r="E163" s="315"/>
      <c r="F163" s="583"/>
      <c r="G163" s="1159" t="s">
        <v>729</v>
      </c>
      <c r="H163" s="1159"/>
      <c r="I163" s="584"/>
    </row>
    <row r="164" spans="2:9" s="580" customFormat="1" ht="14.1" customHeight="1">
      <c r="B164" s="602"/>
      <c r="C164" s="290" t="s">
        <v>12</v>
      </c>
      <c r="D164" s="1113" t="s">
        <v>730</v>
      </c>
      <c r="E164" s="1114"/>
      <c r="F164" s="1114"/>
      <c r="G164" s="1114"/>
      <c r="H164" s="1115"/>
      <c r="I164" s="306"/>
    </row>
    <row r="165" spans="2:9" s="580" customFormat="1" ht="14.1" customHeight="1">
      <c r="B165" s="602"/>
      <c r="C165" s="290" t="s">
        <v>13</v>
      </c>
      <c r="D165" s="1116" t="s">
        <v>731</v>
      </c>
      <c r="E165" s="1117"/>
      <c r="F165" s="1118"/>
      <c r="G165" s="1113" t="s">
        <v>740</v>
      </c>
      <c r="H165" s="1115"/>
      <c r="I165" s="306"/>
    </row>
    <row r="166" spans="2:9" s="580" customFormat="1" ht="14.1" customHeight="1" thickBot="1">
      <c r="B166" s="602"/>
      <c r="C166" s="291" t="s">
        <v>14</v>
      </c>
      <c r="D166" s="1119" t="s">
        <v>817</v>
      </c>
      <c r="E166" s="1120"/>
      <c r="F166" s="1120"/>
      <c r="G166" s="1120"/>
      <c r="H166" s="1121"/>
      <c r="I166" s="307"/>
    </row>
    <row r="167" spans="2:9" s="580" customFormat="1" ht="14.1" customHeight="1">
      <c r="B167" s="602"/>
      <c r="C167" s="589"/>
      <c r="E167" s="589"/>
      <c r="F167" s="589"/>
      <c r="H167" s="316"/>
    </row>
    <row r="168" spans="2:9" s="567" customFormat="1" ht="16.5" thickBot="1">
      <c r="B168" s="598">
        <v>9</v>
      </c>
      <c r="C168" s="566" t="s">
        <v>991</v>
      </c>
      <c r="E168" s="596"/>
      <c r="F168" s="596"/>
      <c r="H168" s="568"/>
    </row>
    <row r="169" spans="2:9" s="580" customFormat="1" ht="26.25" thickBot="1">
      <c r="B169" s="602"/>
      <c r="C169" s="330" t="s">
        <v>840</v>
      </c>
      <c r="D169" s="331" t="s">
        <v>841</v>
      </c>
      <c r="E169" s="331" t="s">
        <v>842</v>
      </c>
      <c r="F169" s="331" t="s">
        <v>843</v>
      </c>
      <c r="G169" s="331" t="s">
        <v>844</v>
      </c>
      <c r="H169" s="332" t="s">
        <v>845</v>
      </c>
      <c r="I169" s="333" t="s">
        <v>846</v>
      </c>
    </row>
    <row r="170" spans="2:9" s="580" customFormat="1" ht="14.1" customHeight="1">
      <c r="B170" s="602"/>
      <c r="C170" s="543" t="s">
        <v>7</v>
      </c>
      <c r="D170" s="289" t="s">
        <v>810</v>
      </c>
      <c r="E170" s="581"/>
      <c r="F170" s="581"/>
      <c r="G170" s="299"/>
      <c r="H170" s="299"/>
      <c r="I170" s="300"/>
    </row>
    <row r="171" spans="2:9" s="580" customFormat="1" ht="14.1" customHeight="1">
      <c r="B171" s="602"/>
      <c r="C171" s="298"/>
      <c r="D171" s="289" t="s">
        <v>10</v>
      </c>
      <c r="E171" s="285" t="s">
        <v>16</v>
      </c>
      <c r="F171" s="285" t="s">
        <v>726</v>
      </c>
      <c r="G171" s="286">
        <v>0.78</v>
      </c>
      <c r="H171" s="299"/>
      <c r="I171" s="300"/>
    </row>
    <row r="172" spans="2:9" s="580" customFormat="1" ht="14.1" customHeight="1">
      <c r="B172" s="602"/>
      <c r="C172" s="298"/>
      <c r="D172" s="289" t="s">
        <v>143</v>
      </c>
      <c r="E172" s="285" t="s">
        <v>22</v>
      </c>
      <c r="F172" s="285" t="s">
        <v>726</v>
      </c>
      <c r="G172" s="286">
        <v>0.39</v>
      </c>
      <c r="H172" s="299"/>
      <c r="I172" s="300"/>
    </row>
    <row r="173" spans="2:9" s="580" customFormat="1" ht="14.1" customHeight="1">
      <c r="B173" s="602"/>
      <c r="C173" s="298"/>
      <c r="D173" s="289" t="s">
        <v>20</v>
      </c>
      <c r="E173" s="285" t="s">
        <v>21</v>
      </c>
      <c r="F173" s="285" t="s">
        <v>726</v>
      </c>
      <c r="G173" s="286">
        <v>3.9E-2</v>
      </c>
      <c r="H173" s="299"/>
      <c r="I173" s="300"/>
    </row>
    <row r="174" spans="2:9" s="580" customFormat="1" ht="14.1" customHeight="1">
      <c r="B174" s="602"/>
      <c r="C174" s="301"/>
      <c r="D174" s="177" t="s">
        <v>11</v>
      </c>
      <c r="E174" s="287" t="s">
        <v>17</v>
      </c>
      <c r="F174" s="287" t="s">
        <v>726</v>
      </c>
      <c r="G174" s="288">
        <v>3.9E-2</v>
      </c>
      <c r="H174" s="302"/>
      <c r="I174" s="303"/>
    </row>
    <row r="175" spans="2:9" s="580" customFormat="1" ht="14.1" customHeight="1">
      <c r="B175" s="602"/>
      <c r="C175" s="314"/>
      <c r="D175" s="582"/>
      <c r="E175" s="315"/>
      <c r="F175" s="583"/>
      <c r="G175" s="1155" t="s">
        <v>727</v>
      </c>
      <c r="H175" s="1156"/>
      <c r="I175" s="584"/>
    </row>
    <row r="176" spans="2:9" s="580" customFormat="1" ht="14.1" customHeight="1">
      <c r="B176" s="602"/>
      <c r="C176" s="292" t="s">
        <v>8</v>
      </c>
      <c r="D176" s="293" t="s">
        <v>811</v>
      </c>
      <c r="E176" s="585"/>
      <c r="F176" s="585"/>
      <c r="G176" s="296"/>
      <c r="H176" s="296"/>
      <c r="I176" s="297"/>
    </row>
    <row r="177" spans="2:9" s="580" customFormat="1" ht="14.1" customHeight="1">
      <c r="B177" s="602"/>
      <c r="C177" s="298"/>
      <c r="D177" s="289" t="s">
        <v>137</v>
      </c>
      <c r="E177" s="581"/>
      <c r="F177" s="581" t="s">
        <v>750</v>
      </c>
      <c r="G177" s="286">
        <v>1.2</v>
      </c>
      <c r="H177" s="299"/>
      <c r="I177" s="300"/>
    </row>
    <row r="178" spans="2:9" s="580" customFormat="1" ht="14.1" customHeight="1">
      <c r="B178" s="602"/>
      <c r="C178" s="301"/>
      <c r="D178" s="177" t="s">
        <v>202</v>
      </c>
      <c r="E178" s="586"/>
      <c r="F178" s="586" t="s">
        <v>750</v>
      </c>
      <c r="G178" s="288">
        <v>0.432</v>
      </c>
      <c r="H178" s="302"/>
      <c r="I178" s="303"/>
    </row>
    <row r="179" spans="2:9" s="580" customFormat="1" ht="14.1" customHeight="1">
      <c r="B179" s="602"/>
      <c r="C179" s="314"/>
      <c r="D179" s="582"/>
      <c r="E179" s="315"/>
      <c r="F179" s="583"/>
      <c r="G179" s="1157" t="s">
        <v>728</v>
      </c>
      <c r="H179" s="1158"/>
      <c r="I179" s="584"/>
    </row>
    <row r="180" spans="2:9" s="580" customFormat="1" ht="14.1" customHeight="1">
      <c r="B180" s="602"/>
      <c r="C180" s="292" t="s">
        <v>9</v>
      </c>
      <c r="D180" s="293" t="s">
        <v>815</v>
      </c>
      <c r="E180" s="585"/>
      <c r="F180" s="585"/>
      <c r="G180" s="296"/>
      <c r="H180" s="296"/>
      <c r="I180" s="297"/>
    </row>
    <row r="181" spans="2:9" s="580" customFormat="1" ht="14.1" customHeight="1">
      <c r="B181" s="602"/>
      <c r="C181" s="301"/>
      <c r="D181" s="302"/>
      <c r="E181" s="586"/>
      <c r="F181" s="586"/>
      <c r="G181" s="302"/>
      <c r="H181" s="302"/>
      <c r="I181" s="303"/>
    </row>
    <row r="182" spans="2:9" s="580" customFormat="1" ht="14.1" customHeight="1">
      <c r="B182" s="602"/>
      <c r="C182" s="609"/>
      <c r="D182" s="316"/>
      <c r="E182" s="593"/>
      <c r="F182" s="593"/>
      <c r="G182" s="1157" t="s">
        <v>729</v>
      </c>
      <c r="H182" s="1158"/>
      <c r="I182" s="584"/>
    </row>
    <row r="183" spans="2:9" s="580" customFormat="1" ht="14.1" customHeight="1">
      <c r="B183" s="602"/>
      <c r="C183" s="290" t="s">
        <v>12</v>
      </c>
      <c r="D183" s="1113" t="s">
        <v>730</v>
      </c>
      <c r="E183" s="1114"/>
      <c r="F183" s="1114"/>
      <c r="G183" s="1160"/>
      <c r="H183" s="1160"/>
      <c r="I183" s="305"/>
    </row>
    <row r="184" spans="2:9" s="580" customFormat="1" ht="14.1" customHeight="1">
      <c r="B184" s="602"/>
      <c r="C184" s="290" t="s">
        <v>13</v>
      </c>
      <c r="D184" s="1116" t="s">
        <v>731</v>
      </c>
      <c r="E184" s="1117"/>
      <c r="F184" s="1118"/>
      <c r="G184" s="1113" t="s">
        <v>740</v>
      </c>
      <c r="H184" s="1114"/>
      <c r="I184" s="306"/>
    </row>
    <row r="185" spans="2:9" s="580" customFormat="1" ht="14.1" customHeight="1" thickBot="1">
      <c r="B185" s="602"/>
      <c r="C185" s="291" t="s">
        <v>14</v>
      </c>
      <c r="D185" s="1119" t="s">
        <v>817</v>
      </c>
      <c r="E185" s="1120"/>
      <c r="F185" s="1120"/>
      <c r="G185" s="1120"/>
      <c r="H185" s="1120"/>
      <c r="I185" s="307"/>
    </row>
    <row r="186" spans="2:9" s="580" customFormat="1" ht="14.1" customHeight="1">
      <c r="B186" s="602"/>
      <c r="C186" s="295"/>
      <c r="D186" s="284"/>
      <c r="E186" s="295"/>
      <c r="F186" s="295"/>
      <c r="G186" s="284"/>
      <c r="H186" s="284"/>
      <c r="I186" s="316"/>
    </row>
    <row r="187" spans="2:9" s="567" customFormat="1" ht="15.75">
      <c r="B187" s="598">
        <v>10</v>
      </c>
      <c r="C187" s="566" t="s">
        <v>992</v>
      </c>
      <c r="E187" s="596"/>
      <c r="F187" s="596"/>
      <c r="H187" s="568"/>
    </row>
    <row r="188" spans="2:9" s="567" customFormat="1" ht="13.5" thickBot="1">
      <c r="B188" s="598"/>
      <c r="C188" s="566" t="s">
        <v>993</v>
      </c>
      <c r="E188" s="596"/>
      <c r="F188" s="596"/>
      <c r="H188" s="568"/>
    </row>
    <row r="189" spans="2:9" s="580" customFormat="1" ht="26.25" thickBot="1">
      <c r="B189" s="602"/>
      <c r="C189" s="330" t="s">
        <v>840</v>
      </c>
      <c r="D189" s="331" t="s">
        <v>841</v>
      </c>
      <c r="E189" s="331" t="s">
        <v>842</v>
      </c>
      <c r="F189" s="331" t="s">
        <v>843</v>
      </c>
      <c r="G189" s="331" t="s">
        <v>844</v>
      </c>
      <c r="H189" s="332" t="s">
        <v>845</v>
      </c>
      <c r="I189" s="333" t="s">
        <v>846</v>
      </c>
    </row>
    <row r="190" spans="2:9" s="580" customFormat="1" ht="14.1" customHeight="1">
      <c r="B190" s="602"/>
      <c r="C190" s="543" t="s">
        <v>7</v>
      </c>
      <c r="D190" s="289" t="s">
        <v>810</v>
      </c>
      <c r="E190" s="581"/>
      <c r="F190" s="581"/>
      <c r="G190" s="299"/>
      <c r="H190" s="299"/>
      <c r="I190" s="300"/>
    </row>
    <row r="191" spans="2:9" s="580" customFormat="1" ht="14.1" customHeight="1">
      <c r="B191" s="602"/>
      <c r="C191" s="298"/>
      <c r="D191" s="289" t="s">
        <v>10</v>
      </c>
      <c r="E191" s="285" t="s">
        <v>16</v>
      </c>
      <c r="F191" s="285" t="s">
        <v>726</v>
      </c>
      <c r="G191" s="286">
        <v>3.4</v>
      </c>
      <c r="H191" s="299"/>
      <c r="I191" s="300"/>
    </row>
    <row r="192" spans="2:9" s="580" customFormat="1" ht="14.1" customHeight="1">
      <c r="B192" s="602"/>
      <c r="C192" s="298"/>
      <c r="D192" s="289" t="s">
        <v>143</v>
      </c>
      <c r="E192" s="285" t="s">
        <v>22</v>
      </c>
      <c r="F192" s="285" t="s">
        <v>726</v>
      </c>
      <c r="G192" s="286">
        <v>0.85</v>
      </c>
      <c r="H192" s="299"/>
      <c r="I192" s="300"/>
    </row>
    <row r="193" spans="2:9" s="580" customFormat="1" ht="14.1" customHeight="1">
      <c r="B193" s="602"/>
      <c r="C193" s="298"/>
      <c r="D193" s="289" t="s">
        <v>20</v>
      </c>
      <c r="E193" s="285" t="s">
        <v>21</v>
      </c>
      <c r="F193" s="285" t="s">
        <v>726</v>
      </c>
      <c r="G193" s="286">
        <v>8.5000000000000006E-2</v>
      </c>
      <c r="H193" s="299"/>
      <c r="I193" s="300"/>
    </row>
    <row r="194" spans="2:9" s="580" customFormat="1" ht="14.1" customHeight="1">
      <c r="B194" s="602"/>
      <c r="C194" s="301"/>
      <c r="D194" s="177" t="s">
        <v>11</v>
      </c>
      <c r="E194" s="287" t="s">
        <v>17</v>
      </c>
      <c r="F194" s="287" t="s">
        <v>726</v>
      </c>
      <c r="G194" s="288">
        <v>0.17</v>
      </c>
      <c r="H194" s="302"/>
      <c r="I194" s="303"/>
    </row>
    <row r="195" spans="2:9" s="580" customFormat="1" ht="14.1" customHeight="1">
      <c r="B195" s="602"/>
      <c r="C195" s="314"/>
      <c r="D195" s="582"/>
      <c r="E195" s="315"/>
      <c r="F195" s="583"/>
      <c r="G195" s="1155" t="s">
        <v>727</v>
      </c>
      <c r="H195" s="1156"/>
      <c r="I195" s="584"/>
    </row>
    <row r="196" spans="2:9" s="580" customFormat="1" ht="14.1" customHeight="1">
      <c r="B196" s="602"/>
      <c r="C196" s="292" t="s">
        <v>8</v>
      </c>
      <c r="D196" s="293" t="s">
        <v>811</v>
      </c>
      <c r="E196" s="585"/>
      <c r="F196" s="585"/>
      <c r="G196" s="296"/>
      <c r="H196" s="296"/>
      <c r="I196" s="297"/>
    </row>
    <row r="197" spans="2:9" s="580" customFormat="1" ht="14.1" customHeight="1">
      <c r="B197" s="602"/>
      <c r="C197" s="298"/>
      <c r="D197" s="289" t="s">
        <v>137</v>
      </c>
      <c r="E197" s="581"/>
      <c r="F197" s="581" t="s">
        <v>750</v>
      </c>
      <c r="G197" s="286">
        <v>0.48</v>
      </c>
      <c r="H197" s="299"/>
      <c r="I197" s="300"/>
    </row>
    <row r="198" spans="2:9" s="580" customFormat="1" ht="14.1" customHeight="1">
      <c r="B198" s="602"/>
      <c r="C198" s="298"/>
      <c r="D198" s="289" t="s">
        <v>806</v>
      </c>
      <c r="E198" s="581"/>
      <c r="F198" s="285" t="s">
        <v>734</v>
      </c>
      <c r="G198" s="286">
        <v>194</v>
      </c>
      <c r="H198" s="299"/>
      <c r="I198" s="300"/>
    </row>
    <row r="199" spans="2:9" s="580" customFormat="1" ht="14.1" customHeight="1">
      <c r="B199" s="602"/>
      <c r="C199" s="298"/>
      <c r="D199" s="289" t="s">
        <v>144</v>
      </c>
      <c r="E199" s="581"/>
      <c r="F199" s="581" t="s">
        <v>750</v>
      </c>
      <c r="G199" s="286">
        <v>0.312</v>
      </c>
      <c r="H199" s="299"/>
      <c r="I199" s="300"/>
    </row>
    <row r="200" spans="2:9" s="580" customFormat="1" ht="14.1" customHeight="1">
      <c r="B200" s="602"/>
      <c r="C200" s="298"/>
      <c r="D200" s="289" t="s">
        <v>138</v>
      </c>
      <c r="E200" s="581"/>
      <c r="F200" s="581" t="s">
        <v>750</v>
      </c>
      <c r="G200" s="286">
        <v>0.46800000000000003</v>
      </c>
      <c r="H200" s="299"/>
      <c r="I200" s="300"/>
    </row>
    <row r="201" spans="2:9" s="580" customFormat="1" ht="14.1" customHeight="1">
      <c r="B201" s="602"/>
      <c r="C201" s="298"/>
      <c r="D201" s="289" t="s">
        <v>213</v>
      </c>
      <c r="E201" s="581"/>
      <c r="F201" s="285" t="s">
        <v>734</v>
      </c>
      <c r="G201" s="286">
        <v>126</v>
      </c>
      <c r="H201" s="299"/>
      <c r="I201" s="300"/>
    </row>
    <row r="202" spans="2:9" s="580" customFormat="1" ht="14.1" customHeight="1">
      <c r="B202" s="602"/>
      <c r="C202" s="301"/>
      <c r="D202" s="177" t="s">
        <v>214</v>
      </c>
      <c r="E202" s="586"/>
      <c r="F202" s="287" t="s">
        <v>734</v>
      </c>
      <c r="G202" s="288">
        <v>1.8</v>
      </c>
      <c r="H202" s="302"/>
      <c r="I202" s="303"/>
    </row>
    <row r="203" spans="2:9" s="580" customFormat="1" ht="14.1" customHeight="1">
      <c r="B203" s="602"/>
      <c r="C203" s="609"/>
      <c r="D203" s="316"/>
      <c r="E203" s="593"/>
      <c r="F203" s="593"/>
      <c r="G203" s="1159" t="s">
        <v>728</v>
      </c>
      <c r="H203" s="1159"/>
      <c r="I203" s="584"/>
    </row>
    <row r="204" spans="2:9" s="580" customFormat="1" ht="14.1" customHeight="1">
      <c r="B204" s="602"/>
      <c r="C204" s="603" t="s">
        <v>9</v>
      </c>
      <c r="D204" s="577" t="s">
        <v>815</v>
      </c>
      <c r="E204" s="594"/>
      <c r="F204" s="594"/>
      <c r="G204" s="587"/>
      <c r="H204" s="587"/>
      <c r="I204" s="584"/>
    </row>
    <row r="205" spans="2:9" s="580" customFormat="1" ht="14.1" customHeight="1">
      <c r="B205" s="602"/>
      <c r="C205" s="314"/>
      <c r="D205" s="582"/>
      <c r="E205" s="315"/>
      <c r="F205" s="583"/>
      <c r="G205" s="1157" t="s">
        <v>729</v>
      </c>
      <c r="H205" s="1158"/>
      <c r="I205" s="584"/>
    </row>
    <row r="206" spans="2:9" s="580" customFormat="1" ht="14.1" customHeight="1">
      <c r="B206" s="602"/>
      <c r="C206" s="290" t="s">
        <v>12</v>
      </c>
      <c r="D206" s="1113" t="s">
        <v>730</v>
      </c>
      <c r="E206" s="1114"/>
      <c r="F206" s="1114"/>
      <c r="G206" s="1114"/>
      <c r="H206" s="1114"/>
      <c r="I206" s="306"/>
    </row>
    <row r="207" spans="2:9" s="580" customFormat="1" ht="14.1" customHeight="1">
      <c r="B207" s="602"/>
      <c r="C207" s="290" t="s">
        <v>13</v>
      </c>
      <c r="D207" s="1116" t="s">
        <v>731</v>
      </c>
      <c r="E207" s="1117"/>
      <c r="F207" s="1118"/>
      <c r="G207" s="1113" t="s">
        <v>740</v>
      </c>
      <c r="H207" s="1114"/>
      <c r="I207" s="306"/>
    </row>
    <row r="208" spans="2:9" s="580" customFormat="1" ht="14.1" customHeight="1" thickBot="1">
      <c r="B208" s="602"/>
      <c r="C208" s="291" t="s">
        <v>14</v>
      </c>
      <c r="D208" s="1119" t="s">
        <v>817</v>
      </c>
      <c r="E208" s="1120"/>
      <c r="F208" s="1120"/>
      <c r="G208" s="1120"/>
      <c r="H208" s="1120"/>
      <c r="I208" s="307"/>
    </row>
    <row r="209" spans="2:9" s="580" customFormat="1" ht="14.1" customHeight="1">
      <c r="B209" s="602"/>
      <c r="C209" s="589"/>
      <c r="E209" s="589"/>
      <c r="F209" s="589"/>
      <c r="H209" s="316"/>
    </row>
    <row r="210" spans="2:9" s="567" customFormat="1" ht="16.5" thickBot="1">
      <c r="B210" s="598">
        <v>11</v>
      </c>
      <c r="C210" s="566" t="s">
        <v>994</v>
      </c>
      <c r="E210" s="596"/>
      <c r="F210" s="596"/>
      <c r="H210" s="568"/>
    </row>
    <row r="211" spans="2:9" s="580" customFormat="1" ht="26.25" thickBot="1">
      <c r="B211" s="602"/>
      <c r="C211" s="330" t="s">
        <v>840</v>
      </c>
      <c r="D211" s="331" t="s">
        <v>841</v>
      </c>
      <c r="E211" s="332" t="s">
        <v>842</v>
      </c>
      <c r="F211" s="331" t="s">
        <v>843</v>
      </c>
      <c r="G211" s="610" t="s">
        <v>844</v>
      </c>
      <c r="H211" s="331" t="s">
        <v>845</v>
      </c>
      <c r="I211" s="333" t="s">
        <v>846</v>
      </c>
    </row>
    <row r="212" spans="2:9" s="580" customFormat="1" ht="14.1" customHeight="1">
      <c r="B212" s="602"/>
      <c r="C212" s="543" t="s">
        <v>7</v>
      </c>
      <c r="D212" s="289" t="s">
        <v>810</v>
      </c>
      <c r="E212" s="581"/>
      <c r="F212" s="581"/>
      <c r="G212" s="299"/>
      <c r="H212" s="299"/>
      <c r="I212" s="300"/>
    </row>
    <row r="213" spans="2:9" s="580" customFormat="1" ht="14.1" customHeight="1">
      <c r="B213" s="602"/>
      <c r="C213" s="298"/>
      <c r="D213" s="289" t="s">
        <v>10</v>
      </c>
      <c r="E213" s="285" t="s">
        <v>16</v>
      </c>
      <c r="F213" s="285" t="s">
        <v>726</v>
      </c>
      <c r="G213" s="286">
        <v>2.4</v>
      </c>
      <c r="H213" s="299"/>
      <c r="I213" s="300"/>
    </row>
    <row r="214" spans="2:9" s="580" customFormat="1" ht="14.1" customHeight="1">
      <c r="B214" s="602"/>
      <c r="C214" s="298"/>
      <c r="D214" s="289" t="s">
        <v>143</v>
      </c>
      <c r="E214" s="285" t="s">
        <v>22</v>
      </c>
      <c r="F214" s="285" t="s">
        <v>726</v>
      </c>
      <c r="G214" s="286">
        <v>0.8</v>
      </c>
      <c r="H214" s="299"/>
      <c r="I214" s="300"/>
    </row>
    <row r="215" spans="2:9" s="580" customFormat="1" ht="14.1" customHeight="1">
      <c r="B215" s="602"/>
      <c r="C215" s="298"/>
      <c r="D215" s="289" t="s">
        <v>20</v>
      </c>
      <c r="E215" s="285" t="s">
        <v>21</v>
      </c>
      <c r="F215" s="285" t="s">
        <v>726</v>
      </c>
      <c r="G215" s="286">
        <v>0.08</v>
      </c>
      <c r="H215" s="299"/>
      <c r="I215" s="300"/>
    </row>
    <row r="216" spans="2:9" s="580" customFormat="1" ht="14.1" customHeight="1">
      <c r="B216" s="602"/>
      <c r="C216" s="301"/>
      <c r="D216" s="177" t="s">
        <v>11</v>
      </c>
      <c r="E216" s="287" t="s">
        <v>17</v>
      </c>
      <c r="F216" s="287" t="s">
        <v>726</v>
      </c>
      <c r="G216" s="288">
        <v>0.11899999999999999</v>
      </c>
      <c r="H216" s="302"/>
      <c r="I216" s="303"/>
    </row>
    <row r="217" spans="2:9" s="580" customFormat="1" ht="14.1" customHeight="1">
      <c r="B217" s="602"/>
      <c r="C217" s="314"/>
      <c r="D217" s="582"/>
      <c r="E217" s="315"/>
      <c r="F217" s="583"/>
      <c r="G217" s="1155" t="s">
        <v>727</v>
      </c>
      <c r="H217" s="1156"/>
      <c r="I217" s="584"/>
    </row>
    <row r="218" spans="2:9" s="580" customFormat="1" ht="14.1" customHeight="1">
      <c r="B218" s="602"/>
      <c r="C218" s="292" t="s">
        <v>8</v>
      </c>
      <c r="D218" s="293" t="s">
        <v>811</v>
      </c>
      <c r="E218" s="585"/>
      <c r="F218" s="585"/>
      <c r="G218" s="296"/>
      <c r="H218" s="296"/>
      <c r="I218" s="297"/>
    </row>
    <row r="219" spans="2:9" s="580" customFormat="1" ht="14.1" customHeight="1">
      <c r="B219" s="602"/>
      <c r="C219" s="298"/>
      <c r="D219" s="289" t="s">
        <v>137</v>
      </c>
      <c r="E219" s="581"/>
      <c r="F219" s="581" t="s">
        <v>750</v>
      </c>
      <c r="G219" s="286">
        <v>0.45</v>
      </c>
      <c r="H219" s="299"/>
      <c r="I219" s="300"/>
    </row>
    <row r="220" spans="2:9" s="580" customFormat="1" ht="14.1" customHeight="1">
      <c r="B220" s="602"/>
      <c r="C220" s="298"/>
      <c r="D220" s="289" t="s">
        <v>806</v>
      </c>
      <c r="E220" s="581"/>
      <c r="F220" s="285" t="s">
        <v>734</v>
      </c>
      <c r="G220" s="286">
        <v>194</v>
      </c>
      <c r="H220" s="299"/>
      <c r="I220" s="300"/>
    </row>
    <row r="221" spans="2:9" s="580" customFormat="1" ht="14.1" customHeight="1">
      <c r="B221" s="602"/>
      <c r="C221" s="298"/>
      <c r="D221" s="289" t="s">
        <v>144</v>
      </c>
      <c r="E221" s="581"/>
      <c r="F221" s="581" t="s">
        <v>750</v>
      </c>
      <c r="G221" s="286">
        <v>0.312</v>
      </c>
      <c r="H221" s="299"/>
      <c r="I221" s="300"/>
    </row>
    <row r="222" spans="2:9" s="580" customFormat="1" ht="14.1" customHeight="1">
      <c r="B222" s="602"/>
      <c r="C222" s="301"/>
      <c r="D222" s="177" t="s">
        <v>138</v>
      </c>
      <c r="E222" s="586"/>
      <c r="F222" s="586" t="s">
        <v>750</v>
      </c>
      <c r="G222" s="288">
        <v>0.46800000000000003</v>
      </c>
      <c r="H222" s="302"/>
      <c r="I222" s="303"/>
    </row>
    <row r="223" spans="2:9" s="580" customFormat="1" ht="14.1" customHeight="1">
      <c r="B223" s="602"/>
      <c r="C223" s="314"/>
      <c r="D223" s="582"/>
      <c r="E223" s="315"/>
      <c r="F223" s="583"/>
      <c r="G223" s="1155" t="s">
        <v>728</v>
      </c>
      <c r="H223" s="1156"/>
      <c r="I223" s="584"/>
    </row>
    <row r="224" spans="2:9" s="580" customFormat="1" ht="14.1" customHeight="1">
      <c r="B224" s="602"/>
      <c r="C224" s="292" t="s">
        <v>9</v>
      </c>
      <c r="D224" s="293" t="s">
        <v>815</v>
      </c>
      <c r="E224" s="585"/>
      <c r="F224" s="585"/>
      <c r="G224" s="296"/>
      <c r="H224" s="296"/>
      <c r="I224" s="297"/>
    </row>
    <row r="225" spans="2:9" s="580" customFormat="1" ht="14.1" customHeight="1">
      <c r="B225" s="602"/>
      <c r="C225" s="301"/>
      <c r="D225" s="302"/>
      <c r="E225" s="586"/>
      <c r="F225" s="586"/>
      <c r="G225" s="302"/>
      <c r="H225" s="302"/>
      <c r="I225" s="303"/>
    </row>
    <row r="226" spans="2:9" s="580" customFormat="1" ht="14.1" customHeight="1">
      <c r="B226" s="602"/>
      <c r="C226" s="1132"/>
      <c r="D226" s="1133"/>
      <c r="E226" s="1133"/>
      <c r="F226" s="1165"/>
      <c r="G226" s="1157" t="s">
        <v>729</v>
      </c>
      <c r="H226" s="1158"/>
      <c r="I226" s="584"/>
    </row>
    <row r="227" spans="2:9" s="580" customFormat="1" ht="14.1" customHeight="1">
      <c r="B227" s="602"/>
      <c r="C227" s="290" t="s">
        <v>12</v>
      </c>
      <c r="D227" s="1113" t="s">
        <v>730</v>
      </c>
      <c r="E227" s="1114"/>
      <c r="F227" s="1114"/>
      <c r="G227" s="1114"/>
      <c r="H227" s="1115"/>
      <c r="I227" s="306"/>
    </row>
    <row r="228" spans="2:9" s="580" customFormat="1" ht="14.1" customHeight="1">
      <c r="B228" s="602"/>
      <c r="C228" s="290" t="s">
        <v>13</v>
      </c>
      <c r="D228" s="1116" t="s">
        <v>731</v>
      </c>
      <c r="E228" s="1117"/>
      <c r="F228" s="1118"/>
      <c r="G228" s="1113" t="s">
        <v>740</v>
      </c>
      <c r="H228" s="1115"/>
      <c r="I228" s="306"/>
    </row>
    <row r="229" spans="2:9" s="580" customFormat="1" ht="14.1" customHeight="1" thickBot="1">
      <c r="B229" s="602"/>
      <c r="C229" s="291" t="s">
        <v>14</v>
      </c>
      <c r="D229" s="1119" t="s">
        <v>817</v>
      </c>
      <c r="E229" s="1120"/>
      <c r="F229" s="1120"/>
      <c r="G229" s="1120"/>
      <c r="H229" s="1121"/>
      <c r="I229" s="307"/>
    </row>
    <row r="230" spans="2:9">
      <c r="C230" s="1"/>
    </row>
  </sheetData>
  <mergeCells count="78">
    <mergeCell ref="G179:H179"/>
    <mergeCell ref="G182:H182"/>
    <mergeCell ref="D183:H183"/>
    <mergeCell ref="D184:F184"/>
    <mergeCell ref="G184:H184"/>
    <mergeCell ref="D185:H185"/>
    <mergeCell ref="G195:H195"/>
    <mergeCell ref="G203:H203"/>
    <mergeCell ref="G205:H205"/>
    <mergeCell ref="D206:H206"/>
    <mergeCell ref="D207:F207"/>
    <mergeCell ref="D229:H229"/>
    <mergeCell ref="G207:H207"/>
    <mergeCell ref="D208:H208"/>
    <mergeCell ref="G217:H217"/>
    <mergeCell ref="G223:H223"/>
    <mergeCell ref="C226:F226"/>
    <mergeCell ref="G226:H226"/>
    <mergeCell ref="D227:H227"/>
    <mergeCell ref="D228:F228"/>
    <mergeCell ref="G40:H40"/>
    <mergeCell ref="D41:H41"/>
    <mergeCell ref="D42:F42"/>
    <mergeCell ref="G42:H42"/>
    <mergeCell ref="D43:H43"/>
    <mergeCell ref="G52:H52"/>
    <mergeCell ref="G57:H57"/>
    <mergeCell ref="D124:H124"/>
    <mergeCell ref="G133:H133"/>
    <mergeCell ref="G60:H60"/>
    <mergeCell ref="G72:H72"/>
    <mergeCell ref="G100:H100"/>
    <mergeCell ref="D101:H101"/>
    <mergeCell ref="D102:F102"/>
    <mergeCell ref="G102:H102"/>
    <mergeCell ref="G77:H77"/>
    <mergeCell ref="G80:H80"/>
    <mergeCell ref="D81:H81"/>
    <mergeCell ref="D82:F82"/>
    <mergeCell ref="G82:H82"/>
    <mergeCell ref="D83:H83"/>
    <mergeCell ref="G97:H97"/>
    <mergeCell ref="D103:H103"/>
    <mergeCell ref="D61:H61"/>
    <mergeCell ref="D62:F62"/>
    <mergeCell ref="G62:H62"/>
    <mergeCell ref="D63:H63"/>
    <mergeCell ref="G11:H11"/>
    <mergeCell ref="G16:H16"/>
    <mergeCell ref="G19:H19"/>
    <mergeCell ref="D20:H20"/>
    <mergeCell ref="D21:F21"/>
    <mergeCell ref="G21:H21"/>
    <mergeCell ref="D22:H22"/>
    <mergeCell ref="G31:H31"/>
    <mergeCell ref="G36:H36"/>
    <mergeCell ref="G228:H228"/>
    <mergeCell ref="G112:H112"/>
    <mergeCell ref="G118:H118"/>
    <mergeCell ref="G121:H121"/>
    <mergeCell ref="G92:H92"/>
    <mergeCell ref="D122:H122"/>
    <mergeCell ref="D123:F123"/>
    <mergeCell ref="G123:H123"/>
    <mergeCell ref="G154:H154"/>
    <mergeCell ref="G160:H160"/>
    <mergeCell ref="D144:F144"/>
    <mergeCell ref="G144:H144"/>
    <mergeCell ref="D145:H145"/>
    <mergeCell ref="D143:H143"/>
    <mergeCell ref="G175:H175"/>
    <mergeCell ref="G139:H139"/>
    <mergeCell ref="G142:H142"/>
    <mergeCell ref="G163:H163"/>
    <mergeCell ref="D164:H164"/>
    <mergeCell ref="D165:F165"/>
    <mergeCell ref="G165:H165"/>
    <mergeCell ref="D166:H166"/>
  </mergeCells>
  <printOptions horizontalCentered="1"/>
  <pageMargins left="0.39370078740157483" right="0.31496062992125984" top="0.74803149606299213" bottom="0.74803149606299213" header="0.31496062992125984" footer="0.31496062992125984"/>
  <pageSetup paperSize="258" scale="95" firstPageNumber="20" fitToHeight="0" orientation="portrait" useFirstPageNumber="1" horizontalDpi="4294967293" r:id="rId1"/>
  <headerFooter differentOddEven="1">
    <oddFooter>&amp;L&amp;R&amp;P</oddFooter>
    <evenFooter>&amp;R&amp;P</evenFooter>
  </headerFooter>
  <rowBreaks count="5" manualBreakCount="5">
    <brk id="44" min="1" max="8" man="1"/>
    <brk id="83" max="16383" man="1"/>
    <brk id="124" max="16383" man="1"/>
    <brk id="167" max="16383" man="1"/>
    <brk id="209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theme="3" tint="0.59999389629810485"/>
  </sheetPr>
  <dimension ref="B2:J593"/>
  <sheetViews>
    <sheetView showGridLines="0" view="pageBreakPreview" topLeftCell="A59" zoomScale="85" zoomScaleSheetLayoutView="85" workbookViewId="0">
      <selection activeCell="L59" sqref="L59"/>
    </sheetView>
  </sheetViews>
  <sheetFormatPr defaultRowHeight="12.75"/>
  <cols>
    <col min="1" max="1" width="9.140625" style="2"/>
    <col min="2" max="2" width="4.7109375" style="11" customWidth="1"/>
    <col min="3" max="3" width="7.28515625" style="4" customWidth="1"/>
    <col min="4" max="4" width="28.7109375" style="2" customWidth="1"/>
    <col min="5" max="5" width="9.140625" style="3" customWidth="1"/>
    <col min="6" max="6" width="8.7109375" style="4" customWidth="1"/>
    <col min="7" max="7" width="11" style="55" bestFit="1" customWidth="1"/>
    <col min="8" max="8" width="14.140625" style="6" customWidth="1"/>
    <col min="9" max="9" width="14.42578125" style="6" customWidth="1"/>
    <col min="10" max="16384" width="9.140625" style="2"/>
  </cols>
  <sheetData>
    <row r="2" spans="2:9">
      <c r="B2" s="340" t="s">
        <v>459</v>
      </c>
      <c r="C2" s="270" t="str">
        <f>'[1]Lamp_1 (Konstruksi 1-199)'!$D$531</f>
        <v>PEKERJAAN DINDING</v>
      </c>
    </row>
    <row r="3" spans="2:9">
      <c r="B3" s="340"/>
      <c r="C3" s="270"/>
    </row>
    <row r="4" spans="2:9" s="567" customFormat="1" ht="15.75" customHeight="1" thickBot="1">
      <c r="B4" s="541">
        <v>1</v>
      </c>
      <c r="C4" s="572" t="s">
        <v>1017</v>
      </c>
      <c r="G4" s="596"/>
      <c r="H4" s="596"/>
    </row>
    <row r="5" spans="2:9" s="600" customFormat="1" ht="35.1" customHeight="1" thickBot="1">
      <c r="B5" s="519"/>
      <c r="C5" s="633" t="s">
        <v>0</v>
      </c>
      <c r="D5" s="335" t="s">
        <v>1</v>
      </c>
      <c r="E5" s="335" t="s">
        <v>2</v>
      </c>
      <c r="F5" s="335" t="s">
        <v>3</v>
      </c>
      <c r="G5" s="335" t="s">
        <v>4</v>
      </c>
      <c r="H5" s="431" t="s">
        <v>742</v>
      </c>
      <c r="I5" s="337" t="s">
        <v>736</v>
      </c>
    </row>
    <row r="6" spans="2:9" s="580" customFormat="1" ht="14.1" customHeight="1">
      <c r="B6" s="308"/>
      <c r="C6" s="543" t="s">
        <v>7</v>
      </c>
      <c r="D6" s="289" t="s">
        <v>810</v>
      </c>
      <c r="E6" s="299"/>
      <c r="F6" s="299"/>
      <c r="G6" s="581"/>
      <c r="H6" s="581"/>
      <c r="I6" s="300"/>
    </row>
    <row r="7" spans="2:9" s="580" customFormat="1" ht="14.1" customHeight="1">
      <c r="B7" s="308"/>
      <c r="C7" s="298"/>
      <c r="D7" s="289" t="s">
        <v>10</v>
      </c>
      <c r="E7" s="285" t="s">
        <v>16</v>
      </c>
      <c r="F7" s="285" t="s">
        <v>726</v>
      </c>
      <c r="G7" s="286">
        <v>0.6</v>
      </c>
      <c r="H7" s="581"/>
      <c r="I7" s="300"/>
    </row>
    <row r="8" spans="2:9" s="580" customFormat="1" ht="14.1" customHeight="1">
      <c r="B8" s="308"/>
      <c r="C8" s="298"/>
      <c r="D8" s="289" t="s">
        <v>143</v>
      </c>
      <c r="E8" s="285" t="s">
        <v>22</v>
      </c>
      <c r="F8" s="285" t="s">
        <v>726</v>
      </c>
      <c r="G8" s="286">
        <v>0.2</v>
      </c>
      <c r="H8" s="581"/>
      <c r="I8" s="300"/>
    </row>
    <row r="9" spans="2:9" s="580" customFormat="1" ht="14.1" customHeight="1">
      <c r="B9" s="308"/>
      <c r="C9" s="298"/>
      <c r="D9" s="289" t="s">
        <v>20</v>
      </c>
      <c r="E9" s="285" t="s">
        <v>21</v>
      </c>
      <c r="F9" s="285" t="s">
        <v>726</v>
      </c>
      <c r="G9" s="286">
        <v>0.02</v>
      </c>
      <c r="H9" s="581"/>
      <c r="I9" s="300"/>
    </row>
    <row r="10" spans="2:9" s="580" customFormat="1" ht="14.1" customHeight="1">
      <c r="B10" s="308"/>
      <c r="C10" s="301"/>
      <c r="D10" s="177" t="s">
        <v>11</v>
      </c>
      <c r="E10" s="287" t="s">
        <v>17</v>
      </c>
      <c r="F10" s="287" t="s">
        <v>726</v>
      </c>
      <c r="G10" s="288">
        <v>0.03</v>
      </c>
      <c r="H10" s="586"/>
      <c r="I10" s="303"/>
    </row>
    <row r="11" spans="2:9" s="580" customFormat="1" ht="14.1" customHeight="1">
      <c r="B11" s="308"/>
      <c r="C11" s="609"/>
      <c r="D11" s="316"/>
      <c r="E11" s="316"/>
      <c r="F11" s="316"/>
      <c r="G11" s="1166" t="s">
        <v>727</v>
      </c>
      <c r="H11" s="1167"/>
      <c r="I11" s="584"/>
    </row>
    <row r="12" spans="2:9" s="580" customFormat="1" ht="14.1" customHeight="1">
      <c r="B12" s="308"/>
      <c r="C12" s="292" t="s">
        <v>8</v>
      </c>
      <c r="D12" s="293" t="s">
        <v>811</v>
      </c>
      <c r="E12" s="296"/>
      <c r="F12" s="296"/>
      <c r="G12" s="585"/>
      <c r="H12" s="585"/>
      <c r="I12" s="297"/>
    </row>
    <row r="13" spans="2:9" s="580" customFormat="1" ht="14.1" customHeight="1">
      <c r="B13" s="308"/>
      <c r="C13" s="298"/>
      <c r="D13" s="289" t="s">
        <v>145</v>
      </c>
      <c r="E13" s="299"/>
      <c r="F13" s="285" t="s">
        <v>825</v>
      </c>
      <c r="G13" s="286">
        <v>140</v>
      </c>
      <c r="H13" s="581"/>
      <c r="I13" s="300"/>
    </row>
    <row r="14" spans="2:9" s="580" customFormat="1" ht="14.1" customHeight="1">
      <c r="B14" s="308"/>
      <c r="C14" s="298"/>
      <c r="D14" s="289" t="s">
        <v>806</v>
      </c>
      <c r="E14" s="299"/>
      <c r="F14" s="285" t="s">
        <v>734</v>
      </c>
      <c r="G14" s="616">
        <v>43.5</v>
      </c>
      <c r="H14" s="581"/>
      <c r="I14" s="300"/>
    </row>
    <row r="15" spans="2:9" s="580" customFormat="1" ht="14.1" customHeight="1">
      <c r="B15" s="308"/>
      <c r="C15" s="301"/>
      <c r="D15" s="177" t="s">
        <v>211</v>
      </c>
      <c r="E15" s="302"/>
      <c r="F15" s="586" t="s">
        <v>750</v>
      </c>
      <c r="G15" s="617">
        <v>0.08</v>
      </c>
      <c r="H15" s="586"/>
      <c r="I15" s="303"/>
    </row>
    <row r="16" spans="2:9" s="580" customFormat="1" ht="14.1" customHeight="1">
      <c r="B16" s="308"/>
      <c r="C16" s="609"/>
      <c r="D16" s="316"/>
      <c r="E16" s="316"/>
      <c r="F16" s="316"/>
      <c r="G16" s="1166" t="s">
        <v>728</v>
      </c>
      <c r="H16" s="1167"/>
      <c r="I16" s="584"/>
    </row>
    <row r="17" spans="2:9" s="580" customFormat="1" ht="14.1" customHeight="1">
      <c r="B17" s="308"/>
      <c r="C17" s="292" t="s">
        <v>9</v>
      </c>
      <c r="D17" s="293" t="s">
        <v>815</v>
      </c>
      <c r="E17" s="296"/>
      <c r="F17" s="296"/>
      <c r="G17" s="585"/>
      <c r="H17" s="585"/>
      <c r="I17" s="297"/>
    </row>
    <row r="18" spans="2:9" s="580" customFormat="1" ht="14.1" customHeight="1">
      <c r="B18" s="308"/>
      <c r="C18" s="301"/>
      <c r="D18" s="302"/>
      <c r="E18" s="302"/>
      <c r="F18" s="302"/>
      <c r="G18" s="586"/>
      <c r="H18" s="586"/>
      <c r="I18" s="303"/>
    </row>
    <row r="19" spans="2:9" s="580" customFormat="1" ht="14.1" customHeight="1">
      <c r="B19" s="308"/>
      <c r="C19" s="1122"/>
      <c r="D19" s="1123"/>
      <c r="E19" s="1123"/>
      <c r="F19" s="1124"/>
      <c r="G19" s="1188" t="s">
        <v>729</v>
      </c>
      <c r="H19" s="1189"/>
      <c r="I19" s="305"/>
    </row>
    <row r="20" spans="2:9" s="580" customFormat="1" ht="14.1" customHeight="1">
      <c r="B20" s="308"/>
      <c r="C20" s="290" t="s">
        <v>12</v>
      </c>
      <c r="D20" s="1113" t="s">
        <v>730</v>
      </c>
      <c r="E20" s="1114"/>
      <c r="F20" s="1114"/>
      <c r="G20" s="1114"/>
      <c r="H20" s="1114"/>
      <c r="I20" s="306"/>
    </row>
    <row r="21" spans="2:9" s="580" customFormat="1" ht="14.1" customHeight="1">
      <c r="B21" s="308"/>
      <c r="C21" s="290" t="s">
        <v>13</v>
      </c>
      <c r="D21" s="1116" t="s">
        <v>816</v>
      </c>
      <c r="E21" s="1117"/>
      <c r="F21" s="1118"/>
      <c r="G21" s="1168" t="s">
        <v>740</v>
      </c>
      <c r="H21" s="1169"/>
      <c r="I21" s="306"/>
    </row>
    <row r="22" spans="2:9" s="580" customFormat="1" ht="14.1" customHeight="1" thickBot="1">
      <c r="B22" s="308"/>
      <c r="C22" s="291" t="s">
        <v>14</v>
      </c>
      <c r="D22" s="1119" t="s">
        <v>817</v>
      </c>
      <c r="E22" s="1120"/>
      <c r="F22" s="1120"/>
      <c r="G22" s="1120"/>
      <c r="H22" s="1120"/>
      <c r="I22" s="307"/>
    </row>
    <row r="23" spans="2:9" s="580" customFormat="1" ht="14.1" customHeight="1">
      <c r="B23" s="308"/>
      <c r="G23" s="589"/>
      <c r="H23" s="589"/>
    </row>
    <row r="24" spans="2:9" s="567" customFormat="1" ht="19.5" customHeight="1" thickBot="1">
      <c r="B24" s="541">
        <v>2</v>
      </c>
      <c r="C24" s="969" t="s">
        <v>1660</v>
      </c>
      <c r="D24" s="968"/>
      <c r="E24" s="968"/>
      <c r="F24" s="968"/>
      <c r="G24" s="968"/>
      <c r="H24" s="968"/>
      <c r="I24" s="968"/>
    </row>
    <row r="25" spans="2:9" s="600" customFormat="1" ht="35.1" customHeight="1" thickBot="1">
      <c r="B25" s="519"/>
      <c r="C25" s="334" t="s">
        <v>0</v>
      </c>
      <c r="D25" s="335" t="s">
        <v>1</v>
      </c>
      <c r="E25" s="335" t="s">
        <v>2</v>
      </c>
      <c r="F25" s="335" t="s">
        <v>3</v>
      </c>
      <c r="G25" s="335" t="s">
        <v>4</v>
      </c>
      <c r="H25" s="335" t="s">
        <v>742</v>
      </c>
      <c r="I25" s="337" t="s">
        <v>736</v>
      </c>
    </row>
    <row r="26" spans="2:9" s="580" customFormat="1" ht="14.1" customHeight="1">
      <c r="B26" s="308"/>
      <c r="C26" s="543" t="s">
        <v>7</v>
      </c>
      <c r="D26" s="289" t="s">
        <v>810</v>
      </c>
      <c r="E26" s="299"/>
      <c r="F26" s="299"/>
      <c r="G26" s="581"/>
      <c r="H26" s="581"/>
      <c r="I26" s="300"/>
    </row>
    <row r="27" spans="2:9" s="580" customFormat="1" ht="14.1" customHeight="1">
      <c r="B27" s="308"/>
      <c r="C27" s="298"/>
      <c r="D27" s="289" t="s">
        <v>10</v>
      </c>
      <c r="E27" s="285" t="s">
        <v>16</v>
      </c>
      <c r="F27" s="285" t="s">
        <v>726</v>
      </c>
      <c r="G27" s="286">
        <v>0.6</v>
      </c>
      <c r="H27" s="581"/>
      <c r="I27" s="300"/>
    </row>
    <row r="28" spans="2:9" s="580" customFormat="1" ht="14.1" customHeight="1">
      <c r="B28" s="308"/>
      <c r="C28" s="298"/>
      <c r="D28" s="289" t="s">
        <v>143</v>
      </c>
      <c r="E28" s="285" t="s">
        <v>22</v>
      </c>
      <c r="F28" s="285" t="s">
        <v>726</v>
      </c>
      <c r="G28" s="286">
        <v>0.2</v>
      </c>
      <c r="H28" s="581"/>
      <c r="I28" s="300"/>
    </row>
    <row r="29" spans="2:9" s="580" customFormat="1" ht="14.1" customHeight="1">
      <c r="B29" s="308"/>
      <c r="C29" s="298"/>
      <c r="D29" s="289" t="s">
        <v>20</v>
      </c>
      <c r="E29" s="285" t="s">
        <v>21</v>
      </c>
      <c r="F29" s="285" t="s">
        <v>726</v>
      </c>
      <c r="G29" s="286">
        <v>0.02</v>
      </c>
      <c r="H29" s="581"/>
      <c r="I29" s="300"/>
    </row>
    <row r="30" spans="2:9" s="580" customFormat="1" ht="14.1" customHeight="1">
      <c r="B30" s="308"/>
      <c r="C30" s="301"/>
      <c r="D30" s="177" t="s">
        <v>11</v>
      </c>
      <c r="E30" s="287" t="s">
        <v>17</v>
      </c>
      <c r="F30" s="287" t="s">
        <v>726</v>
      </c>
      <c r="G30" s="288">
        <v>0.03</v>
      </c>
      <c r="H30" s="586"/>
      <c r="I30" s="303"/>
    </row>
    <row r="31" spans="2:9" s="580" customFormat="1" ht="14.1" customHeight="1">
      <c r="B31" s="308"/>
      <c r="C31" s="609"/>
      <c r="D31" s="316"/>
      <c r="E31" s="316"/>
      <c r="F31" s="316"/>
      <c r="G31" s="1166" t="s">
        <v>727</v>
      </c>
      <c r="H31" s="1167"/>
      <c r="I31" s="584"/>
    </row>
    <row r="32" spans="2:9" s="580" customFormat="1" ht="14.1" customHeight="1">
      <c r="B32" s="308"/>
      <c r="C32" s="292" t="s">
        <v>8</v>
      </c>
      <c r="D32" s="293" t="s">
        <v>811</v>
      </c>
      <c r="E32" s="296"/>
      <c r="F32" s="296"/>
      <c r="G32" s="585"/>
      <c r="H32" s="585"/>
      <c r="I32" s="297"/>
    </row>
    <row r="33" spans="2:9" s="580" customFormat="1" ht="14.1" customHeight="1">
      <c r="B33" s="308"/>
      <c r="C33" s="298"/>
      <c r="D33" s="289" t="s">
        <v>145</v>
      </c>
      <c r="E33" s="299"/>
      <c r="F33" s="285" t="s">
        <v>825</v>
      </c>
      <c r="G33" s="286">
        <v>140</v>
      </c>
      <c r="H33" s="581"/>
      <c r="I33" s="300"/>
    </row>
    <row r="34" spans="2:9" s="580" customFormat="1" ht="14.1" customHeight="1">
      <c r="B34" s="308"/>
      <c r="C34" s="298"/>
      <c r="D34" s="289" t="s">
        <v>806</v>
      </c>
      <c r="E34" s="299"/>
      <c r="F34" s="285" t="s">
        <v>734</v>
      </c>
      <c r="G34" s="286">
        <v>32.950000000000003</v>
      </c>
      <c r="H34" s="581"/>
      <c r="I34" s="300"/>
    </row>
    <row r="35" spans="2:9" s="580" customFormat="1" ht="14.1" customHeight="1">
      <c r="B35" s="308"/>
      <c r="C35" s="301"/>
      <c r="D35" s="177" t="s">
        <v>211</v>
      </c>
      <c r="E35" s="302"/>
      <c r="F35" s="586" t="s">
        <v>750</v>
      </c>
      <c r="G35" s="288">
        <v>9.0999999999999998E-2</v>
      </c>
      <c r="H35" s="586"/>
      <c r="I35" s="303"/>
    </row>
    <row r="36" spans="2:9" s="580" customFormat="1" ht="14.1" customHeight="1">
      <c r="B36" s="308"/>
      <c r="C36" s="609"/>
      <c r="D36" s="316"/>
      <c r="E36" s="316"/>
      <c r="F36" s="316"/>
      <c r="G36" s="1166" t="s">
        <v>728</v>
      </c>
      <c r="H36" s="1167"/>
      <c r="I36" s="584"/>
    </row>
    <row r="37" spans="2:9" s="580" customFormat="1" ht="14.1" customHeight="1">
      <c r="B37" s="308"/>
      <c r="C37" s="292" t="s">
        <v>9</v>
      </c>
      <c r="D37" s="293" t="s">
        <v>815</v>
      </c>
      <c r="E37" s="296"/>
      <c r="F37" s="296"/>
      <c r="G37" s="585"/>
      <c r="H37" s="585"/>
      <c r="I37" s="297"/>
    </row>
    <row r="38" spans="2:9" s="580" customFormat="1" ht="14.1" customHeight="1">
      <c r="B38" s="308"/>
      <c r="C38" s="301"/>
      <c r="D38" s="302"/>
      <c r="E38" s="302"/>
      <c r="F38" s="302"/>
      <c r="G38" s="586"/>
      <c r="H38" s="586"/>
      <c r="I38" s="303"/>
    </row>
    <row r="39" spans="2:9" s="580" customFormat="1" ht="14.1" customHeight="1">
      <c r="B39" s="308"/>
      <c r="C39" s="609"/>
      <c r="D39" s="316"/>
      <c r="E39" s="316"/>
      <c r="F39" s="316"/>
      <c r="G39" s="1166" t="s">
        <v>729</v>
      </c>
      <c r="H39" s="1167"/>
      <c r="I39" s="584"/>
    </row>
    <row r="40" spans="2:9" s="580" customFormat="1" ht="14.1" customHeight="1">
      <c r="B40" s="308"/>
      <c r="C40" s="290" t="s">
        <v>12</v>
      </c>
      <c r="D40" s="1113" t="s">
        <v>730</v>
      </c>
      <c r="E40" s="1114"/>
      <c r="F40" s="1114"/>
      <c r="G40" s="1160"/>
      <c r="H40" s="1126"/>
      <c r="I40" s="305"/>
    </row>
    <row r="41" spans="2:9" s="580" customFormat="1" ht="14.1" customHeight="1">
      <c r="B41" s="308"/>
      <c r="C41" s="290" t="s">
        <v>13</v>
      </c>
      <c r="D41" s="1116" t="s">
        <v>816</v>
      </c>
      <c r="E41" s="1117"/>
      <c r="F41" s="1118"/>
      <c r="G41" s="1168" t="s">
        <v>740</v>
      </c>
      <c r="H41" s="1171"/>
      <c r="I41" s="306"/>
    </row>
    <row r="42" spans="2:9" s="580" customFormat="1" ht="14.1" customHeight="1" thickBot="1">
      <c r="B42" s="308"/>
      <c r="C42" s="291" t="s">
        <v>14</v>
      </c>
      <c r="D42" s="1119" t="s">
        <v>817</v>
      </c>
      <c r="E42" s="1120"/>
      <c r="F42" s="1120"/>
      <c r="G42" s="1120"/>
      <c r="H42" s="1121"/>
      <c r="I42" s="307"/>
    </row>
    <row r="43" spans="2:9" s="580" customFormat="1" ht="14.1" customHeight="1">
      <c r="B43" s="308"/>
      <c r="G43" s="589"/>
      <c r="H43" s="589"/>
    </row>
    <row r="44" spans="2:9" s="567" customFormat="1" ht="15" customHeight="1" thickBot="1">
      <c r="B44" s="541">
        <v>3</v>
      </c>
      <c r="C44" s="969" t="s">
        <v>995</v>
      </c>
      <c r="D44" s="969"/>
      <c r="E44" s="969"/>
      <c r="F44" s="969"/>
      <c r="G44" s="969"/>
      <c r="H44" s="969"/>
      <c r="I44" s="969"/>
    </row>
    <row r="45" spans="2:9" s="519" customFormat="1" ht="35.1" customHeight="1" thickBot="1">
      <c r="C45" s="334" t="s">
        <v>0</v>
      </c>
      <c r="D45" s="335" t="s">
        <v>1</v>
      </c>
      <c r="E45" s="335" t="s">
        <v>2</v>
      </c>
      <c r="F45" s="335" t="s">
        <v>3</v>
      </c>
      <c r="G45" s="335" t="s">
        <v>4</v>
      </c>
      <c r="H45" s="335" t="s">
        <v>742</v>
      </c>
      <c r="I45" s="337" t="s">
        <v>736</v>
      </c>
    </row>
    <row r="46" spans="2:9" s="580" customFormat="1" ht="14.1" customHeight="1">
      <c r="B46" s="308"/>
      <c r="C46" s="543" t="s">
        <v>7</v>
      </c>
      <c r="D46" s="289" t="s">
        <v>810</v>
      </c>
      <c r="E46" s="299"/>
      <c r="F46" s="299"/>
      <c r="G46" s="581"/>
      <c r="H46" s="581"/>
      <c r="I46" s="300"/>
    </row>
    <row r="47" spans="2:9" s="580" customFormat="1" ht="14.1" customHeight="1">
      <c r="B47" s="308"/>
      <c r="C47" s="298"/>
      <c r="D47" s="289" t="s">
        <v>10</v>
      </c>
      <c r="E47" s="285" t="s">
        <v>16</v>
      </c>
      <c r="F47" s="285" t="s">
        <v>726</v>
      </c>
      <c r="G47" s="286">
        <v>0.6</v>
      </c>
      <c r="H47" s="581"/>
      <c r="I47" s="300"/>
    </row>
    <row r="48" spans="2:9" s="580" customFormat="1" ht="14.1" customHeight="1">
      <c r="B48" s="308"/>
      <c r="C48" s="298"/>
      <c r="D48" s="289" t="s">
        <v>143</v>
      </c>
      <c r="E48" s="285" t="s">
        <v>22</v>
      </c>
      <c r="F48" s="285" t="s">
        <v>726</v>
      </c>
      <c r="G48" s="286">
        <v>0.2</v>
      </c>
      <c r="H48" s="581"/>
      <c r="I48" s="300"/>
    </row>
    <row r="49" spans="2:9" s="580" customFormat="1" ht="14.1" customHeight="1">
      <c r="B49" s="308"/>
      <c r="C49" s="298"/>
      <c r="D49" s="289" t="s">
        <v>999</v>
      </c>
      <c r="E49" s="285" t="s">
        <v>21</v>
      </c>
      <c r="F49" s="285" t="s">
        <v>726</v>
      </c>
      <c r="G49" s="286">
        <v>0.02</v>
      </c>
      <c r="H49" s="581"/>
      <c r="I49" s="300"/>
    </row>
    <row r="50" spans="2:9" s="580" customFormat="1" ht="14.1" customHeight="1">
      <c r="B50" s="308"/>
      <c r="C50" s="301"/>
      <c r="D50" s="177" t="s">
        <v>11</v>
      </c>
      <c r="E50" s="287" t="s">
        <v>17</v>
      </c>
      <c r="F50" s="287" t="s">
        <v>726</v>
      </c>
      <c r="G50" s="288">
        <v>0.03</v>
      </c>
      <c r="H50" s="586"/>
      <c r="I50" s="303"/>
    </row>
    <row r="51" spans="2:9" s="580" customFormat="1" ht="14.1" customHeight="1">
      <c r="B51" s="308"/>
      <c r="C51" s="609"/>
      <c r="D51" s="316"/>
      <c r="E51" s="316"/>
      <c r="F51" s="316"/>
      <c r="G51" s="1166" t="s">
        <v>727</v>
      </c>
      <c r="H51" s="1167"/>
      <c r="I51" s="584"/>
    </row>
    <row r="52" spans="2:9" s="580" customFormat="1" ht="14.1" customHeight="1">
      <c r="B52" s="308"/>
      <c r="C52" s="292" t="s">
        <v>8</v>
      </c>
      <c r="D52" s="618" t="s">
        <v>811</v>
      </c>
      <c r="E52" s="296"/>
      <c r="F52" s="296"/>
      <c r="G52" s="585"/>
      <c r="H52" s="585"/>
      <c r="I52" s="297"/>
    </row>
    <row r="53" spans="2:9" s="580" customFormat="1" ht="14.1" customHeight="1">
      <c r="B53" s="308"/>
      <c r="C53" s="298"/>
      <c r="D53" s="619" t="s">
        <v>145</v>
      </c>
      <c r="E53" s="299"/>
      <c r="F53" s="285" t="s">
        <v>825</v>
      </c>
      <c r="G53" s="286">
        <v>140</v>
      </c>
      <c r="H53" s="581"/>
      <c r="I53" s="300"/>
    </row>
    <row r="54" spans="2:9" s="580" customFormat="1" ht="14.1" customHeight="1">
      <c r="B54" s="308"/>
      <c r="C54" s="298"/>
      <c r="D54" s="619" t="s">
        <v>806</v>
      </c>
      <c r="E54" s="299"/>
      <c r="F54" s="285" t="s">
        <v>734</v>
      </c>
      <c r="G54" s="286">
        <v>26.55</v>
      </c>
      <c r="H54" s="581"/>
      <c r="I54" s="300"/>
    </row>
    <row r="55" spans="2:9" s="580" customFormat="1" ht="14.1" customHeight="1">
      <c r="B55" s="308"/>
      <c r="C55" s="301"/>
      <c r="D55" s="620" t="s">
        <v>412</v>
      </c>
      <c r="E55" s="302"/>
      <c r="F55" s="586" t="s">
        <v>750</v>
      </c>
      <c r="G55" s="288">
        <v>9.2999999999999999E-2</v>
      </c>
      <c r="H55" s="586"/>
      <c r="I55" s="303"/>
    </row>
    <row r="56" spans="2:9" s="580" customFormat="1" ht="14.1" customHeight="1">
      <c r="B56" s="308"/>
      <c r="C56" s="609"/>
      <c r="D56" s="316"/>
      <c r="E56" s="316"/>
      <c r="F56" s="316"/>
      <c r="G56" s="1166" t="s">
        <v>728</v>
      </c>
      <c r="H56" s="1167"/>
      <c r="I56" s="584"/>
    </row>
    <row r="57" spans="2:9" s="580" customFormat="1" ht="14.1" customHeight="1">
      <c r="B57" s="308"/>
      <c r="C57" s="292" t="s">
        <v>9</v>
      </c>
      <c r="D57" s="293" t="s">
        <v>815</v>
      </c>
      <c r="E57" s="296"/>
      <c r="F57" s="296"/>
      <c r="G57" s="585"/>
      <c r="H57" s="585"/>
      <c r="I57" s="297"/>
    </row>
    <row r="58" spans="2:9" s="580" customFormat="1" ht="14.1" customHeight="1">
      <c r="B58" s="308"/>
      <c r="C58" s="301"/>
      <c r="D58" s="302"/>
      <c r="E58" s="302"/>
      <c r="F58" s="302"/>
      <c r="G58" s="586"/>
      <c r="H58" s="586"/>
      <c r="I58" s="303"/>
    </row>
    <row r="59" spans="2:9" s="580" customFormat="1" ht="14.1" customHeight="1">
      <c r="B59" s="308"/>
      <c r="C59" s="609"/>
      <c r="D59" s="316"/>
      <c r="E59" s="316"/>
      <c r="F59" s="316"/>
      <c r="G59" s="1166" t="s">
        <v>729</v>
      </c>
      <c r="H59" s="1167"/>
      <c r="I59" s="584"/>
    </row>
    <row r="60" spans="2:9" s="580" customFormat="1" ht="14.1" customHeight="1">
      <c r="B60" s="308"/>
      <c r="C60" s="290" t="s">
        <v>12</v>
      </c>
      <c r="D60" s="1113" t="s">
        <v>730</v>
      </c>
      <c r="E60" s="1114"/>
      <c r="F60" s="1114"/>
      <c r="G60" s="1160"/>
      <c r="H60" s="1126"/>
      <c r="I60" s="305"/>
    </row>
    <row r="61" spans="2:9" s="580" customFormat="1" ht="14.1" customHeight="1">
      <c r="B61" s="308"/>
      <c r="C61" s="290" t="s">
        <v>13</v>
      </c>
      <c r="D61" s="1116" t="s">
        <v>816</v>
      </c>
      <c r="E61" s="1117"/>
      <c r="F61" s="1118"/>
      <c r="G61" s="1168" t="s">
        <v>740</v>
      </c>
      <c r="H61" s="1171"/>
      <c r="I61" s="306"/>
    </row>
    <row r="62" spans="2:9" s="580" customFormat="1" ht="14.1" customHeight="1" thickBot="1">
      <c r="B62" s="308"/>
      <c r="C62" s="291" t="s">
        <v>14</v>
      </c>
      <c r="D62" s="1119" t="s">
        <v>817</v>
      </c>
      <c r="E62" s="1120"/>
      <c r="F62" s="1120"/>
      <c r="G62" s="1120"/>
      <c r="H62" s="1121"/>
      <c r="I62" s="307"/>
    </row>
    <row r="63" spans="2:9" s="580" customFormat="1" ht="14.1" customHeight="1">
      <c r="B63" s="308"/>
      <c r="C63" s="972"/>
      <c r="D63" s="973"/>
      <c r="E63" s="973"/>
      <c r="F63" s="973"/>
      <c r="G63" s="973"/>
      <c r="H63" s="973"/>
      <c r="I63" s="974"/>
    </row>
    <row r="64" spans="2:9" s="567" customFormat="1" ht="18" customHeight="1" thickBot="1">
      <c r="B64" s="541">
        <v>4</v>
      </c>
      <c r="C64" s="969" t="s">
        <v>996</v>
      </c>
      <c r="D64" s="969"/>
      <c r="E64" s="969"/>
      <c r="F64" s="969"/>
      <c r="G64" s="969"/>
      <c r="H64" s="969"/>
      <c r="I64" s="969"/>
    </row>
    <row r="65" spans="2:9" s="519" customFormat="1" ht="28.5" customHeight="1" thickBot="1">
      <c r="C65" s="334" t="s">
        <v>0</v>
      </c>
      <c r="D65" s="335" t="s">
        <v>1</v>
      </c>
      <c r="E65" s="335" t="s">
        <v>2</v>
      </c>
      <c r="F65" s="335" t="s">
        <v>3</v>
      </c>
      <c r="G65" s="335" t="s">
        <v>4</v>
      </c>
      <c r="H65" s="335" t="s">
        <v>742</v>
      </c>
      <c r="I65" s="337" t="s">
        <v>736</v>
      </c>
    </row>
    <row r="66" spans="2:9" s="580" customFormat="1" ht="14.1" customHeight="1">
      <c r="B66" s="308"/>
      <c r="C66" s="543" t="s">
        <v>7</v>
      </c>
      <c r="D66" s="289" t="s">
        <v>810</v>
      </c>
      <c r="E66" s="299"/>
      <c r="F66" s="299"/>
      <c r="G66" s="581"/>
      <c r="H66" s="581"/>
      <c r="I66" s="300"/>
    </row>
    <row r="67" spans="2:9" s="580" customFormat="1" ht="14.1" customHeight="1">
      <c r="B67" s="308"/>
      <c r="C67" s="298"/>
      <c r="D67" s="289" t="s">
        <v>10</v>
      </c>
      <c r="E67" s="285" t="s">
        <v>16</v>
      </c>
      <c r="F67" s="285" t="s">
        <v>726</v>
      </c>
      <c r="G67" s="286">
        <v>0.6</v>
      </c>
      <c r="H67" s="581"/>
      <c r="I67" s="300"/>
    </row>
    <row r="68" spans="2:9" s="580" customFormat="1" ht="14.1" customHeight="1">
      <c r="B68" s="308"/>
      <c r="C68" s="298"/>
      <c r="D68" s="289" t="s">
        <v>143</v>
      </c>
      <c r="E68" s="285" t="s">
        <v>22</v>
      </c>
      <c r="F68" s="285" t="s">
        <v>726</v>
      </c>
      <c r="G68" s="286">
        <v>0.2</v>
      </c>
      <c r="H68" s="581"/>
      <c r="I68" s="300"/>
    </row>
    <row r="69" spans="2:9" s="580" customFormat="1" ht="14.1" customHeight="1">
      <c r="B69" s="308"/>
      <c r="C69" s="298"/>
      <c r="D69" s="289" t="s">
        <v>20</v>
      </c>
      <c r="E69" s="285" t="s">
        <v>21</v>
      </c>
      <c r="F69" s="285" t="s">
        <v>726</v>
      </c>
      <c r="G69" s="286">
        <v>0.02</v>
      </c>
      <c r="H69" s="581"/>
      <c r="I69" s="300"/>
    </row>
    <row r="70" spans="2:9" s="580" customFormat="1" ht="14.1" customHeight="1">
      <c r="B70" s="308"/>
      <c r="C70" s="301"/>
      <c r="D70" s="177" t="s">
        <v>11</v>
      </c>
      <c r="E70" s="287" t="s">
        <v>17</v>
      </c>
      <c r="F70" s="287" t="s">
        <v>726</v>
      </c>
      <c r="G70" s="288">
        <v>0.03</v>
      </c>
      <c r="H70" s="586"/>
      <c r="I70" s="303"/>
    </row>
    <row r="71" spans="2:9" s="580" customFormat="1" ht="14.1" customHeight="1">
      <c r="B71" s="308"/>
      <c r="C71" s="609"/>
      <c r="D71" s="316"/>
      <c r="E71" s="316"/>
      <c r="F71" s="316"/>
      <c r="G71" s="1166" t="s">
        <v>727</v>
      </c>
      <c r="H71" s="1167"/>
      <c r="I71" s="584"/>
    </row>
    <row r="72" spans="2:9" s="580" customFormat="1" ht="14.1" customHeight="1">
      <c r="B72" s="308"/>
      <c r="C72" s="292" t="s">
        <v>8</v>
      </c>
      <c r="D72" s="293" t="s">
        <v>811</v>
      </c>
      <c r="E72" s="296"/>
      <c r="F72" s="296"/>
      <c r="G72" s="585"/>
      <c r="H72" s="585"/>
      <c r="I72" s="297"/>
    </row>
    <row r="73" spans="2:9" s="580" customFormat="1" ht="14.1" customHeight="1">
      <c r="B73" s="308"/>
      <c r="C73" s="298"/>
      <c r="D73" s="289" t="s">
        <v>145</v>
      </c>
      <c r="E73" s="299"/>
      <c r="F73" s="285" t="s">
        <v>825</v>
      </c>
      <c r="G73" s="286">
        <v>140</v>
      </c>
      <c r="H73" s="581"/>
      <c r="I73" s="300"/>
    </row>
    <row r="74" spans="2:9" s="580" customFormat="1" ht="14.1" customHeight="1">
      <c r="B74" s="308"/>
      <c r="C74" s="298"/>
      <c r="D74" s="289" t="s">
        <v>806</v>
      </c>
      <c r="E74" s="299"/>
      <c r="F74" s="285" t="s">
        <v>734</v>
      </c>
      <c r="G74" s="286">
        <v>22.2</v>
      </c>
      <c r="H74" s="581"/>
      <c r="I74" s="300"/>
    </row>
    <row r="75" spans="2:9" s="580" customFormat="1" ht="14.1" customHeight="1">
      <c r="B75" s="308"/>
      <c r="C75" s="301"/>
      <c r="D75" s="177" t="s">
        <v>211</v>
      </c>
      <c r="E75" s="302"/>
      <c r="F75" s="586" t="s">
        <v>750</v>
      </c>
      <c r="G75" s="288">
        <v>0.10199999999999999</v>
      </c>
      <c r="H75" s="586"/>
      <c r="I75" s="303"/>
    </row>
    <row r="76" spans="2:9" s="580" customFormat="1" ht="14.1" customHeight="1">
      <c r="B76" s="308"/>
      <c r="C76" s="609"/>
      <c r="D76" s="316"/>
      <c r="E76" s="316"/>
      <c r="F76" s="316"/>
      <c r="G76" s="1166" t="s">
        <v>728</v>
      </c>
      <c r="H76" s="1167"/>
      <c r="I76" s="584"/>
    </row>
    <row r="77" spans="2:9" s="580" customFormat="1" ht="14.1" customHeight="1">
      <c r="B77" s="308"/>
      <c r="C77" s="292" t="s">
        <v>9</v>
      </c>
      <c r="D77" s="293" t="s">
        <v>815</v>
      </c>
      <c r="E77" s="296"/>
      <c r="F77" s="296"/>
      <c r="G77" s="585"/>
      <c r="H77" s="585"/>
      <c r="I77" s="297"/>
    </row>
    <row r="78" spans="2:9" s="580" customFormat="1" ht="14.1" customHeight="1">
      <c r="B78" s="308"/>
      <c r="C78" s="301"/>
      <c r="D78" s="302"/>
      <c r="E78" s="302"/>
      <c r="F78" s="302"/>
      <c r="G78" s="586"/>
      <c r="H78" s="586"/>
      <c r="I78" s="303"/>
    </row>
    <row r="79" spans="2:9" s="580" customFormat="1" ht="14.1" customHeight="1">
      <c r="B79" s="308"/>
      <c r="C79" s="609"/>
      <c r="D79" s="316"/>
      <c r="E79" s="316"/>
      <c r="F79" s="316"/>
      <c r="G79" s="1166" t="s">
        <v>729</v>
      </c>
      <c r="H79" s="1167"/>
      <c r="I79" s="584"/>
    </row>
    <row r="80" spans="2:9" s="580" customFormat="1" ht="14.1" customHeight="1">
      <c r="B80" s="308"/>
      <c r="C80" s="290" t="s">
        <v>12</v>
      </c>
      <c r="D80" s="1113" t="s">
        <v>730</v>
      </c>
      <c r="E80" s="1114"/>
      <c r="F80" s="1114"/>
      <c r="G80" s="1160"/>
      <c r="H80" s="1126"/>
      <c r="I80" s="305"/>
    </row>
    <row r="81" spans="2:9" s="580" customFormat="1" ht="14.1" customHeight="1">
      <c r="B81" s="308"/>
      <c r="C81" s="290" t="s">
        <v>13</v>
      </c>
      <c r="D81" s="1116" t="s">
        <v>816</v>
      </c>
      <c r="E81" s="1117"/>
      <c r="F81" s="1118"/>
      <c r="G81" s="1168" t="s">
        <v>740</v>
      </c>
      <c r="H81" s="1171"/>
      <c r="I81" s="306"/>
    </row>
    <row r="82" spans="2:9" s="580" customFormat="1" ht="14.1" customHeight="1" thickBot="1">
      <c r="B82" s="308"/>
      <c r="C82" s="291" t="s">
        <v>14</v>
      </c>
      <c r="D82" s="1119" t="s">
        <v>817</v>
      </c>
      <c r="E82" s="1120"/>
      <c r="F82" s="1120"/>
      <c r="G82" s="1120"/>
      <c r="H82" s="1121"/>
      <c r="I82" s="307"/>
    </row>
    <row r="83" spans="2:9" s="580" customFormat="1" ht="14.1" customHeight="1">
      <c r="B83" s="308"/>
      <c r="G83" s="589"/>
      <c r="H83" s="589"/>
    </row>
    <row r="84" spans="2:9" s="646" customFormat="1" ht="18" customHeight="1" thickBot="1">
      <c r="B84" s="649">
        <v>5</v>
      </c>
      <c r="C84" s="969" t="s">
        <v>997</v>
      </c>
      <c r="D84" s="969"/>
      <c r="E84" s="969"/>
      <c r="F84" s="969"/>
      <c r="G84" s="969"/>
      <c r="H84" s="969"/>
      <c r="I84" s="969"/>
    </row>
    <row r="85" spans="2:9" s="519" customFormat="1" ht="35.1" customHeight="1" thickBot="1">
      <c r="C85" s="334" t="s">
        <v>0</v>
      </c>
      <c r="D85" s="335" t="s">
        <v>1</v>
      </c>
      <c r="E85" s="335" t="s">
        <v>2</v>
      </c>
      <c r="F85" s="335" t="s">
        <v>3</v>
      </c>
      <c r="G85" s="335" t="s">
        <v>4</v>
      </c>
      <c r="H85" s="335" t="s">
        <v>742</v>
      </c>
      <c r="I85" s="337" t="s">
        <v>736</v>
      </c>
    </row>
    <row r="86" spans="2:9" s="580" customFormat="1" ht="14.1" customHeight="1">
      <c r="B86" s="308"/>
      <c r="C86" s="543" t="s">
        <v>7</v>
      </c>
      <c r="D86" s="289" t="s">
        <v>810</v>
      </c>
      <c r="E86" s="299"/>
      <c r="F86" s="299"/>
      <c r="G86" s="581"/>
      <c r="H86" s="581"/>
      <c r="I86" s="300"/>
    </row>
    <row r="87" spans="2:9" s="580" customFormat="1" ht="14.1" customHeight="1">
      <c r="B87" s="308"/>
      <c r="C87" s="298"/>
      <c r="D87" s="289" t="s">
        <v>10</v>
      </c>
      <c r="E87" s="285" t="s">
        <v>16</v>
      </c>
      <c r="F87" s="285" t="s">
        <v>726</v>
      </c>
      <c r="G87" s="286">
        <v>0.6</v>
      </c>
      <c r="H87" s="581"/>
      <c r="I87" s="300"/>
    </row>
    <row r="88" spans="2:9" s="580" customFormat="1" ht="14.1" customHeight="1">
      <c r="B88" s="308"/>
      <c r="C88" s="298"/>
      <c r="D88" s="289" t="s">
        <v>143</v>
      </c>
      <c r="E88" s="285" t="s">
        <v>22</v>
      </c>
      <c r="F88" s="285" t="s">
        <v>726</v>
      </c>
      <c r="G88" s="286">
        <v>0.2</v>
      </c>
      <c r="H88" s="581"/>
      <c r="I88" s="300"/>
    </row>
    <row r="89" spans="2:9" s="580" customFormat="1" ht="14.1" customHeight="1">
      <c r="B89" s="308"/>
      <c r="C89" s="298"/>
      <c r="D89" s="289" t="s">
        <v>20</v>
      </c>
      <c r="E89" s="285" t="s">
        <v>21</v>
      </c>
      <c r="F89" s="285" t="s">
        <v>726</v>
      </c>
      <c r="G89" s="286">
        <v>0.02</v>
      </c>
      <c r="H89" s="581"/>
      <c r="I89" s="300"/>
    </row>
    <row r="90" spans="2:9" s="580" customFormat="1" ht="14.1" customHeight="1">
      <c r="B90" s="308"/>
      <c r="C90" s="301"/>
      <c r="D90" s="177" t="s">
        <v>11</v>
      </c>
      <c r="E90" s="287" t="s">
        <v>17</v>
      </c>
      <c r="F90" s="287" t="s">
        <v>726</v>
      </c>
      <c r="G90" s="288">
        <v>0.03</v>
      </c>
      <c r="H90" s="586"/>
      <c r="I90" s="303"/>
    </row>
    <row r="91" spans="2:9" s="580" customFormat="1" ht="14.1" customHeight="1">
      <c r="B91" s="308"/>
      <c r="C91" s="609"/>
      <c r="D91" s="316"/>
      <c r="E91" s="316"/>
      <c r="F91" s="316"/>
      <c r="G91" s="1166" t="s">
        <v>727</v>
      </c>
      <c r="H91" s="1167"/>
      <c r="I91" s="584"/>
    </row>
    <row r="92" spans="2:9" s="580" customFormat="1" ht="14.1" customHeight="1">
      <c r="B92" s="308"/>
      <c r="C92" s="292" t="s">
        <v>8</v>
      </c>
      <c r="D92" s="293" t="s">
        <v>811</v>
      </c>
      <c r="E92" s="296"/>
      <c r="F92" s="296"/>
      <c r="G92" s="585"/>
      <c r="H92" s="585"/>
      <c r="I92" s="297"/>
    </row>
    <row r="93" spans="2:9" s="580" customFormat="1" ht="14.1" customHeight="1">
      <c r="B93" s="308"/>
      <c r="C93" s="298"/>
      <c r="D93" s="289" t="s">
        <v>145</v>
      </c>
      <c r="E93" s="299"/>
      <c r="F93" s="285" t="s">
        <v>825</v>
      </c>
      <c r="G93" s="286">
        <v>140</v>
      </c>
      <c r="H93" s="581"/>
      <c r="I93" s="300"/>
    </row>
    <row r="94" spans="2:9" s="580" customFormat="1" ht="14.1" customHeight="1">
      <c r="B94" s="308"/>
      <c r="C94" s="298"/>
      <c r="D94" s="289" t="s">
        <v>806</v>
      </c>
      <c r="E94" s="299"/>
      <c r="F94" s="285" t="s">
        <v>734</v>
      </c>
      <c r="G94" s="286">
        <v>18.5</v>
      </c>
      <c r="H94" s="581"/>
      <c r="I94" s="300"/>
    </row>
    <row r="95" spans="2:9" s="580" customFormat="1" ht="14.1" customHeight="1">
      <c r="B95" s="308"/>
      <c r="C95" s="301"/>
      <c r="D95" s="177" t="s">
        <v>211</v>
      </c>
      <c r="E95" s="302"/>
      <c r="F95" s="586" t="s">
        <v>750</v>
      </c>
      <c r="G95" s="288">
        <v>0.122</v>
      </c>
      <c r="H95" s="586"/>
      <c r="I95" s="303"/>
    </row>
    <row r="96" spans="2:9" s="580" customFormat="1" ht="14.1" customHeight="1">
      <c r="B96" s="308"/>
      <c r="C96" s="609"/>
      <c r="D96" s="316"/>
      <c r="E96" s="316"/>
      <c r="F96" s="316"/>
      <c r="G96" s="1166" t="s">
        <v>728</v>
      </c>
      <c r="H96" s="1167"/>
      <c r="I96" s="584"/>
    </row>
    <row r="97" spans="2:9" s="580" customFormat="1" ht="14.1" customHeight="1">
      <c r="B97" s="308"/>
      <c r="C97" s="292" t="s">
        <v>9</v>
      </c>
      <c r="D97" s="293" t="s">
        <v>815</v>
      </c>
      <c r="E97" s="296"/>
      <c r="F97" s="296"/>
      <c r="G97" s="585"/>
      <c r="H97" s="585"/>
      <c r="I97" s="297"/>
    </row>
    <row r="98" spans="2:9" s="580" customFormat="1" ht="14.1" customHeight="1">
      <c r="B98" s="308"/>
      <c r="C98" s="301"/>
      <c r="D98" s="302"/>
      <c r="E98" s="302"/>
      <c r="F98" s="302"/>
      <c r="G98" s="586"/>
      <c r="H98" s="586"/>
      <c r="I98" s="303"/>
    </row>
    <row r="99" spans="2:9" s="580" customFormat="1" ht="14.1" customHeight="1">
      <c r="B99" s="308"/>
      <c r="C99" s="609"/>
      <c r="D99" s="316"/>
      <c r="E99" s="316"/>
      <c r="F99" s="316"/>
      <c r="G99" s="1166" t="s">
        <v>729</v>
      </c>
      <c r="H99" s="1167"/>
      <c r="I99" s="631"/>
    </row>
    <row r="100" spans="2:9" s="580" customFormat="1" ht="14.1" customHeight="1">
      <c r="B100" s="308"/>
      <c r="C100" s="290" t="s">
        <v>12</v>
      </c>
      <c r="D100" s="1113" t="s">
        <v>730</v>
      </c>
      <c r="E100" s="1114"/>
      <c r="F100" s="1114"/>
      <c r="G100" s="1160"/>
      <c r="H100" s="1126"/>
      <c r="I100" s="306"/>
    </row>
    <row r="101" spans="2:9" s="580" customFormat="1" ht="14.1" customHeight="1">
      <c r="B101" s="308"/>
      <c r="C101" s="290" t="s">
        <v>13</v>
      </c>
      <c r="D101" s="1116" t="s">
        <v>816</v>
      </c>
      <c r="E101" s="1117"/>
      <c r="F101" s="1118"/>
      <c r="G101" s="1168" t="s">
        <v>740</v>
      </c>
      <c r="H101" s="1171"/>
      <c r="I101" s="306"/>
    </row>
    <row r="102" spans="2:9" s="580" customFormat="1" ht="14.1" customHeight="1" thickBot="1">
      <c r="B102" s="308"/>
      <c r="C102" s="291" t="s">
        <v>14</v>
      </c>
      <c r="D102" s="1119" t="s">
        <v>817</v>
      </c>
      <c r="E102" s="1120"/>
      <c r="F102" s="1120"/>
      <c r="G102" s="1120"/>
      <c r="H102" s="1121"/>
      <c r="I102" s="307"/>
    </row>
    <row r="103" spans="2:9" s="580" customFormat="1" ht="14.1" customHeight="1">
      <c r="B103" s="308"/>
      <c r="G103" s="589"/>
      <c r="H103" s="589"/>
    </row>
    <row r="104" spans="2:9" s="567" customFormat="1" ht="15.95" customHeight="1" thickBot="1">
      <c r="B104" s="541">
        <v>6</v>
      </c>
      <c r="C104" s="569" t="s">
        <v>1018</v>
      </c>
      <c r="G104" s="596"/>
      <c r="H104" s="596"/>
    </row>
    <row r="105" spans="2:9" s="308" customFormat="1" ht="35.1" customHeight="1" thickBot="1">
      <c r="C105" s="334" t="s">
        <v>840</v>
      </c>
      <c r="D105" s="335" t="s">
        <v>841</v>
      </c>
      <c r="E105" s="335" t="s">
        <v>842</v>
      </c>
      <c r="F105" s="335" t="s">
        <v>843</v>
      </c>
      <c r="G105" s="335" t="s">
        <v>844</v>
      </c>
      <c r="H105" s="335" t="s">
        <v>845</v>
      </c>
      <c r="I105" s="337" t="s">
        <v>846</v>
      </c>
    </row>
    <row r="106" spans="2:9" s="580" customFormat="1" ht="14.1" customHeight="1">
      <c r="B106" s="308"/>
      <c r="C106" s="543" t="s">
        <v>7</v>
      </c>
      <c r="D106" s="289" t="s">
        <v>810</v>
      </c>
      <c r="E106" s="299"/>
      <c r="F106" s="299"/>
      <c r="G106" s="581"/>
      <c r="H106" s="581"/>
      <c r="I106" s="300"/>
    </row>
    <row r="107" spans="2:9" s="580" customFormat="1" ht="14.1" customHeight="1">
      <c r="B107" s="308"/>
      <c r="C107" s="298"/>
      <c r="D107" s="289" t="s">
        <v>10</v>
      </c>
      <c r="E107" s="285" t="s">
        <v>16</v>
      </c>
      <c r="F107" s="285" t="s">
        <v>726</v>
      </c>
      <c r="G107" s="286">
        <v>0.6</v>
      </c>
      <c r="H107" s="581"/>
      <c r="I107" s="300"/>
    </row>
    <row r="108" spans="2:9" s="580" customFormat="1" ht="14.1" customHeight="1">
      <c r="B108" s="308"/>
      <c r="C108" s="298"/>
      <c r="D108" s="289" t="s">
        <v>143</v>
      </c>
      <c r="E108" s="285" t="s">
        <v>22</v>
      </c>
      <c r="F108" s="285" t="s">
        <v>726</v>
      </c>
      <c r="G108" s="286">
        <v>0.2</v>
      </c>
      <c r="H108" s="581"/>
      <c r="I108" s="300"/>
    </row>
    <row r="109" spans="2:9" s="580" customFormat="1" ht="14.1" customHeight="1">
      <c r="B109" s="308"/>
      <c r="C109" s="298"/>
      <c r="D109" s="289" t="s">
        <v>20</v>
      </c>
      <c r="E109" s="285" t="s">
        <v>21</v>
      </c>
      <c r="F109" s="285" t="s">
        <v>726</v>
      </c>
      <c r="G109" s="286">
        <v>0.02</v>
      </c>
      <c r="H109" s="581"/>
      <c r="I109" s="300"/>
    </row>
    <row r="110" spans="2:9" s="580" customFormat="1" ht="14.1" customHeight="1">
      <c r="B110" s="308"/>
      <c r="C110" s="301"/>
      <c r="D110" s="177" t="s">
        <v>11</v>
      </c>
      <c r="E110" s="287" t="s">
        <v>17</v>
      </c>
      <c r="F110" s="287" t="s">
        <v>726</v>
      </c>
      <c r="G110" s="288">
        <v>0.03</v>
      </c>
      <c r="H110" s="586"/>
      <c r="I110" s="303"/>
    </row>
    <row r="111" spans="2:9" s="580" customFormat="1" ht="14.1" customHeight="1">
      <c r="B111" s="308"/>
      <c r="C111" s="609"/>
      <c r="D111" s="316"/>
      <c r="E111" s="316"/>
      <c r="F111" s="316"/>
      <c r="G111" s="1166" t="s">
        <v>727</v>
      </c>
      <c r="H111" s="1167"/>
      <c r="I111" s="584"/>
    </row>
    <row r="112" spans="2:9" s="580" customFormat="1" ht="14.1" customHeight="1">
      <c r="B112" s="308"/>
      <c r="C112" s="292" t="s">
        <v>8</v>
      </c>
      <c r="D112" s="293" t="s">
        <v>811</v>
      </c>
      <c r="E112" s="296"/>
      <c r="F112" s="296"/>
      <c r="G112" s="585"/>
      <c r="H112" s="585"/>
      <c r="I112" s="297"/>
    </row>
    <row r="113" spans="2:9" s="580" customFormat="1" ht="14.1" customHeight="1">
      <c r="B113" s="308"/>
      <c r="C113" s="298"/>
      <c r="D113" s="289" t="s">
        <v>145</v>
      </c>
      <c r="E113" s="299"/>
      <c r="F113" s="285" t="s">
        <v>825</v>
      </c>
      <c r="G113" s="286">
        <v>140</v>
      </c>
      <c r="H113" s="581"/>
      <c r="I113" s="300"/>
    </row>
    <row r="114" spans="2:9" s="580" customFormat="1" ht="14.1" customHeight="1">
      <c r="B114" s="308"/>
      <c r="C114" s="298"/>
      <c r="D114" s="289" t="s">
        <v>806</v>
      </c>
      <c r="E114" s="299"/>
      <c r="F114" s="285" t="s">
        <v>734</v>
      </c>
      <c r="G114" s="286">
        <v>10.08</v>
      </c>
      <c r="H114" s="581"/>
      <c r="I114" s="300"/>
    </row>
    <row r="115" spans="2:9" s="580" customFormat="1" ht="14.1" customHeight="1">
      <c r="B115" s="308"/>
      <c r="C115" s="298"/>
      <c r="D115" s="289" t="s">
        <v>203</v>
      </c>
      <c r="E115" s="299"/>
      <c r="F115" s="581" t="s">
        <v>750</v>
      </c>
      <c r="G115" s="621">
        <v>2.75E-2</v>
      </c>
      <c r="H115" s="581"/>
      <c r="I115" s="300"/>
    </row>
    <row r="116" spans="2:9" s="580" customFormat="1" ht="14.1" customHeight="1">
      <c r="B116" s="308"/>
      <c r="C116" s="301"/>
      <c r="D116" s="177" t="s">
        <v>211</v>
      </c>
      <c r="E116" s="302"/>
      <c r="F116" s="586" t="s">
        <v>750</v>
      </c>
      <c r="G116" s="622">
        <v>9.2499999999999999E-2</v>
      </c>
      <c r="H116" s="586"/>
      <c r="I116" s="303"/>
    </row>
    <row r="117" spans="2:9" s="580" customFormat="1" ht="14.1" customHeight="1">
      <c r="B117" s="308"/>
      <c r="C117" s="609"/>
      <c r="D117" s="316"/>
      <c r="E117" s="316"/>
      <c r="F117" s="316"/>
      <c r="G117" s="1166" t="s">
        <v>728</v>
      </c>
      <c r="H117" s="1167"/>
      <c r="I117" s="584"/>
    </row>
    <row r="118" spans="2:9" s="580" customFormat="1" ht="14.1" customHeight="1">
      <c r="B118" s="308"/>
      <c r="C118" s="292" t="s">
        <v>9</v>
      </c>
      <c r="D118" s="293" t="s">
        <v>815</v>
      </c>
      <c r="E118" s="296"/>
      <c r="F118" s="296"/>
      <c r="G118" s="585"/>
      <c r="H118" s="585"/>
      <c r="I118" s="297"/>
    </row>
    <row r="119" spans="2:9" s="580" customFormat="1" ht="14.1" customHeight="1">
      <c r="B119" s="308"/>
      <c r="C119" s="301"/>
      <c r="D119" s="302"/>
      <c r="E119" s="302"/>
      <c r="F119" s="302"/>
      <c r="G119" s="586"/>
      <c r="H119" s="586"/>
      <c r="I119" s="303"/>
    </row>
    <row r="120" spans="2:9" s="580" customFormat="1" ht="14.1" customHeight="1">
      <c r="B120" s="308"/>
      <c r="C120" s="609"/>
      <c r="D120" s="316"/>
      <c r="E120" s="316"/>
      <c r="F120" s="316"/>
      <c r="G120" s="1166" t="s">
        <v>729</v>
      </c>
      <c r="H120" s="1167"/>
      <c r="I120" s="584"/>
    </row>
    <row r="121" spans="2:9" s="580" customFormat="1" ht="14.1" customHeight="1">
      <c r="B121" s="308"/>
      <c r="C121" s="290" t="s">
        <v>12</v>
      </c>
      <c r="D121" s="1113" t="s">
        <v>730</v>
      </c>
      <c r="E121" s="1114"/>
      <c r="F121" s="1114"/>
      <c r="G121" s="1160"/>
      <c r="H121" s="1126"/>
      <c r="I121" s="305"/>
    </row>
    <row r="122" spans="2:9" s="580" customFormat="1" ht="14.1" customHeight="1">
      <c r="B122" s="308"/>
      <c r="C122" s="290" t="s">
        <v>13</v>
      </c>
      <c r="D122" s="1116" t="s">
        <v>816</v>
      </c>
      <c r="E122" s="1117"/>
      <c r="F122" s="1118"/>
      <c r="G122" s="1168" t="s">
        <v>740</v>
      </c>
      <c r="H122" s="1171"/>
      <c r="I122" s="306"/>
    </row>
    <row r="123" spans="2:9" s="580" customFormat="1" ht="14.1" customHeight="1" thickBot="1">
      <c r="B123" s="308"/>
      <c r="C123" s="291" t="s">
        <v>14</v>
      </c>
      <c r="D123" s="1119" t="s">
        <v>817</v>
      </c>
      <c r="E123" s="1120"/>
      <c r="F123" s="1120"/>
      <c r="G123" s="1120"/>
      <c r="H123" s="1121"/>
      <c r="I123" s="307"/>
    </row>
    <row r="124" spans="2:9" s="580" customFormat="1" ht="14.1" customHeight="1">
      <c r="B124" s="308"/>
      <c r="C124" s="284"/>
      <c r="D124" s="284"/>
      <c r="E124" s="284"/>
      <c r="F124" s="284"/>
      <c r="G124" s="284"/>
      <c r="H124" s="284"/>
      <c r="I124" s="316"/>
    </row>
    <row r="125" spans="2:9" s="567" customFormat="1" ht="15.95" customHeight="1" thickBot="1">
      <c r="B125" s="541">
        <v>7</v>
      </c>
      <c r="C125" s="566" t="s">
        <v>1019</v>
      </c>
      <c r="G125" s="596"/>
      <c r="H125" s="596"/>
    </row>
    <row r="126" spans="2:9" s="519" customFormat="1" ht="35.1" customHeight="1" thickBot="1">
      <c r="C126" s="334" t="s">
        <v>0</v>
      </c>
      <c r="D126" s="335" t="s">
        <v>1</v>
      </c>
      <c r="E126" s="335" t="s">
        <v>2</v>
      </c>
      <c r="F126" s="335" t="s">
        <v>3</v>
      </c>
      <c r="G126" s="335" t="s">
        <v>4</v>
      </c>
      <c r="H126" s="335" t="s">
        <v>742</v>
      </c>
      <c r="I126" s="337" t="s">
        <v>736</v>
      </c>
    </row>
    <row r="127" spans="2:9" s="580" customFormat="1" ht="14.1" customHeight="1">
      <c r="B127" s="308"/>
      <c r="C127" s="543" t="s">
        <v>7</v>
      </c>
      <c r="D127" s="289" t="s">
        <v>810</v>
      </c>
      <c r="E127" s="299"/>
      <c r="F127" s="299"/>
      <c r="G127" s="581"/>
      <c r="H127" s="581"/>
      <c r="I127" s="300"/>
    </row>
    <row r="128" spans="2:9" s="580" customFormat="1" ht="14.1" customHeight="1">
      <c r="B128" s="308"/>
      <c r="C128" s="298"/>
      <c r="D128" s="289" t="s">
        <v>10</v>
      </c>
      <c r="E128" s="285" t="s">
        <v>16</v>
      </c>
      <c r="F128" s="285" t="s">
        <v>726</v>
      </c>
      <c r="G128" s="286">
        <v>0.3</v>
      </c>
      <c r="H128" s="581"/>
      <c r="I128" s="300"/>
    </row>
    <row r="129" spans="2:9" s="580" customFormat="1" ht="14.1" customHeight="1">
      <c r="B129" s="308"/>
      <c r="C129" s="298"/>
      <c r="D129" s="289" t="s">
        <v>143</v>
      </c>
      <c r="E129" s="285" t="s">
        <v>22</v>
      </c>
      <c r="F129" s="285" t="s">
        <v>726</v>
      </c>
      <c r="G129" s="286">
        <v>0.1</v>
      </c>
      <c r="H129" s="581"/>
      <c r="I129" s="300"/>
    </row>
    <row r="130" spans="2:9" s="580" customFormat="1" ht="14.1" customHeight="1">
      <c r="B130" s="308"/>
      <c r="C130" s="298"/>
      <c r="D130" s="289" t="s">
        <v>20</v>
      </c>
      <c r="E130" s="285" t="s">
        <v>21</v>
      </c>
      <c r="F130" s="285" t="s">
        <v>726</v>
      </c>
      <c r="G130" s="286">
        <v>0.01</v>
      </c>
      <c r="H130" s="581"/>
      <c r="I130" s="300"/>
    </row>
    <row r="131" spans="2:9" s="580" customFormat="1" ht="14.1" customHeight="1">
      <c r="B131" s="308"/>
      <c r="C131" s="301"/>
      <c r="D131" s="177" t="s">
        <v>11</v>
      </c>
      <c r="E131" s="287" t="s">
        <v>17</v>
      </c>
      <c r="F131" s="287" t="s">
        <v>726</v>
      </c>
      <c r="G131" s="288">
        <v>1.4999999999999999E-2</v>
      </c>
      <c r="H131" s="586"/>
      <c r="I131" s="303"/>
    </row>
    <row r="132" spans="2:9" s="580" customFormat="1" ht="14.1" customHeight="1">
      <c r="B132" s="308"/>
      <c r="C132" s="609"/>
      <c r="D132" s="316"/>
      <c r="E132" s="316"/>
      <c r="F132" s="316"/>
      <c r="G132" s="1166" t="s">
        <v>727</v>
      </c>
      <c r="H132" s="1167"/>
      <c r="I132" s="584"/>
    </row>
    <row r="133" spans="2:9" s="580" customFormat="1" ht="14.1" customHeight="1">
      <c r="B133" s="308"/>
      <c r="C133" s="292" t="s">
        <v>8</v>
      </c>
      <c r="D133" s="293" t="s">
        <v>811</v>
      </c>
      <c r="E133" s="296"/>
      <c r="F133" s="296"/>
      <c r="G133" s="585"/>
      <c r="H133" s="585"/>
      <c r="I133" s="297"/>
    </row>
    <row r="134" spans="2:9" s="580" customFormat="1" ht="14.1" customHeight="1">
      <c r="B134" s="308"/>
      <c r="C134" s="298"/>
      <c r="D134" s="289" t="s">
        <v>145</v>
      </c>
      <c r="E134" s="299"/>
      <c r="F134" s="285" t="s">
        <v>825</v>
      </c>
      <c r="G134" s="286">
        <v>70</v>
      </c>
      <c r="H134" s="581"/>
      <c r="I134" s="300"/>
    </row>
    <row r="135" spans="2:9" s="580" customFormat="1" ht="14.1" customHeight="1">
      <c r="B135" s="308"/>
      <c r="C135" s="298"/>
      <c r="D135" s="289" t="s">
        <v>806</v>
      </c>
      <c r="E135" s="299"/>
      <c r="F135" s="285" t="s">
        <v>734</v>
      </c>
      <c r="G135" s="286">
        <v>18.95</v>
      </c>
      <c r="H135" s="581"/>
      <c r="I135" s="300"/>
    </row>
    <row r="136" spans="2:9" s="580" customFormat="1" ht="14.1" customHeight="1">
      <c r="B136" s="308"/>
      <c r="C136" s="301"/>
      <c r="D136" s="177" t="s">
        <v>211</v>
      </c>
      <c r="E136" s="302"/>
      <c r="F136" s="586" t="s">
        <v>750</v>
      </c>
      <c r="G136" s="288">
        <v>3.7999999999999999E-2</v>
      </c>
      <c r="H136" s="586"/>
      <c r="I136" s="303"/>
    </row>
    <row r="137" spans="2:9" s="580" customFormat="1" ht="14.1" customHeight="1">
      <c r="B137" s="308"/>
      <c r="C137" s="609"/>
      <c r="D137" s="316"/>
      <c r="E137" s="316"/>
      <c r="F137" s="316"/>
      <c r="G137" s="1166" t="s">
        <v>728</v>
      </c>
      <c r="H137" s="1167"/>
      <c r="I137" s="584"/>
    </row>
    <row r="138" spans="2:9" s="580" customFormat="1" ht="14.1" customHeight="1">
      <c r="B138" s="308"/>
      <c r="C138" s="292" t="s">
        <v>9</v>
      </c>
      <c r="D138" s="293" t="s">
        <v>815</v>
      </c>
      <c r="E138" s="296"/>
      <c r="F138" s="296"/>
      <c r="G138" s="585"/>
      <c r="H138" s="585"/>
      <c r="I138" s="297"/>
    </row>
    <row r="139" spans="2:9" s="580" customFormat="1" ht="14.1" customHeight="1">
      <c r="B139" s="308"/>
      <c r="C139" s="301"/>
      <c r="D139" s="302"/>
      <c r="E139" s="302"/>
      <c r="F139" s="302"/>
      <c r="G139" s="586"/>
      <c r="H139" s="586"/>
      <c r="I139" s="303"/>
    </row>
    <row r="140" spans="2:9" s="580" customFormat="1" ht="14.1" customHeight="1">
      <c r="B140" s="308"/>
      <c r="C140" s="609"/>
      <c r="D140" s="316"/>
      <c r="E140" s="316"/>
      <c r="F140" s="316"/>
      <c r="G140" s="1166" t="s">
        <v>729</v>
      </c>
      <c r="H140" s="1167"/>
      <c r="I140" s="584"/>
    </row>
    <row r="141" spans="2:9" s="580" customFormat="1" ht="14.1" customHeight="1">
      <c r="B141" s="308"/>
      <c r="C141" s="290" t="s">
        <v>12</v>
      </c>
      <c r="D141" s="1113" t="s">
        <v>730</v>
      </c>
      <c r="E141" s="1114"/>
      <c r="F141" s="1114"/>
      <c r="G141" s="1160"/>
      <c r="H141" s="1126"/>
      <c r="I141" s="305"/>
    </row>
    <row r="142" spans="2:9" s="580" customFormat="1" ht="14.1" customHeight="1">
      <c r="B142" s="308"/>
      <c r="C142" s="290" t="s">
        <v>13</v>
      </c>
      <c r="D142" s="1116" t="s">
        <v>816</v>
      </c>
      <c r="E142" s="1117"/>
      <c r="F142" s="1118"/>
      <c r="G142" s="1168" t="s">
        <v>740</v>
      </c>
      <c r="H142" s="1171"/>
      <c r="I142" s="306"/>
    </row>
    <row r="143" spans="2:9" s="580" customFormat="1" ht="14.1" customHeight="1" thickBot="1">
      <c r="B143" s="308"/>
      <c r="C143" s="291" t="s">
        <v>14</v>
      </c>
      <c r="D143" s="1119" t="s">
        <v>817</v>
      </c>
      <c r="E143" s="1120"/>
      <c r="F143" s="1120"/>
      <c r="G143" s="1120"/>
      <c r="H143" s="1121"/>
      <c r="I143" s="307"/>
    </row>
    <row r="144" spans="2:9" s="580" customFormat="1" ht="14.1" customHeight="1">
      <c r="B144" s="308"/>
      <c r="G144" s="589"/>
      <c r="H144" s="589"/>
    </row>
    <row r="145" spans="2:9" s="567" customFormat="1" ht="15.95" customHeight="1" thickBot="1">
      <c r="B145" s="541">
        <v>8</v>
      </c>
      <c r="C145" s="969" t="s">
        <v>1020</v>
      </c>
      <c r="D145" s="969"/>
      <c r="E145" s="969"/>
      <c r="F145" s="969"/>
      <c r="G145" s="969"/>
      <c r="H145" s="969"/>
      <c r="I145" s="969"/>
    </row>
    <row r="146" spans="2:9" s="519" customFormat="1" ht="35.1" customHeight="1" thickBot="1">
      <c r="C146" s="334" t="s">
        <v>0</v>
      </c>
      <c r="D146" s="335" t="s">
        <v>1</v>
      </c>
      <c r="E146" s="335" t="s">
        <v>2</v>
      </c>
      <c r="F146" s="335" t="s">
        <v>3</v>
      </c>
      <c r="G146" s="335" t="s">
        <v>4</v>
      </c>
      <c r="H146" s="335" t="s">
        <v>742</v>
      </c>
      <c r="I146" s="337" t="s">
        <v>736</v>
      </c>
    </row>
    <row r="147" spans="2:9" s="580" customFormat="1" ht="14.1" customHeight="1">
      <c r="B147" s="308"/>
      <c r="C147" s="543" t="s">
        <v>7</v>
      </c>
      <c r="D147" s="289" t="s">
        <v>810</v>
      </c>
      <c r="E147" s="299"/>
      <c r="F147" s="299"/>
      <c r="G147" s="581"/>
      <c r="H147" s="581"/>
      <c r="I147" s="300"/>
    </row>
    <row r="148" spans="2:9" s="580" customFormat="1" ht="14.1" customHeight="1">
      <c r="B148" s="308"/>
      <c r="C148" s="298"/>
      <c r="D148" s="289" t="s">
        <v>10</v>
      </c>
      <c r="E148" s="285" t="s">
        <v>16</v>
      </c>
      <c r="F148" s="285" t="s">
        <v>726</v>
      </c>
      <c r="G148" s="286">
        <v>0.3</v>
      </c>
      <c r="H148" s="581"/>
      <c r="I148" s="300"/>
    </row>
    <row r="149" spans="2:9" s="580" customFormat="1" ht="14.1" customHeight="1">
      <c r="B149" s="308"/>
      <c r="C149" s="298"/>
      <c r="D149" s="289" t="s">
        <v>143</v>
      </c>
      <c r="E149" s="285" t="s">
        <v>22</v>
      </c>
      <c r="F149" s="285" t="s">
        <v>726</v>
      </c>
      <c r="G149" s="286">
        <v>0.1</v>
      </c>
      <c r="H149" s="581"/>
      <c r="I149" s="300"/>
    </row>
    <row r="150" spans="2:9" s="580" customFormat="1" ht="14.1" customHeight="1">
      <c r="B150" s="308"/>
      <c r="C150" s="298"/>
      <c r="D150" s="289" t="s">
        <v>20</v>
      </c>
      <c r="E150" s="285" t="s">
        <v>21</v>
      </c>
      <c r="F150" s="285" t="s">
        <v>726</v>
      </c>
      <c r="G150" s="286">
        <v>0.01</v>
      </c>
      <c r="H150" s="581"/>
      <c r="I150" s="300"/>
    </row>
    <row r="151" spans="2:9" s="580" customFormat="1" ht="14.1" customHeight="1">
      <c r="B151" s="308"/>
      <c r="C151" s="301"/>
      <c r="D151" s="177" t="s">
        <v>11</v>
      </c>
      <c r="E151" s="287" t="s">
        <v>17</v>
      </c>
      <c r="F151" s="287" t="s">
        <v>726</v>
      </c>
      <c r="G151" s="288">
        <v>1.4999999999999999E-2</v>
      </c>
      <c r="H151" s="586"/>
      <c r="I151" s="303"/>
    </row>
    <row r="152" spans="2:9" s="580" customFormat="1" ht="14.1" customHeight="1">
      <c r="B152" s="308"/>
      <c r="C152" s="609"/>
      <c r="D152" s="316"/>
      <c r="E152" s="316"/>
      <c r="F152" s="316"/>
      <c r="G152" s="1166" t="s">
        <v>727</v>
      </c>
      <c r="H152" s="1167"/>
      <c r="I152" s="584"/>
    </row>
    <row r="153" spans="2:9" s="580" customFormat="1" ht="14.1" customHeight="1">
      <c r="B153" s="308"/>
      <c r="C153" s="292" t="s">
        <v>8</v>
      </c>
      <c r="D153" s="293" t="s">
        <v>811</v>
      </c>
      <c r="E153" s="296"/>
      <c r="F153" s="296"/>
      <c r="G153" s="585"/>
      <c r="H153" s="585"/>
      <c r="I153" s="297"/>
    </row>
    <row r="154" spans="2:9" s="580" customFormat="1" ht="14.1" customHeight="1">
      <c r="B154" s="308"/>
      <c r="C154" s="298"/>
      <c r="D154" s="289" t="s">
        <v>145</v>
      </c>
      <c r="E154" s="299"/>
      <c r="F154" s="285" t="s">
        <v>825</v>
      </c>
      <c r="G154" s="286">
        <v>70</v>
      </c>
      <c r="H154" s="581"/>
      <c r="I154" s="300"/>
    </row>
    <row r="155" spans="2:9" s="580" customFormat="1" ht="14.1" customHeight="1">
      <c r="B155" s="308"/>
      <c r="C155" s="298"/>
      <c r="D155" s="289" t="s">
        <v>806</v>
      </c>
      <c r="E155" s="299"/>
      <c r="F155" s="285" t="s">
        <v>734</v>
      </c>
      <c r="G155" s="286">
        <v>14.37</v>
      </c>
      <c r="H155" s="581"/>
      <c r="I155" s="300"/>
    </row>
    <row r="156" spans="2:9" s="580" customFormat="1" ht="14.1" customHeight="1">
      <c r="B156" s="308"/>
      <c r="C156" s="301"/>
      <c r="D156" s="177" t="s">
        <v>211</v>
      </c>
      <c r="E156" s="302"/>
      <c r="F156" s="586" t="s">
        <v>750</v>
      </c>
      <c r="G156" s="288">
        <v>0.04</v>
      </c>
      <c r="H156" s="586"/>
      <c r="I156" s="303"/>
    </row>
    <row r="157" spans="2:9" s="580" customFormat="1" ht="14.1" customHeight="1">
      <c r="B157" s="308"/>
      <c r="C157" s="609"/>
      <c r="D157" s="316"/>
      <c r="E157" s="316"/>
      <c r="F157" s="316"/>
      <c r="G157" s="1166" t="s">
        <v>728</v>
      </c>
      <c r="H157" s="1167"/>
      <c r="I157" s="584"/>
    </row>
    <row r="158" spans="2:9" s="580" customFormat="1" ht="14.1" customHeight="1">
      <c r="B158" s="308"/>
      <c r="C158" s="292" t="s">
        <v>9</v>
      </c>
      <c r="D158" s="293" t="s">
        <v>815</v>
      </c>
      <c r="E158" s="296"/>
      <c r="F158" s="296"/>
      <c r="G158" s="585"/>
      <c r="H158" s="585"/>
      <c r="I158" s="297"/>
    </row>
    <row r="159" spans="2:9" s="580" customFormat="1" ht="14.1" customHeight="1">
      <c r="B159" s="308"/>
      <c r="C159" s="301"/>
      <c r="D159" s="302"/>
      <c r="E159" s="302"/>
      <c r="F159" s="302"/>
      <c r="G159" s="586"/>
      <c r="H159" s="586"/>
      <c r="I159" s="303"/>
    </row>
    <row r="160" spans="2:9" s="580" customFormat="1" ht="14.1" customHeight="1">
      <c r="B160" s="308"/>
      <c r="C160" s="609"/>
      <c r="D160" s="316"/>
      <c r="E160" s="316"/>
      <c r="F160" s="316"/>
      <c r="G160" s="1170" t="s">
        <v>729</v>
      </c>
      <c r="H160" s="1170"/>
      <c r="I160" s="631"/>
    </row>
    <row r="161" spans="2:9" s="580" customFormat="1" ht="14.1" customHeight="1">
      <c r="B161" s="308"/>
      <c r="C161" s="290" t="s">
        <v>12</v>
      </c>
      <c r="D161" s="1113" t="s">
        <v>730</v>
      </c>
      <c r="E161" s="1114"/>
      <c r="F161" s="1114"/>
      <c r="G161" s="1114"/>
      <c r="H161" s="1115"/>
      <c r="I161" s="306"/>
    </row>
    <row r="162" spans="2:9" s="580" customFormat="1" ht="14.1" customHeight="1">
      <c r="B162" s="308"/>
      <c r="C162" s="290" t="s">
        <v>13</v>
      </c>
      <c r="D162" s="1116" t="s">
        <v>816</v>
      </c>
      <c r="E162" s="1117"/>
      <c r="F162" s="1118"/>
      <c r="G162" s="1168" t="s">
        <v>740</v>
      </c>
      <c r="H162" s="1171"/>
      <c r="I162" s="306"/>
    </row>
    <row r="163" spans="2:9" s="580" customFormat="1" ht="14.1" customHeight="1" thickBot="1">
      <c r="B163" s="308"/>
      <c r="C163" s="291" t="s">
        <v>14</v>
      </c>
      <c r="D163" s="1119" t="s">
        <v>817</v>
      </c>
      <c r="E163" s="1120"/>
      <c r="F163" s="1120"/>
      <c r="G163" s="1120"/>
      <c r="H163" s="1121"/>
      <c r="I163" s="307"/>
    </row>
    <row r="164" spans="2:9" s="580" customFormat="1" ht="14.1" customHeight="1">
      <c r="B164" s="308"/>
      <c r="C164" s="284"/>
      <c r="D164" s="284"/>
      <c r="E164" s="284"/>
      <c r="F164" s="284"/>
      <c r="G164" s="284"/>
      <c r="H164" s="284"/>
      <c r="I164" s="316"/>
    </row>
    <row r="165" spans="2:9" s="597" customFormat="1" ht="15.75" customHeight="1" thickBot="1">
      <c r="B165" s="570">
        <v>9</v>
      </c>
      <c r="C165" s="572" t="s">
        <v>1021</v>
      </c>
    </row>
    <row r="166" spans="2:9" s="519" customFormat="1" ht="35.1" customHeight="1" thickBot="1">
      <c r="C166" s="334" t="s">
        <v>0</v>
      </c>
      <c r="D166" s="335" t="s">
        <v>1</v>
      </c>
      <c r="E166" s="335" t="s">
        <v>2</v>
      </c>
      <c r="F166" s="335" t="s">
        <v>3</v>
      </c>
      <c r="G166" s="335" t="s">
        <v>4</v>
      </c>
      <c r="H166" s="335" t="s">
        <v>742</v>
      </c>
      <c r="I166" s="337" t="s">
        <v>736</v>
      </c>
    </row>
    <row r="167" spans="2:9" s="580" customFormat="1" ht="14.1" customHeight="1">
      <c r="B167" s="308"/>
      <c r="C167" s="543" t="s">
        <v>7</v>
      </c>
      <c r="D167" s="289" t="s">
        <v>810</v>
      </c>
      <c r="E167" s="299"/>
      <c r="F167" s="299"/>
      <c r="G167" s="581"/>
      <c r="H167" s="581"/>
      <c r="I167" s="300"/>
    </row>
    <row r="168" spans="2:9" s="580" customFormat="1" ht="14.1" customHeight="1">
      <c r="B168" s="308"/>
      <c r="C168" s="298"/>
      <c r="D168" s="289" t="s">
        <v>10</v>
      </c>
      <c r="E168" s="285" t="s">
        <v>16</v>
      </c>
      <c r="F168" s="285" t="s">
        <v>726</v>
      </c>
      <c r="G168" s="286">
        <v>0.3</v>
      </c>
      <c r="H168" s="581"/>
      <c r="I168" s="300"/>
    </row>
    <row r="169" spans="2:9" s="580" customFormat="1" ht="14.1" customHeight="1">
      <c r="B169" s="308"/>
      <c r="C169" s="298"/>
      <c r="D169" s="289" t="s">
        <v>143</v>
      </c>
      <c r="E169" s="285" t="s">
        <v>22</v>
      </c>
      <c r="F169" s="285" t="s">
        <v>726</v>
      </c>
      <c r="G169" s="286">
        <v>0.1</v>
      </c>
      <c r="H169" s="581"/>
      <c r="I169" s="300"/>
    </row>
    <row r="170" spans="2:9" s="580" customFormat="1" ht="14.1" customHeight="1">
      <c r="B170" s="308"/>
      <c r="C170" s="298"/>
      <c r="D170" s="289" t="s">
        <v>20</v>
      </c>
      <c r="E170" s="285" t="s">
        <v>21</v>
      </c>
      <c r="F170" s="285" t="s">
        <v>726</v>
      </c>
      <c r="G170" s="286">
        <v>0.01</v>
      </c>
      <c r="H170" s="581"/>
      <c r="I170" s="300"/>
    </row>
    <row r="171" spans="2:9" s="580" customFormat="1" ht="14.1" customHeight="1">
      <c r="B171" s="308"/>
      <c r="C171" s="301"/>
      <c r="D171" s="177" t="s">
        <v>11</v>
      </c>
      <c r="E171" s="287" t="s">
        <v>17</v>
      </c>
      <c r="F171" s="287" t="s">
        <v>726</v>
      </c>
      <c r="G171" s="288">
        <v>1.4999999999999999E-2</v>
      </c>
      <c r="H171" s="586"/>
      <c r="I171" s="303"/>
    </row>
    <row r="172" spans="2:9" s="580" customFormat="1" ht="14.1" customHeight="1">
      <c r="B172" s="308"/>
      <c r="C172" s="609"/>
      <c r="D172" s="316"/>
      <c r="E172" s="316"/>
      <c r="F172" s="316"/>
      <c r="G172" s="1166" t="s">
        <v>727</v>
      </c>
      <c r="H172" s="1167"/>
      <c r="I172" s="584"/>
    </row>
    <row r="173" spans="2:9" s="580" customFormat="1" ht="14.1" customHeight="1">
      <c r="B173" s="308"/>
      <c r="C173" s="292" t="s">
        <v>8</v>
      </c>
      <c r="D173" s="293" t="s">
        <v>811</v>
      </c>
      <c r="E173" s="296"/>
      <c r="F173" s="296"/>
      <c r="G173" s="585"/>
      <c r="H173" s="585"/>
      <c r="I173" s="297"/>
    </row>
    <row r="174" spans="2:9" s="580" customFormat="1" ht="14.1" customHeight="1">
      <c r="B174" s="308"/>
      <c r="C174" s="298"/>
      <c r="D174" s="289" t="s">
        <v>145</v>
      </c>
      <c r="E174" s="299"/>
      <c r="F174" s="285" t="s">
        <v>825</v>
      </c>
      <c r="G174" s="286">
        <v>70</v>
      </c>
      <c r="H174" s="581"/>
      <c r="I174" s="300"/>
    </row>
    <row r="175" spans="2:9" s="580" customFormat="1" ht="14.1" customHeight="1">
      <c r="B175" s="308"/>
      <c r="C175" s="298"/>
      <c r="D175" s="289" t="s">
        <v>806</v>
      </c>
      <c r="E175" s="299"/>
      <c r="F175" s="285" t="s">
        <v>734</v>
      </c>
      <c r="G175" s="286">
        <v>11.5</v>
      </c>
      <c r="H175" s="581"/>
      <c r="I175" s="300"/>
    </row>
    <row r="176" spans="2:9" s="580" customFormat="1" ht="14.1" customHeight="1">
      <c r="B176" s="308"/>
      <c r="C176" s="301"/>
      <c r="D176" s="177" t="s">
        <v>211</v>
      </c>
      <c r="E176" s="302"/>
      <c r="F176" s="586" t="s">
        <v>750</v>
      </c>
      <c r="G176" s="288">
        <v>4.2999999999999997E-2</v>
      </c>
      <c r="H176" s="586"/>
      <c r="I176" s="303"/>
    </row>
    <row r="177" spans="2:10" s="580" customFormat="1" ht="14.1" customHeight="1">
      <c r="B177" s="308"/>
      <c r="C177" s="609"/>
      <c r="D177" s="316"/>
      <c r="E177" s="316"/>
      <c r="F177" s="316"/>
      <c r="G177" s="1166" t="s">
        <v>728</v>
      </c>
      <c r="H177" s="1167"/>
      <c r="I177" s="584"/>
    </row>
    <row r="178" spans="2:10" s="580" customFormat="1" ht="14.1" customHeight="1">
      <c r="B178" s="308"/>
      <c r="C178" s="292" t="s">
        <v>9</v>
      </c>
      <c r="D178" s="293" t="s">
        <v>815</v>
      </c>
      <c r="E178" s="296"/>
      <c r="F178" s="296"/>
      <c r="G178" s="585"/>
      <c r="H178" s="585"/>
      <c r="I178" s="297"/>
    </row>
    <row r="179" spans="2:10" s="580" customFormat="1" ht="14.1" customHeight="1">
      <c r="B179" s="308"/>
      <c r="C179" s="301"/>
      <c r="D179" s="302"/>
      <c r="E179" s="302"/>
      <c r="F179" s="302"/>
      <c r="G179" s="586"/>
      <c r="H179" s="586"/>
      <c r="I179" s="303"/>
    </row>
    <row r="180" spans="2:10" s="580" customFormat="1" ht="14.1" customHeight="1">
      <c r="B180" s="308"/>
      <c r="C180" s="314"/>
      <c r="D180" s="582"/>
      <c r="E180" s="582"/>
      <c r="F180" s="590"/>
      <c r="G180" s="1170" t="s">
        <v>729</v>
      </c>
      <c r="H180" s="1170"/>
      <c r="I180" s="584"/>
    </row>
    <row r="181" spans="2:10" s="580" customFormat="1" ht="14.1" customHeight="1">
      <c r="B181" s="308"/>
      <c r="C181" s="574" t="s">
        <v>12</v>
      </c>
      <c r="D181" s="1125" t="s">
        <v>730</v>
      </c>
      <c r="E181" s="1160"/>
      <c r="F181" s="1160"/>
      <c r="G181" s="1114"/>
      <c r="H181" s="1115"/>
      <c r="I181" s="305"/>
    </row>
    <row r="182" spans="2:10" s="580" customFormat="1" ht="14.1" customHeight="1">
      <c r="B182" s="308"/>
      <c r="C182" s="290" t="s">
        <v>13</v>
      </c>
      <c r="D182" s="1116" t="s">
        <v>816</v>
      </c>
      <c r="E182" s="1117"/>
      <c r="F182" s="1118"/>
      <c r="G182" s="1168" t="s">
        <v>740</v>
      </c>
      <c r="H182" s="1171"/>
      <c r="I182" s="306"/>
    </row>
    <row r="183" spans="2:10" s="580" customFormat="1" ht="14.1" customHeight="1" thickBot="1">
      <c r="B183" s="308"/>
      <c r="C183" s="291" t="s">
        <v>14</v>
      </c>
      <c r="D183" s="1119" t="s">
        <v>817</v>
      </c>
      <c r="E183" s="1120"/>
      <c r="F183" s="1120"/>
      <c r="G183" s="1120"/>
      <c r="H183" s="1121"/>
      <c r="I183" s="307"/>
    </row>
    <row r="184" spans="2:10" s="580" customFormat="1" ht="14.1" customHeight="1">
      <c r="B184" s="308"/>
      <c r="G184" s="589"/>
      <c r="H184" s="589"/>
    </row>
    <row r="185" spans="2:10" s="567" customFormat="1" ht="15.75" customHeight="1" thickBot="1">
      <c r="B185" s="541">
        <v>10</v>
      </c>
      <c r="C185" s="969" t="s">
        <v>1022</v>
      </c>
      <c r="D185" s="969"/>
      <c r="E185" s="969"/>
      <c r="F185" s="969"/>
      <c r="G185" s="969"/>
      <c r="H185" s="969"/>
      <c r="I185" s="969"/>
    </row>
    <row r="186" spans="2:10" s="580" customFormat="1" ht="35.1" customHeight="1" thickBot="1">
      <c r="B186" s="308"/>
      <c r="C186" s="334" t="s">
        <v>0</v>
      </c>
      <c r="D186" s="335" t="s">
        <v>1</v>
      </c>
      <c r="E186" s="335" t="s">
        <v>2</v>
      </c>
      <c r="F186" s="335" t="s">
        <v>3</v>
      </c>
      <c r="G186" s="335" t="s">
        <v>4</v>
      </c>
      <c r="H186" s="335" t="s">
        <v>742</v>
      </c>
      <c r="I186" s="337" t="s">
        <v>736</v>
      </c>
      <c r="J186" s="519"/>
    </row>
    <row r="187" spans="2:10" s="580" customFormat="1" ht="14.1" customHeight="1">
      <c r="B187" s="308"/>
      <c r="C187" s="543" t="s">
        <v>7</v>
      </c>
      <c r="D187" s="289" t="s">
        <v>810</v>
      </c>
      <c r="E187" s="299"/>
      <c r="F187" s="299"/>
      <c r="G187" s="581"/>
      <c r="H187" s="581"/>
      <c r="I187" s="300"/>
    </row>
    <row r="188" spans="2:10" s="580" customFormat="1" ht="14.1" customHeight="1">
      <c r="B188" s="308"/>
      <c r="C188" s="298"/>
      <c r="D188" s="289" t="s">
        <v>10</v>
      </c>
      <c r="E188" s="285" t="s">
        <v>16</v>
      </c>
      <c r="F188" s="285" t="s">
        <v>726</v>
      </c>
      <c r="G188" s="286">
        <v>0.3</v>
      </c>
      <c r="H188" s="581"/>
      <c r="I188" s="300"/>
    </row>
    <row r="189" spans="2:10" s="580" customFormat="1" ht="14.1" customHeight="1">
      <c r="B189" s="308"/>
      <c r="C189" s="298"/>
      <c r="D189" s="289" t="s">
        <v>143</v>
      </c>
      <c r="E189" s="285" t="s">
        <v>22</v>
      </c>
      <c r="F189" s="285" t="s">
        <v>726</v>
      </c>
      <c r="G189" s="286">
        <v>0.1</v>
      </c>
      <c r="H189" s="581"/>
      <c r="I189" s="300"/>
    </row>
    <row r="190" spans="2:10" s="580" customFormat="1" ht="14.1" customHeight="1">
      <c r="B190" s="308"/>
      <c r="C190" s="298"/>
      <c r="D190" s="289" t="s">
        <v>20</v>
      </c>
      <c r="E190" s="285" t="s">
        <v>21</v>
      </c>
      <c r="F190" s="285" t="s">
        <v>726</v>
      </c>
      <c r="G190" s="286">
        <v>0.01</v>
      </c>
      <c r="H190" s="581"/>
      <c r="I190" s="300"/>
    </row>
    <row r="191" spans="2:10" s="580" customFormat="1" ht="14.1" customHeight="1">
      <c r="B191" s="308"/>
      <c r="C191" s="301"/>
      <c r="D191" s="177" t="s">
        <v>11</v>
      </c>
      <c r="E191" s="287" t="s">
        <v>17</v>
      </c>
      <c r="F191" s="287" t="s">
        <v>726</v>
      </c>
      <c r="G191" s="288">
        <v>1.4999999999999999E-2</v>
      </c>
      <c r="H191" s="586"/>
      <c r="I191" s="303"/>
    </row>
    <row r="192" spans="2:10" s="580" customFormat="1" ht="14.1" customHeight="1">
      <c r="B192" s="308"/>
      <c r="C192" s="609"/>
      <c r="D192" s="316"/>
      <c r="E192" s="316"/>
      <c r="F192" s="316"/>
      <c r="G192" s="1166" t="s">
        <v>727</v>
      </c>
      <c r="H192" s="1167"/>
      <c r="I192" s="584"/>
    </row>
    <row r="193" spans="2:9" s="580" customFormat="1" ht="14.1" customHeight="1">
      <c r="B193" s="308"/>
      <c r="C193" s="292" t="s">
        <v>8</v>
      </c>
      <c r="D193" s="293" t="s">
        <v>811</v>
      </c>
      <c r="E193" s="296"/>
      <c r="F193" s="296"/>
      <c r="G193" s="585"/>
      <c r="H193" s="585"/>
      <c r="I193" s="297"/>
    </row>
    <row r="194" spans="2:9" s="580" customFormat="1" ht="14.1" customHeight="1">
      <c r="B194" s="308"/>
      <c r="C194" s="298"/>
      <c r="D194" s="289" t="s">
        <v>145</v>
      </c>
      <c r="E194" s="299"/>
      <c r="F194" s="285" t="s">
        <v>825</v>
      </c>
      <c r="G194" s="286">
        <v>70</v>
      </c>
      <c r="H194" s="581"/>
      <c r="I194" s="300"/>
    </row>
    <row r="195" spans="2:9" s="580" customFormat="1" ht="14.1" customHeight="1">
      <c r="B195" s="308"/>
      <c r="C195" s="298"/>
      <c r="D195" s="289" t="s">
        <v>806</v>
      </c>
      <c r="E195" s="299"/>
      <c r="F195" s="285" t="s">
        <v>734</v>
      </c>
      <c r="G195" s="286">
        <v>9.68</v>
      </c>
      <c r="H195" s="581"/>
      <c r="I195" s="300"/>
    </row>
    <row r="196" spans="2:9" s="580" customFormat="1" ht="14.1" customHeight="1">
      <c r="B196" s="308"/>
      <c r="C196" s="301"/>
      <c r="D196" s="177" t="s">
        <v>211</v>
      </c>
      <c r="E196" s="302"/>
      <c r="F196" s="586" t="s">
        <v>750</v>
      </c>
      <c r="G196" s="288">
        <v>4.4999999999999998E-2</v>
      </c>
      <c r="H196" s="586"/>
      <c r="I196" s="303"/>
    </row>
    <row r="197" spans="2:9" s="580" customFormat="1" ht="14.1" customHeight="1">
      <c r="B197" s="308"/>
      <c r="C197" s="609"/>
      <c r="D197" s="316"/>
      <c r="E197" s="316"/>
      <c r="F197" s="316"/>
      <c r="G197" s="1166" t="s">
        <v>728</v>
      </c>
      <c r="H197" s="1167"/>
      <c r="I197" s="584"/>
    </row>
    <row r="198" spans="2:9" s="580" customFormat="1" ht="14.1" customHeight="1">
      <c r="B198" s="308"/>
      <c r="C198" s="292" t="s">
        <v>9</v>
      </c>
      <c r="D198" s="293" t="s">
        <v>815</v>
      </c>
      <c r="E198" s="296"/>
      <c r="F198" s="296"/>
      <c r="G198" s="585"/>
      <c r="H198" s="585"/>
      <c r="I198" s="297"/>
    </row>
    <row r="199" spans="2:9" s="580" customFormat="1" ht="14.1" customHeight="1">
      <c r="B199" s="308"/>
      <c r="C199" s="301"/>
      <c r="D199" s="302"/>
      <c r="E199" s="302"/>
      <c r="F199" s="302"/>
      <c r="G199" s="586"/>
      <c r="H199" s="586"/>
      <c r="I199" s="303"/>
    </row>
    <row r="200" spans="2:9" s="580" customFormat="1" ht="14.1" customHeight="1">
      <c r="B200" s="308"/>
      <c r="C200" s="942"/>
      <c r="D200" s="582"/>
      <c r="E200" s="582"/>
      <c r="F200" s="582"/>
      <c r="G200" s="1187" t="s">
        <v>729</v>
      </c>
      <c r="H200" s="1167"/>
      <c r="I200" s="631"/>
    </row>
    <row r="201" spans="2:9" s="580" customFormat="1" ht="14.1" customHeight="1">
      <c r="B201" s="308"/>
      <c r="C201" s="632"/>
      <c r="D201" s="630"/>
      <c r="E201" s="630"/>
      <c r="F201" s="630"/>
      <c r="G201" s="629"/>
      <c r="H201" s="629"/>
      <c r="I201" s="943"/>
    </row>
    <row r="202" spans="2:9" s="580" customFormat="1" ht="14.1" customHeight="1">
      <c r="B202" s="308"/>
      <c r="C202" s="290" t="s">
        <v>12</v>
      </c>
      <c r="D202" s="1113" t="s">
        <v>730</v>
      </c>
      <c r="E202" s="1114"/>
      <c r="F202" s="1114"/>
      <c r="G202" s="1114"/>
      <c r="H202" s="1115"/>
      <c r="I202" s="306"/>
    </row>
    <row r="203" spans="2:9" s="580" customFormat="1" ht="14.1" customHeight="1">
      <c r="B203" s="308"/>
      <c r="C203" s="290" t="s">
        <v>13</v>
      </c>
      <c r="D203" s="1116" t="s">
        <v>816</v>
      </c>
      <c r="E203" s="1117"/>
      <c r="F203" s="1118"/>
      <c r="G203" s="1168" t="s">
        <v>740</v>
      </c>
      <c r="H203" s="1171"/>
      <c r="I203" s="306"/>
    </row>
    <row r="204" spans="2:9" s="580" customFormat="1" ht="14.1" customHeight="1" thickBot="1">
      <c r="B204" s="308"/>
      <c r="C204" s="291" t="s">
        <v>14</v>
      </c>
      <c r="D204" s="1119" t="s">
        <v>817</v>
      </c>
      <c r="E204" s="1120"/>
      <c r="F204" s="1120"/>
      <c r="G204" s="1120"/>
      <c r="H204" s="1121"/>
      <c r="I204" s="307"/>
    </row>
    <row r="205" spans="2:9" s="580" customFormat="1" ht="14.1" customHeight="1">
      <c r="B205" s="308"/>
      <c r="G205" s="589"/>
      <c r="H205" s="589"/>
    </row>
    <row r="206" spans="2:9" s="567" customFormat="1" ht="20.25" customHeight="1" thickBot="1">
      <c r="B206" s="541">
        <v>11</v>
      </c>
      <c r="C206" s="969" t="s">
        <v>998</v>
      </c>
      <c r="D206" s="969"/>
      <c r="E206" s="969"/>
      <c r="F206" s="969"/>
      <c r="G206" s="969"/>
      <c r="H206" s="969"/>
      <c r="I206" s="969"/>
    </row>
    <row r="207" spans="2:9" s="580" customFormat="1" ht="35.1" customHeight="1" thickBot="1">
      <c r="B207" s="308"/>
      <c r="C207" s="334" t="s">
        <v>840</v>
      </c>
      <c r="D207" s="335" t="s">
        <v>841</v>
      </c>
      <c r="E207" s="335" t="s">
        <v>842</v>
      </c>
      <c r="F207" s="335" t="s">
        <v>843</v>
      </c>
      <c r="G207" s="335" t="s">
        <v>844</v>
      </c>
      <c r="H207" s="335" t="s">
        <v>845</v>
      </c>
      <c r="I207" s="337" t="s">
        <v>846</v>
      </c>
    </row>
    <row r="208" spans="2:9" s="580" customFormat="1" ht="14.1" customHeight="1">
      <c r="B208" s="308"/>
      <c r="C208" s="543" t="s">
        <v>7</v>
      </c>
      <c r="D208" s="289" t="s">
        <v>810</v>
      </c>
      <c r="E208" s="299"/>
      <c r="F208" s="299"/>
      <c r="G208" s="581"/>
      <c r="H208" s="581"/>
      <c r="I208" s="300"/>
    </row>
    <row r="209" spans="2:9" s="580" customFormat="1" ht="14.1" customHeight="1">
      <c r="B209" s="308"/>
      <c r="C209" s="298"/>
      <c r="D209" s="289" t="s">
        <v>10</v>
      </c>
      <c r="E209" s="285" t="s">
        <v>16</v>
      </c>
      <c r="F209" s="285" t="s">
        <v>726</v>
      </c>
      <c r="G209" s="286">
        <v>0.3</v>
      </c>
      <c r="H209" s="581"/>
      <c r="I209" s="300"/>
    </row>
    <row r="210" spans="2:9" s="580" customFormat="1" ht="14.1" customHeight="1">
      <c r="B210" s="308"/>
      <c r="C210" s="298"/>
      <c r="D210" s="289" t="s">
        <v>143</v>
      </c>
      <c r="E210" s="285" t="s">
        <v>22</v>
      </c>
      <c r="F210" s="285" t="s">
        <v>726</v>
      </c>
      <c r="G210" s="286">
        <v>0.1</v>
      </c>
      <c r="H210" s="581"/>
      <c r="I210" s="300"/>
    </row>
    <row r="211" spans="2:9" s="580" customFormat="1" ht="14.1" customHeight="1">
      <c r="B211" s="308"/>
      <c r="C211" s="298"/>
      <c r="D211" s="289" t="s">
        <v>20</v>
      </c>
      <c r="E211" s="285" t="s">
        <v>21</v>
      </c>
      <c r="F211" s="285" t="s">
        <v>726</v>
      </c>
      <c r="G211" s="286">
        <v>0.01</v>
      </c>
      <c r="H211" s="581"/>
      <c r="I211" s="300"/>
    </row>
    <row r="212" spans="2:9" s="580" customFormat="1" ht="14.1" customHeight="1">
      <c r="B212" s="308"/>
      <c r="C212" s="301"/>
      <c r="D212" s="177" t="s">
        <v>11</v>
      </c>
      <c r="E212" s="287" t="s">
        <v>17</v>
      </c>
      <c r="F212" s="287" t="s">
        <v>726</v>
      </c>
      <c r="G212" s="288">
        <v>1.4999999999999999E-2</v>
      </c>
      <c r="H212" s="586"/>
      <c r="I212" s="303"/>
    </row>
    <row r="213" spans="2:9" s="580" customFormat="1" ht="14.1" customHeight="1">
      <c r="B213" s="308"/>
      <c r="C213" s="609"/>
      <c r="D213" s="316"/>
      <c r="E213" s="316"/>
      <c r="F213" s="316"/>
      <c r="G213" s="1166" t="s">
        <v>727</v>
      </c>
      <c r="H213" s="1167"/>
      <c r="I213" s="584"/>
    </row>
    <row r="214" spans="2:9" s="580" customFormat="1" ht="14.1" customHeight="1">
      <c r="B214" s="308"/>
      <c r="C214" s="292" t="s">
        <v>8</v>
      </c>
      <c r="D214" s="293" t="s">
        <v>811</v>
      </c>
      <c r="E214" s="296"/>
      <c r="F214" s="296"/>
      <c r="G214" s="585"/>
      <c r="H214" s="585"/>
      <c r="I214" s="297"/>
    </row>
    <row r="215" spans="2:9" s="580" customFormat="1" ht="14.1" customHeight="1">
      <c r="B215" s="308"/>
      <c r="C215" s="298"/>
      <c r="D215" s="289" t="s">
        <v>145</v>
      </c>
      <c r="E215" s="299"/>
      <c r="F215" s="285" t="s">
        <v>825</v>
      </c>
      <c r="G215" s="286">
        <v>70</v>
      </c>
      <c r="H215" s="581"/>
      <c r="I215" s="300"/>
    </row>
    <row r="216" spans="2:9" s="580" customFormat="1" ht="14.1" customHeight="1">
      <c r="B216" s="308"/>
      <c r="C216" s="298"/>
      <c r="D216" s="289" t="s">
        <v>806</v>
      </c>
      <c r="E216" s="299"/>
      <c r="F216" s="285" t="s">
        <v>734</v>
      </c>
      <c r="G216" s="286">
        <v>8.32</v>
      </c>
      <c r="H216" s="581"/>
      <c r="I216" s="300"/>
    </row>
    <row r="217" spans="2:9" s="580" customFormat="1" ht="14.1" customHeight="1">
      <c r="B217" s="308"/>
      <c r="C217" s="301"/>
      <c r="D217" s="177" t="s">
        <v>211</v>
      </c>
      <c r="E217" s="302"/>
      <c r="F217" s="586" t="s">
        <v>750</v>
      </c>
      <c r="G217" s="288">
        <v>4.9000000000000002E-2</v>
      </c>
      <c r="H217" s="586"/>
      <c r="I217" s="303"/>
    </row>
    <row r="218" spans="2:9" s="580" customFormat="1" ht="14.1" customHeight="1">
      <c r="B218" s="308"/>
      <c r="C218" s="609"/>
      <c r="D218" s="316"/>
      <c r="E218" s="316"/>
      <c r="F218" s="316"/>
      <c r="G218" s="1166" t="s">
        <v>728</v>
      </c>
      <c r="H218" s="1167"/>
      <c r="I218" s="584"/>
    </row>
    <row r="219" spans="2:9" s="580" customFormat="1" ht="14.1" customHeight="1">
      <c r="B219" s="308"/>
      <c r="C219" s="292" t="s">
        <v>9</v>
      </c>
      <c r="D219" s="293" t="s">
        <v>815</v>
      </c>
      <c r="E219" s="296"/>
      <c r="F219" s="296"/>
      <c r="G219" s="585"/>
      <c r="H219" s="585"/>
      <c r="I219" s="297"/>
    </row>
    <row r="220" spans="2:9" s="580" customFormat="1" ht="14.1" customHeight="1">
      <c r="B220" s="308"/>
      <c r="C220" s="301"/>
      <c r="D220" s="302"/>
      <c r="E220" s="302"/>
      <c r="F220" s="302"/>
      <c r="G220" s="586"/>
      <c r="H220" s="586"/>
      <c r="I220" s="303"/>
    </row>
    <row r="221" spans="2:9" s="580" customFormat="1" ht="14.1" customHeight="1">
      <c r="B221" s="308"/>
      <c r="C221" s="609"/>
      <c r="D221" s="316"/>
      <c r="E221" s="316"/>
      <c r="F221" s="316"/>
      <c r="G221" s="1166" t="s">
        <v>729</v>
      </c>
      <c r="H221" s="1167"/>
      <c r="I221" s="584"/>
    </row>
    <row r="222" spans="2:9" s="580" customFormat="1" ht="14.1" customHeight="1">
      <c r="B222" s="308"/>
      <c r="C222" s="290" t="s">
        <v>12</v>
      </c>
      <c r="D222" s="1113" t="s">
        <v>730</v>
      </c>
      <c r="E222" s="1114"/>
      <c r="F222" s="1114"/>
      <c r="G222" s="1160"/>
      <c r="H222" s="1126"/>
      <c r="I222" s="305"/>
    </row>
    <row r="223" spans="2:9" s="580" customFormat="1" ht="14.1" customHeight="1">
      <c r="B223" s="308"/>
      <c r="C223" s="290" t="s">
        <v>13</v>
      </c>
      <c r="D223" s="1116" t="s">
        <v>816</v>
      </c>
      <c r="E223" s="1117"/>
      <c r="F223" s="1118"/>
      <c r="G223" s="1168" t="s">
        <v>740</v>
      </c>
      <c r="H223" s="1171"/>
      <c r="I223" s="306"/>
    </row>
    <row r="224" spans="2:9" s="580" customFormat="1" ht="14.1" customHeight="1" thickBot="1">
      <c r="B224" s="308"/>
      <c r="C224" s="291" t="s">
        <v>14</v>
      </c>
      <c r="D224" s="1119" t="s">
        <v>817</v>
      </c>
      <c r="E224" s="1120"/>
      <c r="F224" s="1120"/>
      <c r="G224" s="1120"/>
      <c r="H224" s="1121"/>
      <c r="I224" s="307"/>
    </row>
    <row r="225" spans="2:9" s="580" customFormat="1" ht="14.1" customHeight="1">
      <c r="B225" s="308"/>
      <c r="G225" s="589"/>
      <c r="H225" s="589"/>
    </row>
    <row r="226" spans="2:9" s="567" customFormat="1" ht="18.75" customHeight="1" thickBot="1">
      <c r="B226" s="541">
        <v>12</v>
      </c>
      <c r="C226" s="969" t="s">
        <v>1023</v>
      </c>
      <c r="D226" s="969"/>
      <c r="E226" s="969"/>
      <c r="F226" s="969"/>
      <c r="G226" s="969"/>
      <c r="H226" s="969"/>
      <c r="I226" s="969"/>
    </row>
    <row r="227" spans="2:9" s="580" customFormat="1" ht="35.1" customHeight="1" thickBot="1">
      <c r="B227" s="308"/>
      <c r="C227" s="334" t="s">
        <v>840</v>
      </c>
      <c r="D227" s="335" t="s">
        <v>841</v>
      </c>
      <c r="E227" s="335" t="s">
        <v>842</v>
      </c>
      <c r="F227" s="335" t="s">
        <v>843</v>
      </c>
      <c r="G227" s="335" t="s">
        <v>844</v>
      </c>
      <c r="H227" s="335" t="s">
        <v>845</v>
      </c>
      <c r="I227" s="337" t="s">
        <v>846</v>
      </c>
    </row>
    <row r="228" spans="2:9" s="580" customFormat="1" ht="14.1" customHeight="1">
      <c r="B228" s="308"/>
      <c r="C228" s="543" t="s">
        <v>7</v>
      </c>
      <c r="D228" s="289" t="s">
        <v>810</v>
      </c>
      <c r="E228" s="299"/>
      <c r="F228" s="299"/>
      <c r="G228" s="581"/>
      <c r="H228" s="581"/>
      <c r="I228" s="300"/>
    </row>
    <row r="229" spans="2:9" s="580" customFormat="1" ht="14.1" customHeight="1">
      <c r="B229" s="308"/>
      <c r="C229" s="298"/>
      <c r="D229" s="289" t="s">
        <v>10</v>
      </c>
      <c r="E229" s="285" t="s">
        <v>16</v>
      </c>
      <c r="F229" s="285" t="s">
        <v>726</v>
      </c>
      <c r="G229" s="286">
        <v>0.3</v>
      </c>
      <c r="H229" s="581"/>
      <c r="I229" s="300"/>
    </row>
    <row r="230" spans="2:9" s="580" customFormat="1" ht="14.1" customHeight="1">
      <c r="B230" s="308"/>
      <c r="C230" s="298"/>
      <c r="D230" s="289" t="s">
        <v>143</v>
      </c>
      <c r="E230" s="285" t="s">
        <v>22</v>
      </c>
      <c r="F230" s="285" t="s">
        <v>726</v>
      </c>
      <c r="G230" s="286">
        <v>0.1</v>
      </c>
      <c r="H230" s="581"/>
      <c r="I230" s="300"/>
    </row>
    <row r="231" spans="2:9" s="580" customFormat="1" ht="14.1" customHeight="1">
      <c r="B231" s="308"/>
      <c r="C231" s="298"/>
      <c r="D231" s="289" t="s">
        <v>20</v>
      </c>
      <c r="E231" s="285" t="s">
        <v>21</v>
      </c>
      <c r="F231" s="285" t="s">
        <v>726</v>
      </c>
      <c r="G231" s="286">
        <v>0.01</v>
      </c>
      <c r="H231" s="581"/>
      <c r="I231" s="300"/>
    </row>
    <row r="232" spans="2:9" s="580" customFormat="1" ht="14.1" customHeight="1">
      <c r="B232" s="308"/>
      <c r="C232" s="301"/>
      <c r="D232" s="177" t="s">
        <v>11</v>
      </c>
      <c r="E232" s="287" t="s">
        <v>17</v>
      </c>
      <c r="F232" s="287" t="s">
        <v>726</v>
      </c>
      <c r="G232" s="288">
        <v>1.4999999999999999E-2</v>
      </c>
      <c r="H232" s="586"/>
      <c r="I232" s="303"/>
    </row>
    <row r="233" spans="2:9" s="580" customFormat="1" ht="14.1" customHeight="1">
      <c r="B233" s="308"/>
      <c r="C233" s="609"/>
      <c r="D233" s="316"/>
      <c r="E233" s="316"/>
      <c r="F233" s="316"/>
      <c r="G233" s="1166" t="s">
        <v>727</v>
      </c>
      <c r="H233" s="1167"/>
      <c r="I233" s="584"/>
    </row>
    <row r="234" spans="2:9" s="580" customFormat="1" ht="14.1" customHeight="1">
      <c r="B234" s="308"/>
      <c r="C234" s="292" t="s">
        <v>8</v>
      </c>
      <c r="D234" s="293" t="s">
        <v>811</v>
      </c>
      <c r="E234" s="296"/>
      <c r="F234" s="296"/>
      <c r="G234" s="585"/>
      <c r="H234" s="585"/>
      <c r="I234" s="297"/>
    </row>
    <row r="235" spans="2:9" s="580" customFormat="1" ht="14.1" customHeight="1">
      <c r="B235" s="308"/>
      <c r="C235" s="298"/>
      <c r="D235" s="289" t="s">
        <v>145</v>
      </c>
      <c r="E235" s="299"/>
      <c r="F235" s="285" t="s">
        <v>825</v>
      </c>
      <c r="G235" s="286">
        <v>70</v>
      </c>
      <c r="H235" s="581"/>
      <c r="I235" s="300"/>
    </row>
    <row r="236" spans="2:9" s="580" customFormat="1" ht="14.1" customHeight="1">
      <c r="B236" s="308"/>
      <c r="C236" s="298"/>
      <c r="D236" s="289" t="s">
        <v>806</v>
      </c>
      <c r="E236" s="299"/>
      <c r="F236" s="285" t="s">
        <v>734</v>
      </c>
      <c r="G236" s="286">
        <v>6.5</v>
      </c>
      <c r="H236" s="581"/>
      <c r="I236" s="300"/>
    </row>
    <row r="237" spans="2:9" s="580" customFormat="1" ht="14.1" customHeight="1">
      <c r="B237" s="308"/>
      <c r="C237" s="301"/>
      <c r="D237" s="177" t="s">
        <v>211</v>
      </c>
      <c r="E237" s="302"/>
      <c r="F237" s="781" t="s">
        <v>750</v>
      </c>
      <c r="G237" s="288">
        <v>0.05</v>
      </c>
      <c r="H237" s="586"/>
      <c r="I237" s="303"/>
    </row>
    <row r="238" spans="2:9" s="580" customFormat="1" ht="14.1" customHeight="1">
      <c r="B238" s="308"/>
      <c r="C238" s="609"/>
      <c r="D238" s="316"/>
      <c r="E238" s="316"/>
      <c r="F238" s="316"/>
      <c r="G238" s="1170" t="s">
        <v>728</v>
      </c>
      <c r="H238" s="1170"/>
      <c r="I238" s="584"/>
    </row>
    <row r="239" spans="2:9" s="580" customFormat="1" ht="14.1" customHeight="1">
      <c r="B239" s="308"/>
      <c r="C239" s="292" t="s">
        <v>9</v>
      </c>
      <c r="D239" s="293" t="s">
        <v>815</v>
      </c>
      <c r="E239" s="296"/>
      <c r="F239" s="296"/>
      <c r="G239" s="585"/>
      <c r="H239" s="585"/>
      <c r="I239" s="297"/>
    </row>
    <row r="240" spans="2:9" s="580" customFormat="1" ht="14.1" customHeight="1">
      <c r="B240" s="308"/>
      <c r="C240" s="301"/>
      <c r="D240" s="302"/>
      <c r="E240" s="302"/>
      <c r="F240" s="302"/>
      <c r="G240" s="586"/>
      <c r="H240" s="586"/>
      <c r="I240" s="303"/>
    </row>
    <row r="241" spans="2:9" s="580" customFormat="1" ht="14.1" customHeight="1">
      <c r="B241" s="308"/>
      <c r="C241" s="609"/>
      <c r="D241" s="316"/>
      <c r="E241" s="316"/>
      <c r="F241" s="316"/>
      <c r="G241" s="1166" t="s">
        <v>729</v>
      </c>
      <c r="H241" s="1167"/>
      <c r="I241" s="584"/>
    </row>
    <row r="242" spans="2:9" s="580" customFormat="1" ht="14.1" customHeight="1">
      <c r="B242" s="308"/>
      <c r="C242" s="290" t="s">
        <v>12</v>
      </c>
      <c r="D242" s="1113" t="s">
        <v>730</v>
      </c>
      <c r="E242" s="1114"/>
      <c r="F242" s="1114"/>
      <c r="G242" s="1160"/>
      <c r="H242" s="1126"/>
      <c r="I242" s="305"/>
    </row>
    <row r="243" spans="2:9" s="580" customFormat="1" ht="14.1" customHeight="1">
      <c r="B243" s="308"/>
      <c r="C243" s="290" t="s">
        <v>13</v>
      </c>
      <c r="D243" s="1116" t="s">
        <v>816</v>
      </c>
      <c r="E243" s="1117"/>
      <c r="F243" s="1118"/>
      <c r="G243" s="1168" t="s">
        <v>740</v>
      </c>
      <c r="H243" s="1171"/>
      <c r="I243" s="306"/>
    </row>
    <row r="244" spans="2:9" s="580" customFormat="1" ht="14.1" customHeight="1" thickBot="1">
      <c r="B244" s="308"/>
      <c r="C244" s="291" t="s">
        <v>14</v>
      </c>
      <c r="D244" s="1119" t="s">
        <v>817</v>
      </c>
      <c r="E244" s="1120"/>
      <c r="F244" s="1120"/>
      <c r="G244" s="1120"/>
      <c r="H244" s="1121"/>
      <c r="I244" s="307"/>
    </row>
    <row r="245" spans="2:9" s="580" customFormat="1" ht="14.1" customHeight="1">
      <c r="B245" s="308"/>
      <c r="C245" s="916"/>
      <c r="D245" s="915"/>
      <c r="E245" s="915"/>
      <c r="F245" s="915"/>
      <c r="G245" s="915"/>
      <c r="H245" s="915"/>
      <c r="I245" s="316"/>
    </row>
    <row r="246" spans="2:9" s="570" customFormat="1" ht="18" customHeight="1" thickBot="1">
      <c r="B246" s="541">
        <v>13</v>
      </c>
      <c r="C246" s="970" t="s">
        <v>1024</v>
      </c>
      <c r="D246" s="970"/>
      <c r="E246" s="970"/>
      <c r="F246" s="970"/>
      <c r="G246" s="970"/>
      <c r="H246" s="970"/>
      <c r="I246" s="970"/>
    </row>
    <row r="247" spans="2:9" s="580" customFormat="1" ht="35.1" customHeight="1" thickBot="1">
      <c r="B247" s="308"/>
      <c r="C247" s="334" t="s">
        <v>840</v>
      </c>
      <c r="D247" s="335" t="s">
        <v>841</v>
      </c>
      <c r="E247" s="335" t="s">
        <v>842</v>
      </c>
      <c r="F247" s="335" t="s">
        <v>843</v>
      </c>
      <c r="G247" s="335" t="s">
        <v>844</v>
      </c>
      <c r="H247" s="335" t="s">
        <v>845</v>
      </c>
      <c r="I247" s="337" t="s">
        <v>846</v>
      </c>
    </row>
    <row r="248" spans="2:9" s="580" customFormat="1" ht="14.1" customHeight="1">
      <c r="B248" s="308"/>
      <c r="C248" s="543" t="s">
        <v>7</v>
      </c>
      <c r="D248" s="289" t="s">
        <v>810</v>
      </c>
      <c r="E248" s="299"/>
      <c r="F248" s="299"/>
      <c r="G248" s="581"/>
      <c r="H248" s="581"/>
      <c r="I248" s="300"/>
    </row>
    <row r="249" spans="2:9" s="580" customFormat="1" ht="14.1" customHeight="1">
      <c r="B249" s="308"/>
      <c r="C249" s="298"/>
      <c r="D249" s="289" t="s">
        <v>10</v>
      </c>
      <c r="E249" s="285" t="s">
        <v>16</v>
      </c>
      <c r="F249" s="285" t="s">
        <v>726</v>
      </c>
      <c r="G249" s="286">
        <v>0.3</v>
      </c>
      <c r="H249" s="581"/>
      <c r="I249" s="300"/>
    </row>
    <row r="250" spans="2:9" s="580" customFormat="1" ht="14.1" customHeight="1">
      <c r="B250" s="308"/>
      <c r="C250" s="298"/>
      <c r="D250" s="289" t="s">
        <v>143</v>
      </c>
      <c r="E250" s="285" t="s">
        <v>22</v>
      </c>
      <c r="F250" s="285" t="s">
        <v>726</v>
      </c>
      <c r="G250" s="286">
        <v>0.1</v>
      </c>
      <c r="H250" s="581"/>
      <c r="I250" s="300"/>
    </row>
    <row r="251" spans="2:9" s="580" customFormat="1" ht="14.1" customHeight="1">
      <c r="B251" s="308"/>
      <c r="C251" s="298"/>
      <c r="D251" s="289" t="s">
        <v>20</v>
      </c>
      <c r="E251" s="285" t="s">
        <v>21</v>
      </c>
      <c r="F251" s="285" t="s">
        <v>726</v>
      </c>
      <c r="G251" s="286">
        <v>0.01</v>
      </c>
      <c r="H251" s="581"/>
      <c r="I251" s="300"/>
    </row>
    <row r="252" spans="2:9" s="580" customFormat="1" ht="14.1" customHeight="1">
      <c r="B252" s="308"/>
      <c r="C252" s="301"/>
      <c r="D252" s="177" t="s">
        <v>11</v>
      </c>
      <c r="E252" s="287" t="s">
        <v>17</v>
      </c>
      <c r="F252" s="287" t="s">
        <v>726</v>
      </c>
      <c r="G252" s="288">
        <v>1.4999999999999999E-2</v>
      </c>
      <c r="H252" s="586"/>
      <c r="I252" s="303"/>
    </row>
    <row r="253" spans="2:9" s="580" customFormat="1" ht="14.1" customHeight="1">
      <c r="B253" s="308"/>
      <c r="C253" s="609"/>
      <c r="D253" s="316"/>
      <c r="E253" s="316"/>
      <c r="F253" s="316"/>
      <c r="G253" s="1166" t="s">
        <v>727</v>
      </c>
      <c r="H253" s="1167"/>
      <c r="I253" s="584"/>
    </row>
    <row r="254" spans="2:9" s="580" customFormat="1" ht="14.1" customHeight="1">
      <c r="B254" s="308"/>
      <c r="C254" s="292" t="s">
        <v>8</v>
      </c>
      <c r="D254" s="293" t="s">
        <v>811</v>
      </c>
      <c r="E254" s="296"/>
      <c r="F254" s="296"/>
      <c r="G254" s="585"/>
      <c r="H254" s="585"/>
      <c r="I254" s="297"/>
    </row>
    <row r="255" spans="2:9" s="580" customFormat="1" ht="14.1" customHeight="1">
      <c r="B255" s="308"/>
      <c r="C255" s="298"/>
      <c r="D255" s="289" t="s">
        <v>145</v>
      </c>
      <c r="E255" s="299"/>
      <c r="F255" s="285" t="s">
        <v>825</v>
      </c>
      <c r="G255" s="286">
        <v>70</v>
      </c>
      <c r="H255" s="581"/>
      <c r="I255" s="300"/>
    </row>
    <row r="256" spans="2:9" s="580" customFormat="1" ht="14.1" customHeight="1">
      <c r="B256" s="308"/>
      <c r="C256" s="298"/>
      <c r="D256" s="289" t="s">
        <v>806</v>
      </c>
      <c r="E256" s="299"/>
      <c r="F256" s="285" t="s">
        <v>734</v>
      </c>
      <c r="G256" s="286">
        <v>4.5</v>
      </c>
      <c r="H256" s="581"/>
      <c r="I256" s="300"/>
    </row>
    <row r="257" spans="2:9" s="580" customFormat="1" ht="14.1" customHeight="1">
      <c r="B257" s="308"/>
      <c r="C257" s="298"/>
      <c r="D257" s="289" t="s">
        <v>203</v>
      </c>
      <c r="E257" s="299"/>
      <c r="F257" s="780" t="s">
        <v>750</v>
      </c>
      <c r="G257" s="286">
        <v>1.4999999999999999E-2</v>
      </c>
      <c r="H257" s="581"/>
      <c r="I257" s="300"/>
    </row>
    <row r="258" spans="2:9" s="580" customFormat="1" ht="14.1" customHeight="1">
      <c r="B258" s="308"/>
      <c r="C258" s="301"/>
      <c r="D258" s="177" t="s">
        <v>211</v>
      </c>
      <c r="E258" s="302"/>
      <c r="F258" s="781" t="s">
        <v>750</v>
      </c>
      <c r="G258" s="288">
        <v>0.05</v>
      </c>
      <c r="H258" s="586"/>
      <c r="I258" s="303"/>
    </row>
    <row r="259" spans="2:9" s="580" customFormat="1" ht="14.1" customHeight="1">
      <c r="B259" s="308"/>
      <c r="C259" s="609"/>
      <c r="D259" s="316"/>
      <c r="E259" s="316"/>
      <c r="F259" s="316"/>
      <c r="G259" s="1166" t="s">
        <v>728</v>
      </c>
      <c r="H259" s="1167"/>
      <c r="I259" s="584"/>
    </row>
    <row r="260" spans="2:9" s="580" customFormat="1" ht="14.1" customHeight="1">
      <c r="B260" s="308"/>
      <c r="C260" s="292" t="s">
        <v>9</v>
      </c>
      <c r="D260" s="293" t="s">
        <v>815</v>
      </c>
      <c r="E260" s="296"/>
      <c r="F260" s="296"/>
      <c r="G260" s="585"/>
      <c r="H260" s="585"/>
      <c r="I260" s="297"/>
    </row>
    <row r="261" spans="2:9" s="580" customFormat="1" ht="14.1" customHeight="1">
      <c r="B261" s="308"/>
      <c r="C261" s="301"/>
      <c r="D261" s="302"/>
      <c r="E261" s="302"/>
      <c r="F261" s="302"/>
      <c r="G261" s="586"/>
      <c r="H261" s="586"/>
      <c r="I261" s="303"/>
    </row>
    <row r="262" spans="2:9" s="580" customFormat="1" ht="14.1" customHeight="1">
      <c r="B262" s="308"/>
      <c r="C262" s="609"/>
      <c r="D262" s="316"/>
      <c r="E262" s="316"/>
      <c r="F262" s="316"/>
      <c r="G262" s="1170" t="s">
        <v>729</v>
      </c>
      <c r="H262" s="1170"/>
      <c r="I262" s="631"/>
    </row>
    <row r="263" spans="2:9" s="580" customFormat="1" ht="14.1" customHeight="1">
      <c r="B263" s="308"/>
      <c r="C263" s="290" t="s">
        <v>12</v>
      </c>
      <c r="D263" s="1113" t="s">
        <v>730</v>
      </c>
      <c r="E263" s="1114"/>
      <c r="F263" s="1114"/>
      <c r="G263" s="1114"/>
      <c r="H263" s="1115"/>
      <c r="I263" s="306"/>
    </row>
    <row r="264" spans="2:9" s="580" customFormat="1" ht="14.1" customHeight="1">
      <c r="B264" s="308"/>
      <c r="C264" s="290" t="s">
        <v>13</v>
      </c>
      <c r="D264" s="1116" t="s">
        <v>816</v>
      </c>
      <c r="E264" s="1117"/>
      <c r="F264" s="1118"/>
      <c r="G264" s="1168" t="s">
        <v>740</v>
      </c>
      <c r="H264" s="1171"/>
      <c r="I264" s="306"/>
    </row>
    <row r="265" spans="2:9" s="580" customFormat="1" ht="14.1" customHeight="1" thickBot="1">
      <c r="B265" s="308"/>
      <c r="C265" s="291" t="s">
        <v>14</v>
      </c>
      <c r="D265" s="1119" t="s">
        <v>817</v>
      </c>
      <c r="E265" s="1120"/>
      <c r="F265" s="1120"/>
      <c r="G265" s="1120"/>
      <c r="H265" s="1121"/>
      <c r="I265" s="307"/>
    </row>
    <row r="266" spans="2:9" s="580" customFormat="1" ht="14.1" customHeight="1">
      <c r="B266" s="308"/>
      <c r="G266" s="589"/>
      <c r="H266" s="589"/>
    </row>
    <row r="267" spans="2:9" s="570" customFormat="1" ht="15" customHeight="1" thickBot="1">
      <c r="B267" s="541">
        <v>14</v>
      </c>
      <c r="C267" s="970" t="s">
        <v>1025</v>
      </c>
      <c r="D267" s="970"/>
      <c r="E267" s="970"/>
      <c r="F267" s="970"/>
      <c r="G267" s="970"/>
      <c r="H267" s="970"/>
      <c r="I267" s="970"/>
    </row>
    <row r="268" spans="2:9" s="580" customFormat="1" ht="35.1" customHeight="1" thickBot="1">
      <c r="B268" s="308"/>
      <c r="C268" s="334" t="s">
        <v>840</v>
      </c>
      <c r="D268" s="335" t="s">
        <v>841</v>
      </c>
      <c r="E268" s="335" t="s">
        <v>842</v>
      </c>
      <c r="F268" s="335" t="s">
        <v>843</v>
      </c>
      <c r="G268" s="335" t="s">
        <v>844</v>
      </c>
      <c r="H268" s="335" t="s">
        <v>845</v>
      </c>
      <c r="I268" s="337" t="s">
        <v>846</v>
      </c>
    </row>
    <row r="269" spans="2:9" s="580" customFormat="1" ht="14.1" customHeight="1">
      <c r="B269" s="308"/>
      <c r="C269" s="543" t="s">
        <v>7</v>
      </c>
      <c r="D269" s="289" t="s">
        <v>810</v>
      </c>
      <c r="E269" s="299"/>
      <c r="F269" s="299"/>
      <c r="G269" s="581"/>
      <c r="H269" s="581"/>
      <c r="I269" s="300"/>
    </row>
    <row r="270" spans="2:9" s="580" customFormat="1" ht="14.1" customHeight="1">
      <c r="B270" s="308"/>
      <c r="C270" s="298"/>
      <c r="D270" s="289" t="s">
        <v>10</v>
      </c>
      <c r="E270" s="285" t="s">
        <v>16</v>
      </c>
      <c r="F270" s="285" t="s">
        <v>726</v>
      </c>
      <c r="G270" s="286">
        <v>0.3</v>
      </c>
      <c r="H270" s="581"/>
      <c r="I270" s="300"/>
    </row>
    <row r="271" spans="2:9" s="580" customFormat="1" ht="14.1" customHeight="1">
      <c r="B271" s="308"/>
      <c r="C271" s="298"/>
      <c r="D271" s="289" t="s">
        <v>143</v>
      </c>
      <c r="E271" s="285" t="s">
        <v>22</v>
      </c>
      <c r="F271" s="285" t="s">
        <v>726</v>
      </c>
      <c r="G271" s="286">
        <v>0.1</v>
      </c>
      <c r="H271" s="581"/>
      <c r="I271" s="300"/>
    </row>
    <row r="272" spans="2:9" s="580" customFormat="1" ht="14.1" customHeight="1">
      <c r="B272" s="308"/>
      <c r="C272" s="298"/>
      <c r="D272" s="289" t="s">
        <v>20</v>
      </c>
      <c r="E272" s="285" t="s">
        <v>21</v>
      </c>
      <c r="F272" s="285" t="s">
        <v>726</v>
      </c>
      <c r="G272" s="286">
        <v>0.01</v>
      </c>
      <c r="H272" s="581"/>
      <c r="I272" s="300"/>
    </row>
    <row r="273" spans="2:9" s="580" customFormat="1" ht="14.1" customHeight="1">
      <c r="B273" s="308"/>
      <c r="C273" s="301"/>
      <c r="D273" s="177" t="s">
        <v>11</v>
      </c>
      <c r="E273" s="287" t="s">
        <v>17</v>
      </c>
      <c r="F273" s="287" t="s">
        <v>726</v>
      </c>
      <c r="G273" s="288">
        <v>1.4999999999999999E-2</v>
      </c>
      <c r="H273" s="586"/>
      <c r="I273" s="303"/>
    </row>
    <row r="274" spans="2:9" s="580" customFormat="1" ht="14.1" customHeight="1">
      <c r="B274" s="308"/>
      <c r="C274" s="609"/>
      <c r="D274" s="316"/>
      <c r="E274" s="316"/>
      <c r="F274" s="316"/>
      <c r="G274" s="1166" t="s">
        <v>727</v>
      </c>
      <c r="H274" s="1167"/>
      <c r="I274" s="584"/>
    </row>
    <row r="275" spans="2:9" s="580" customFormat="1" ht="14.1" customHeight="1">
      <c r="B275" s="308"/>
      <c r="C275" s="292" t="s">
        <v>8</v>
      </c>
      <c r="D275" s="293" t="s">
        <v>811</v>
      </c>
      <c r="E275" s="296"/>
      <c r="F275" s="296"/>
      <c r="G275" s="585"/>
      <c r="H275" s="585"/>
      <c r="I275" s="297"/>
    </row>
    <row r="276" spans="2:9" s="580" customFormat="1" ht="14.1" customHeight="1">
      <c r="B276" s="308"/>
      <c r="C276" s="298"/>
      <c r="D276" s="289" t="s">
        <v>145</v>
      </c>
      <c r="E276" s="299"/>
      <c r="F276" s="285" t="s">
        <v>825</v>
      </c>
      <c r="G276" s="286">
        <v>70</v>
      </c>
      <c r="H276" s="581"/>
      <c r="I276" s="300"/>
    </row>
    <row r="277" spans="2:9" s="580" customFormat="1" ht="14.1" customHeight="1">
      <c r="B277" s="308"/>
      <c r="C277" s="298"/>
      <c r="D277" s="289" t="s">
        <v>1000</v>
      </c>
      <c r="E277" s="299"/>
      <c r="F277" s="285" t="s">
        <v>734</v>
      </c>
      <c r="G277" s="286">
        <v>1.7999999999999999E-2</v>
      </c>
      <c r="H277" s="581"/>
      <c r="I277" s="300"/>
    </row>
    <row r="278" spans="2:9" s="580" customFormat="1" ht="14.1" customHeight="1">
      <c r="B278" s="308"/>
      <c r="C278" s="298"/>
      <c r="D278" s="289" t="s">
        <v>203</v>
      </c>
      <c r="E278" s="299"/>
      <c r="F278" s="780" t="s">
        <v>750</v>
      </c>
      <c r="G278" s="286">
        <v>1.7999999999999999E-2</v>
      </c>
      <c r="H278" s="581"/>
      <c r="I278" s="300"/>
    </row>
    <row r="279" spans="2:9" s="580" customFormat="1" ht="14.1" customHeight="1">
      <c r="B279" s="308"/>
      <c r="C279" s="301"/>
      <c r="D279" s="177" t="s">
        <v>211</v>
      </c>
      <c r="E279" s="302"/>
      <c r="F279" s="781" t="s">
        <v>750</v>
      </c>
      <c r="G279" s="288">
        <v>1.7999999999999999E-2</v>
      </c>
      <c r="H279" s="586"/>
      <c r="I279" s="303"/>
    </row>
    <row r="280" spans="2:9" s="580" customFormat="1" ht="14.1" customHeight="1">
      <c r="B280" s="308"/>
      <c r="C280" s="609"/>
      <c r="D280" s="316"/>
      <c r="E280" s="316"/>
      <c r="F280" s="316"/>
      <c r="G280" s="1166" t="s">
        <v>728</v>
      </c>
      <c r="H280" s="1167"/>
      <c r="I280" s="584"/>
    </row>
    <row r="281" spans="2:9" s="580" customFormat="1" ht="14.1" customHeight="1">
      <c r="B281" s="308"/>
      <c r="C281" s="292" t="s">
        <v>9</v>
      </c>
      <c r="D281" s="293" t="s">
        <v>815</v>
      </c>
      <c r="E281" s="296"/>
      <c r="F281" s="296"/>
      <c r="G281" s="585"/>
      <c r="H281" s="585"/>
      <c r="I281" s="297"/>
    </row>
    <row r="282" spans="2:9" s="580" customFormat="1" ht="14.1" customHeight="1">
      <c r="B282" s="308"/>
      <c r="C282" s="301"/>
      <c r="D282" s="302"/>
      <c r="E282" s="302"/>
      <c r="F282" s="302"/>
      <c r="G282" s="586"/>
      <c r="H282" s="586"/>
      <c r="I282" s="303"/>
    </row>
    <row r="283" spans="2:9" s="580" customFormat="1" ht="14.1" customHeight="1">
      <c r="B283" s="308"/>
      <c r="C283" s="609"/>
      <c r="D283" s="316"/>
      <c r="E283" s="316"/>
      <c r="F283" s="316"/>
      <c r="G283" s="1170" t="s">
        <v>729</v>
      </c>
      <c r="H283" s="1170"/>
      <c r="I283" s="631"/>
    </row>
    <row r="284" spans="2:9" s="580" customFormat="1" ht="14.1" customHeight="1">
      <c r="B284" s="308"/>
      <c r="C284" s="290" t="s">
        <v>12</v>
      </c>
      <c r="D284" s="1113" t="s">
        <v>730</v>
      </c>
      <c r="E284" s="1114"/>
      <c r="F284" s="1114"/>
      <c r="G284" s="1114"/>
      <c r="H284" s="1115"/>
      <c r="I284" s="306"/>
    </row>
    <row r="285" spans="2:9" s="580" customFormat="1" ht="14.1" customHeight="1">
      <c r="B285" s="308"/>
      <c r="C285" s="290" t="s">
        <v>13</v>
      </c>
      <c r="D285" s="1116" t="s">
        <v>816</v>
      </c>
      <c r="E285" s="1117"/>
      <c r="F285" s="1118"/>
      <c r="G285" s="1168" t="s">
        <v>1001</v>
      </c>
      <c r="H285" s="1171"/>
      <c r="I285" s="306"/>
    </row>
    <row r="286" spans="2:9" s="580" customFormat="1" ht="14.1" customHeight="1" thickBot="1">
      <c r="B286" s="308"/>
      <c r="C286" s="291" t="s">
        <v>14</v>
      </c>
      <c r="D286" s="1119" t="s">
        <v>817</v>
      </c>
      <c r="E286" s="1120"/>
      <c r="F286" s="1120"/>
      <c r="G286" s="1120"/>
      <c r="H286" s="1121"/>
      <c r="I286" s="307"/>
    </row>
    <row r="287" spans="2:9" s="580" customFormat="1" ht="14.1" customHeight="1">
      <c r="B287" s="308"/>
      <c r="C287" s="284"/>
      <c r="D287" s="284"/>
      <c r="E287" s="284"/>
      <c r="F287" s="284"/>
      <c r="G287" s="284"/>
      <c r="H287" s="284"/>
      <c r="I287" s="316"/>
    </row>
    <row r="288" spans="2:9" s="567" customFormat="1" ht="15.75" customHeight="1" thickBot="1">
      <c r="B288" s="541">
        <v>15</v>
      </c>
      <c r="C288" s="971" t="s">
        <v>1026</v>
      </c>
      <c r="D288" s="971"/>
      <c r="E288" s="971"/>
      <c r="F288" s="971"/>
      <c r="G288" s="971"/>
      <c r="H288" s="971"/>
      <c r="I288" s="971"/>
    </row>
    <row r="289" spans="2:9" s="580" customFormat="1" ht="32.1" customHeight="1" thickBot="1">
      <c r="B289" s="308"/>
      <c r="C289" s="334" t="s">
        <v>840</v>
      </c>
      <c r="D289" s="335" t="s">
        <v>841</v>
      </c>
      <c r="E289" s="335" t="s">
        <v>842</v>
      </c>
      <c r="F289" s="335" t="s">
        <v>843</v>
      </c>
      <c r="G289" s="335" t="s">
        <v>844</v>
      </c>
      <c r="H289" s="335" t="s">
        <v>845</v>
      </c>
      <c r="I289" s="337" t="s">
        <v>846</v>
      </c>
    </row>
    <row r="290" spans="2:9" s="580" customFormat="1" ht="14.1" customHeight="1">
      <c r="B290" s="308"/>
      <c r="C290" s="543" t="s">
        <v>7</v>
      </c>
      <c r="D290" s="289" t="s">
        <v>810</v>
      </c>
      <c r="E290" s="299"/>
      <c r="F290" s="299"/>
      <c r="G290" s="581"/>
      <c r="H290" s="581"/>
      <c r="I290" s="300"/>
    </row>
    <row r="291" spans="2:9" s="580" customFormat="1" ht="14.1" customHeight="1">
      <c r="B291" s="308"/>
      <c r="C291" s="298"/>
      <c r="D291" s="289" t="s">
        <v>10</v>
      </c>
      <c r="E291" s="285" t="s">
        <v>16</v>
      </c>
      <c r="F291" s="285" t="s">
        <v>726</v>
      </c>
      <c r="G291" s="286">
        <v>0.3</v>
      </c>
      <c r="H291" s="581"/>
      <c r="I291" s="300"/>
    </row>
    <row r="292" spans="2:9" s="580" customFormat="1" ht="14.1" customHeight="1">
      <c r="B292" s="308"/>
      <c r="C292" s="298"/>
      <c r="D292" s="289" t="s">
        <v>143</v>
      </c>
      <c r="E292" s="285" t="s">
        <v>22</v>
      </c>
      <c r="F292" s="285" t="s">
        <v>726</v>
      </c>
      <c r="G292" s="286">
        <v>0.1</v>
      </c>
      <c r="H292" s="581"/>
      <c r="I292" s="300"/>
    </row>
    <row r="293" spans="2:9" s="580" customFormat="1" ht="14.1" customHeight="1">
      <c r="B293" s="308"/>
      <c r="C293" s="298"/>
      <c r="D293" s="289" t="s">
        <v>20</v>
      </c>
      <c r="E293" s="285" t="s">
        <v>21</v>
      </c>
      <c r="F293" s="285" t="s">
        <v>726</v>
      </c>
      <c r="G293" s="286">
        <v>0.01</v>
      </c>
      <c r="H293" s="581"/>
      <c r="I293" s="300"/>
    </row>
    <row r="294" spans="2:9" s="580" customFormat="1" ht="14.1" customHeight="1">
      <c r="B294" s="308"/>
      <c r="C294" s="301"/>
      <c r="D294" s="177" t="s">
        <v>11</v>
      </c>
      <c r="E294" s="287" t="s">
        <v>17</v>
      </c>
      <c r="F294" s="287" t="s">
        <v>726</v>
      </c>
      <c r="G294" s="288">
        <v>1.4999999999999999E-2</v>
      </c>
      <c r="H294" s="586"/>
      <c r="I294" s="303"/>
    </row>
    <row r="295" spans="2:9" s="580" customFormat="1" ht="14.1" customHeight="1">
      <c r="B295" s="308"/>
      <c r="C295" s="609"/>
      <c r="D295" s="316"/>
      <c r="E295" s="316"/>
      <c r="F295" s="316"/>
      <c r="G295" s="1166" t="s">
        <v>727</v>
      </c>
      <c r="H295" s="1167"/>
      <c r="I295" s="631"/>
    </row>
    <row r="296" spans="2:9" s="580" customFormat="1" ht="14.1" customHeight="1">
      <c r="B296" s="308"/>
      <c r="C296" s="292" t="s">
        <v>8</v>
      </c>
      <c r="D296" s="293" t="s">
        <v>811</v>
      </c>
      <c r="E296" s="296"/>
      <c r="F296" s="296"/>
      <c r="G296" s="585"/>
      <c r="H296" s="585"/>
      <c r="I296" s="297"/>
    </row>
    <row r="297" spans="2:9" s="580" customFormat="1" ht="14.1" customHeight="1">
      <c r="B297" s="308"/>
      <c r="C297" s="298"/>
      <c r="D297" s="289" t="s">
        <v>145</v>
      </c>
      <c r="E297" s="299"/>
      <c r="F297" s="285" t="s">
        <v>825</v>
      </c>
      <c r="G297" s="286">
        <v>70</v>
      </c>
      <c r="H297" s="581"/>
      <c r="I297" s="300"/>
    </row>
    <row r="298" spans="2:9" s="580" customFormat="1" ht="14.1" customHeight="1">
      <c r="B298" s="308"/>
      <c r="C298" s="298"/>
      <c r="D298" s="289" t="s">
        <v>1000</v>
      </c>
      <c r="E298" s="299"/>
      <c r="F298" s="285" t="s">
        <v>734</v>
      </c>
      <c r="G298" s="286">
        <v>1.4E-2</v>
      </c>
      <c r="H298" s="581"/>
      <c r="I298" s="300"/>
    </row>
    <row r="299" spans="2:9" s="580" customFormat="1" ht="14.1" customHeight="1">
      <c r="B299" s="308"/>
      <c r="C299" s="298"/>
      <c r="D299" s="289" t="s">
        <v>203</v>
      </c>
      <c r="E299" s="299"/>
      <c r="F299" s="581" t="s">
        <v>750</v>
      </c>
      <c r="G299" s="286">
        <v>1.4E-2</v>
      </c>
      <c r="H299" s="581"/>
      <c r="I299" s="300"/>
    </row>
    <row r="300" spans="2:9" s="580" customFormat="1" ht="14.1" customHeight="1">
      <c r="B300" s="308"/>
      <c r="C300" s="301"/>
      <c r="D300" s="177" t="s">
        <v>211</v>
      </c>
      <c r="E300" s="302"/>
      <c r="F300" s="586" t="s">
        <v>750</v>
      </c>
      <c r="G300" s="288">
        <v>2.8000000000000001E-2</v>
      </c>
      <c r="H300" s="586"/>
      <c r="I300" s="303"/>
    </row>
    <row r="301" spans="2:9" s="580" customFormat="1" ht="14.1" customHeight="1">
      <c r="B301" s="308"/>
      <c r="C301" s="609"/>
      <c r="D301" s="316"/>
      <c r="E301" s="316"/>
      <c r="F301" s="316"/>
      <c r="G301" s="1166" t="s">
        <v>728</v>
      </c>
      <c r="H301" s="1167"/>
      <c r="I301" s="584"/>
    </row>
    <row r="302" spans="2:9" s="580" customFormat="1" ht="14.1" customHeight="1">
      <c r="B302" s="308"/>
      <c r="C302" s="292" t="s">
        <v>9</v>
      </c>
      <c r="D302" s="293" t="s">
        <v>815</v>
      </c>
      <c r="E302" s="296"/>
      <c r="F302" s="296"/>
      <c r="G302" s="581"/>
      <c r="H302" s="585"/>
      <c r="I302" s="297"/>
    </row>
    <row r="303" spans="2:9" s="580" customFormat="1" ht="14.1" customHeight="1">
      <c r="B303" s="308"/>
      <c r="C303" s="301"/>
      <c r="D303" s="302"/>
      <c r="E303" s="302"/>
      <c r="F303" s="302"/>
      <c r="G303" s="586"/>
      <c r="H303" s="586"/>
      <c r="I303" s="303"/>
    </row>
    <row r="304" spans="2:9" s="580" customFormat="1" ht="14.1" customHeight="1">
      <c r="B304" s="308"/>
      <c r="C304" s="609"/>
      <c r="D304" s="316"/>
      <c r="E304" s="316"/>
      <c r="F304" s="316"/>
      <c r="G304" s="1166" t="s">
        <v>729</v>
      </c>
      <c r="H304" s="1167"/>
      <c r="I304" s="584"/>
    </row>
    <row r="305" spans="2:9" s="580" customFormat="1" ht="14.1" customHeight="1">
      <c r="B305" s="308"/>
      <c r="C305" s="290" t="s">
        <v>12</v>
      </c>
      <c r="D305" s="1113" t="s">
        <v>730</v>
      </c>
      <c r="E305" s="1114"/>
      <c r="F305" s="1114"/>
      <c r="G305" s="1160"/>
      <c r="H305" s="1126"/>
      <c r="I305" s="305"/>
    </row>
    <row r="306" spans="2:9" s="580" customFormat="1" ht="14.1" customHeight="1">
      <c r="B306" s="308"/>
      <c r="C306" s="290" t="s">
        <v>13</v>
      </c>
      <c r="D306" s="1116" t="s">
        <v>816</v>
      </c>
      <c r="E306" s="1117"/>
      <c r="F306" s="1118"/>
      <c r="G306" s="1168" t="s">
        <v>740</v>
      </c>
      <c r="H306" s="1171"/>
      <c r="I306" s="306"/>
    </row>
    <row r="307" spans="2:9" s="580" customFormat="1" ht="14.1" customHeight="1" thickBot="1">
      <c r="B307" s="308"/>
      <c r="C307" s="291" t="s">
        <v>14</v>
      </c>
      <c r="D307" s="1119" t="s">
        <v>817</v>
      </c>
      <c r="E307" s="1120"/>
      <c r="F307" s="1120"/>
      <c r="G307" s="1120"/>
      <c r="H307" s="1121"/>
      <c r="I307" s="307"/>
    </row>
    <row r="308" spans="2:9" s="580" customFormat="1" ht="14.1" customHeight="1">
      <c r="B308" s="308"/>
      <c r="G308" s="589"/>
      <c r="H308" s="589"/>
    </row>
    <row r="309" spans="2:9" s="570" customFormat="1" ht="19.5" customHeight="1" thickBot="1">
      <c r="B309" s="541">
        <v>16</v>
      </c>
      <c r="C309" s="569" t="s">
        <v>1027</v>
      </c>
      <c r="G309" s="541"/>
      <c r="H309" s="541"/>
    </row>
    <row r="310" spans="2:9" s="580" customFormat="1" ht="35.1" customHeight="1" thickBot="1">
      <c r="B310" s="308"/>
      <c r="C310" s="334" t="s">
        <v>840</v>
      </c>
      <c r="D310" s="431" t="s">
        <v>841</v>
      </c>
      <c r="E310" s="431" t="s">
        <v>842</v>
      </c>
      <c r="F310" s="431" t="s">
        <v>843</v>
      </c>
      <c r="G310" s="431" t="s">
        <v>844</v>
      </c>
      <c r="H310" s="431" t="s">
        <v>845</v>
      </c>
      <c r="I310" s="337" t="s">
        <v>846</v>
      </c>
    </row>
    <row r="311" spans="2:9" s="580" customFormat="1" ht="14.1" customHeight="1">
      <c r="B311" s="308"/>
      <c r="C311" s="543" t="s">
        <v>7</v>
      </c>
      <c r="D311" s="289" t="s">
        <v>810</v>
      </c>
      <c r="E311" s="299"/>
      <c r="F311" s="299"/>
      <c r="G311" s="581"/>
      <c r="H311" s="581"/>
      <c r="I311" s="300"/>
    </row>
    <row r="312" spans="2:9" s="580" customFormat="1" ht="14.1" customHeight="1">
      <c r="B312" s="308"/>
      <c r="C312" s="298"/>
      <c r="D312" s="289" t="s">
        <v>10</v>
      </c>
      <c r="E312" s="285" t="s">
        <v>16</v>
      </c>
      <c r="F312" s="285" t="s">
        <v>726</v>
      </c>
      <c r="G312" s="286">
        <v>0.35</v>
      </c>
      <c r="H312" s="581"/>
      <c r="I312" s="300"/>
    </row>
    <row r="313" spans="2:9" s="580" customFormat="1" ht="14.1" customHeight="1">
      <c r="B313" s="308"/>
      <c r="C313" s="298"/>
      <c r="D313" s="289" t="s">
        <v>143</v>
      </c>
      <c r="E313" s="285" t="s">
        <v>22</v>
      </c>
      <c r="F313" s="285" t="s">
        <v>726</v>
      </c>
      <c r="G313" s="286">
        <v>0.15</v>
      </c>
      <c r="H313" s="581"/>
      <c r="I313" s="300"/>
    </row>
    <row r="314" spans="2:9" s="580" customFormat="1" ht="14.1" customHeight="1">
      <c r="B314" s="308"/>
      <c r="C314" s="298"/>
      <c r="D314" s="289" t="s">
        <v>20</v>
      </c>
      <c r="E314" s="285" t="s">
        <v>21</v>
      </c>
      <c r="F314" s="285" t="s">
        <v>726</v>
      </c>
      <c r="G314" s="286">
        <v>1.4999999999999999E-2</v>
      </c>
      <c r="H314" s="581"/>
      <c r="I314" s="300"/>
    </row>
    <row r="315" spans="2:9" s="580" customFormat="1" ht="14.1" customHeight="1">
      <c r="B315" s="308"/>
      <c r="C315" s="301"/>
      <c r="D315" s="177" t="s">
        <v>11</v>
      </c>
      <c r="E315" s="287" t="s">
        <v>17</v>
      </c>
      <c r="F315" s="287" t="s">
        <v>726</v>
      </c>
      <c r="G315" s="288">
        <v>1.7999999999999999E-2</v>
      </c>
      <c r="H315" s="586"/>
      <c r="I315" s="303"/>
    </row>
    <row r="316" spans="2:9" s="580" customFormat="1" ht="14.1" customHeight="1">
      <c r="B316" s="308"/>
      <c r="C316" s="609"/>
      <c r="D316" s="316"/>
      <c r="E316" s="316"/>
      <c r="F316" s="316"/>
      <c r="G316" s="1166" t="s">
        <v>727</v>
      </c>
      <c r="H316" s="1167"/>
      <c r="I316" s="584"/>
    </row>
    <row r="317" spans="2:9" s="580" customFormat="1" ht="14.1" customHeight="1">
      <c r="B317" s="308"/>
      <c r="C317" s="292" t="s">
        <v>8</v>
      </c>
      <c r="D317" s="293" t="s">
        <v>811</v>
      </c>
      <c r="E317" s="296"/>
      <c r="F317" s="296"/>
      <c r="G317" s="585"/>
      <c r="H317" s="585"/>
      <c r="I317" s="297"/>
    </row>
    <row r="318" spans="2:9" s="580" customFormat="1" ht="14.1" customHeight="1">
      <c r="B318" s="308"/>
      <c r="C318" s="298"/>
      <c r="D318" s="289" t="s">
        <v>1658</v>
      </c>
      <c r="E318" s="299"/>
      <c r="F318" s="581" t="s">
        <v>750</v>
      </c>
      <c r="G318" s="286">
        <v>12.5</v>
      </c>
      <c r="H318" s="581"/>
      <c r="I318" s="300"/>
    </row>
    <row r="319" spans="2:9" s="580" customFormat="1" ht="14.1" customHeight="1">
      <c r="B319" s="308"/>
      <c r="C319" s="298"/>
      <c r="D319" s="289" t="s">
        <v>806</v>
      </c>
      <c r="E319" s="299"/>
      <c r="F319" s="285" t="s">
        <v>734</v>
      </c>
      <c r="G319" s="286">
        <v>30.32</v>
      </c>
      <c r="H319" s="581"/>
      <c r="I319" s="300"/>
    </row>
    <row r="320" spans="2:9" s="580" customFormat="1" ht="14.1" customHeight="1">
      <c r="B320" s="308"/>
      <c r="C320" s="298"/>
      <c r="D320" s="289" t="s">
        <v>211</v>
      </c>
      <c r="E320" s="299"/>
      <c r="F320" s="581" t="s">
        <v>750</v>
      </c>
      <c r="G320" s="621">
        <v>0.72799999999999998</v>
      </c>
      <c r="H320" s="581"/>
      <c r="I320" s="300"/>
    </row>
    <row r="321" spans="2:9" s="580" customFormat="1" ht="14.1" customHeight="1">
      <c r="B321" s="308"/>
      <c r="C321" s="301"/>
      <c r="D321" s="177" t="s">
        <v>1002</v>
      </c>
      <c r="E321" s="302"/>
      <c r="F321" s="287" t="s">
        <v>734</v>
      </c>
      <c r="G321" s="288">
        <v>0.28000000000000003</v>
      </c>
      <c r="H321" s="586"/>
      <c r="I321" s="303"/>
    </row>
    <row r="322" spans="2:9" s="580" customFormat="1" ht="14.1" customHeight="1">
      <c r="B322" s="308"/>
      <c r="C322" s="609"/>
      <c r="D322" s="316"/>
      <c r="E322" s="316"/>
      <c r="F322" s="316"/>
      <c r="G322" s="1166" t="s">
        <v>728</v>
      </c>
      <c r="H322" s="1167"/>
      <c r="I322" s="584"/>
    </row>
    <row r="323" spans="2:9" s="580" customFormat="1" ht="14.1" customHeight="1">
      <c r="B323" s="308"/>
      <c r="C323" s="292" t="s">
        <v>9</v>
      </c>
      <c r="D323" s="293" t="s">
        <v>815</v>
      </c>
      <c r="E323" s="296"/>
      <c r="F323" s="296"/>
      <c r="G323" s="585"/>
      <c r="H323" s="585"/>
      <c r="I323" s="297"/>
    </row>
    <row r="324" spans="2:9" s="580" customFormat="1" ht="14.1" customHeight="1">
      <c r="B324" s="308"/>
      <c r="C324" s="301"/>
      <c r="D324" s="302"/>
      <c r="E324" s="302"/>
      <c r="F324" s="302"/>
      <c r="G324" s="586"/>
      <c r="H324" s="586"/>
      <c r="I324" s="303"/>
    </row>
    <row r="325" spans="2:9" s="580" customFormat="1" ht="14.1" customHeight="1">
      <c r="B325" s="308"/>
      <c r="C325" s="609"/>
      <c r="D325" s="316"/>
      <c r="E325" s="316"/>
      <c r="F325" s="316"/>
      <c r="G325" s="1170" t="s">
        <v>729</v>
      </c>
      <c r="H325" s="1170"/>
      <c r="I325" s="631"/>
    </row>
    <row r="326" spans="2:9" s="580" customFormat="1" ht="14.1" customHeight="1">
      <c r="B326" s="308"/>
      <c r="C326" s="290" t="s">
        <v>12</v>
      </c>
      <c r="D326" s="1113" t="s">
        <v>730</v>
      </c>
      <c r="E326" s="1114"/>
      <c r="F326" s="1114"/>
      <c r="G326" s="1114"/>
      <c r="H326" s="1114"/>
      <c r="I326" s="306"/>
    </row>
    <row r="327" spans="2:9" s="580" customFormat="1" ht="14.1" customHeight="1">
      <c r="B327" s="308"/>
      <c r="C327" s="290" t="s">
        <v>13</v>
      </c>
      <c r="D327" s="1116" t="s">
        <v>816</v>
      </c>
      <c r="E327" s="1117"/>
      <c r="F327" s="1117"/>
      <c r="G327" s="1168" t="s">
        <v>740</v>
      </c>
      <c r="H327" s="1169"/>
      <c r="I327" s="306"/>
    </row>
    <row r="328" spans="2:9" s="580" customFormat="1" ht="14.1" customHeight="1" thickBot="1">
      <c r="B328" s="308"/>
      <c r="C328" s="291" t="s">
        <v>14</v>
      </c>
      <c r="D328" s="1119" t="s">
        <v>817</v>
      </c>
      <c r="E328" s="1120"/>
      <c r="F328" s="1120"/>
      <c r="G328" s="1120"/>
      <c r="H328" s="1121"/>
      <c r="I328" s="307"/>
    </row>
    <row r="329" spans="2:9" s="580" customFormat="1" ht="14.1" customHeight="1">
      <c r="B329" s="308"/>
      <c r="C329" s="624"/>
      <c r="G329" s="589"/>
      <c r="H329" s="589"/>
    </row>
    <row r="330" spans="2:9" s="570" customFormat="1" ht="16.5" customHeight="1" thickBot="1">
      <c r="B330" s="541">
        <v>17</v>
      </c>
      <c r="C330" s="569" t="s">
        <v>1028</v>
      </c>
      <c r="G330" s="541"/>
      <c r="H330" s="541"/>
    </row>
    <row r="331" spans="2:9" s="580" customFormat="1" ht="35.1" customHeight="1" thickBot="1">
      <c r="B331" s="308"/>
      <c r="C331" s="334" t="s">
        <v>840</v>
      </c>
      <c r="D331" s="335" t="s">
        <v>841</v>
      </c>
      <c r="E331" s="431" t="s">
        <v>842</v>
      </c>
      <c r="F331" s="431" t="s">
        <v>843</v>
      </c>
      <c r="G331" s="431" t="s">
        <v>844</v>
      </c>
      <c r="H331" s="431" t="s">
        <v>845</v>
      </c>
      <c r="I331" s="337" t="s">
        <v>846</v>
      </c>
    </row>
    <row r="332" spans="2:9" s="580" customFormat="1" ht="14.1" customHeight="1">
      <c r="B332" s="308"/>
      <c r="C332" s="543" t="s">
        <v>7</v>
      </c>
      <c r="D332" s="289" t="s">
        <v>810</v>
      </c>
      <c r="E332" s="299"/>
      <c r="F332" s="299"/>
      <c r="G332" s="581"/>
      <c r="H332" s="581"/>
      <c r="I332" s="300"/>
    </row>
    <row r="333" spans="2:9" s="580" customFormat="1" ht="14.1" customHeight="1">
      <c r="B333" s="308"/>
      <c r="C333" s="298"/>
      <c r="D333" s="289" t="s">
        <v>10</v>
      </c>
      <c r="E333" s="285" t="s">
        <v>16</v>
      </c>
      <c r="F333" s="285" t="s">
        <v>726</v>
      </c>
      <c r="G333" s="286">
        <v>0.35</v>
      </c>
      <c r="H333" s="581"/>
      <c r="I333" s="300"/>
    </row>
    <row r="334" spans="2:9" s="580" customFormat="1" ht="14.1" customHeight="1">
      <c r="B334" s="308"/>
      <c r="C334" s="298"/>
      <c r="D334" s="289" t="s">
        <v>143</v>
      </c>
      <c r="E334" s="285" t="s">
        <v>22</v>
      </c>
      <c r="F334" s="285" t="s">
        <v>726</v>
      </c>
      <c r="G334" s="286">
        <v>0.15</v>
      </c>
      <c r="H334" s="581"/>
      <c r="I334" s="300"/>
    </row>
    <row r="335" spans="2:9" s="580" customFormat="1" ht="14.1" customHeight="1">
      <c r="B335" s="308"/>
      <c r="C335" s="298"/>
      <c r="D335" s="289" t="s">
        <v>20</v>
      </c>
      <c r="E335" s="285" t="s">
        <v>21</v>
      </c>
      <c r="F335" s="285" t="s">
        <v>726</v>
      </c>
      <c r="G335" s="286">
        <v>1.4999999999999999E-2</v>
      </c>
      <c r="H335" s="581"/>
      <c r="I335" s="300"/>
    </row>
    <row r="336" spans="2:9" s="580" customFormat="1" ht="14.1" customHeight="1">
      <c r="B336" s="308"/>
      <c r="C336" s="301"/>
      <c r="D336" s="177" t="s">
        <v>11</v>
      </c>
      <c r="E336" s="287" t="s">
        <v>17</v>
      </c>
      <c r="F336" s="287" t="s">
        <v>726</v>
      </c>
      <c r="G336" s="288">
        <v>1.7999999999999999E-2</v>
      </c>
      <c r="H336" s="586"/>
      <c r="I336" s="303"/>
    </row>
    <row r="337" spans="2:9" s="580" customFormat="1" ht="14.1" customHeight="1">
      <c r="B337" s="308"/>
      <c r="C337" s="609"/>
      <c r="D337" s="316"/>
      <c r="E337" s="316"/>
      <c r="F337" s="316"/>
      <c r="G337" s="1166" t="s">
        <v>727</v>
      </c>
      <c r="H337" s="1167"/>
      <c r="I337" s="584"/>
    </row>
    <row r="338" spans="2:9" s="580" customFormat="1" ht="14.1" customHeight="1">
      <c r="B338" s="308"/>
      <c r="C338" s="292" t="s">
        <v>8</v>
      </c>
      <c r="D338" s="293" t="s">
        <v>811</v>
      </c>
      <c r="E338" s="296"/>
      <c r="F338" s="296"/>
      <c r="G338" s="585"/>
      <c r="H338" s="585"/>
      <c r="I338" s="297"/>
    </row>
    <row r="339" spans="2:9" s="580" customFormat="1" ht="14.1" customHeight="1">
      <c r="B339" s="308"/>
      <c r="C339" s="298"/>
      <c r="D339" s="289" t="s">
        <v>1656</v>
      </c>
      <c r="E339" s="299"/>
      <c r="F339" s="581" t="s">
        <v>750</v>
      </c>
      <c r="G339" s="286">
        <v>12.5</v>
      </c>
      <c r="H339" s="581"/>
      <c r="I339" s="300"/>
    </row>
    <row r="340" spans="2:9" s="580" customFormat="1" ht="14.1" customHeight="1">
      <c r="B340" s="308"/>
      <c r="C340" s="298"/>
      <c r="D340" s="289" t="s">
        <v>806</v>
      </c>
      <c r="E340" s="299"/>
      <c r="F340" s="285" t="s">
        <v>734</v>
      </c>
      <c r="G340" s="286">
        <v>24.26</v>
      </c>
      <c r="H340" s="581"/>
      <c r="I340" s="300"/>
    </row>
    <row r="341" spans="2:9" s="580" customFormat="1" ht="14.1" customHeight="1">
      <c r="B341" s="308"/>
      <c r="C341" s="298"/>
      <c r="D341" s="289" t="s">
        <v>211</v>
      </c>
      <c r="E341" s="299"/>
      <c r="F341" s="581" t="s">
        <v>750</v>
      </c>
      <c r="G341" s="286">
        <v>0.77200000000000002</v>
      </c>
      <c r="H341" s="581"/>
      <c r="I341" s="300"/>
    </row>
    <row r="342" spans="2:9" s="580" customFormat="1" ht="14.1" customHeight="1">
      <c r="B342" s="308"/>
      <c r="C342" s="301"/>
      <c r="D342" s="177" t="s">
        <v>1002</v>
      </c>
      <c r="E342" s="302"/>
      <c r="F342" s="287" t="s">
        <v>734</v>
      </c>
      <c r="G342" s="288">
        <v>0.28000000000000003</v>
      </c>
      <c r="H342" s="586"/>
      <c r="I342" s="303"/>
    </row>
    <row r="343" spans="2:9" s="580" customFormat="1" ht="14.1" customHeight="1">
      <c r="B343" s="308"/>
      <c r="C343" s="609"/>
      <c r="D343" s="316"/>
      <c r="E343" s="316"/>
      <c r="F343" s="316"/>
      <c r="G343" s="1166" t="s">
        <v>728</v>
      </c>
      <c r="H343" s="1167"/>
      <c r="I343" s="584"/>
    </row>
    <row r="344" spans="2:9" s="580" customFormat="1" ht="14.1" customHeight="1">
      <c r="B344" s="308"/>
      <c r="C344" s="292" t="s">
        <v>9</v>
      </c>
      <c r="D344" s="293" t="s">
        <v>815</v>
      </c>
      <c r="E344" s="296"/>
      <c r="F344" s="296"/>
      <c r="G344" s="585"/>
      <c r="H344" s="585"/>
      <c r="I344" s="297"/>
    </row>
    <row r="345" spans="2:9" s="580" customFormat="1" ht="14.1" customHeight="1">
      <c r="B345" s="308"/>
      <c r="C345" s="301"/>
      <c r="D345" s="302"/>
      <c r="E345" s="302"/>
      <c r="F345" s="302"/>
      <c r="G345" s="586"/>
      <c r="H345" s="586"/>
      <c r="I345" s="303"/>
    </row>
    <row r="346" spans="2:9" s="580" customFormat="1" ht="14.1" customHeight="1">
      <c r="B346" s="308"/>
      <c r="C346" s="609"/>
      <c r="D346" s="316"/>
      <c r="E346" s="316"/>
      <c r="F346" s="316"/>
      <c r="G346" s="1170" t="s">
        <v>729</v>
      </c>
      <c r="H346" s="1170"/>
      <c r="I346" s="631"/>
    </row>
    <row r="347" spans="2:9" s="580" customFormat="1" ht="14.1" customHeight="1">
      <c r="B347" s="308"/>
      <c r="C347" s="290" t="s">
        <v>12</v>
      </c>
      <c r="D347" s="1113" t="s">
        <v>730</v>
      </c>
      <c r="E347" s="1114"/>
      <c r="F347" s="1114"/>
      <c r="G347" s="1114"/>
      <c r="H347" s="1114"/>
      <c r="I347" s="306"/>
    </row>
    <row r="348" spans="2:9" s="580" customFormat="1" ht="14.1" customHeight="1">
      <c r="B348" s="308"/>
      <c r="C348" s="290" t="s">
        <v>13</v>
      </c>
      <c r="D348" s="1116" t="s">
        <v>816</v>
      </c>
      <c r="E348" s="1117"/>
      <c r="F348" s="1117"/>
      <c r="G348" s="1168" t="s">
        <v>740</v>
      </c>
      <c r="H348" s="1169"/>
      <c r="I348" s="306"/>
    </row>
    <row r="349" spans="2:9" s="580" customFormat="1" ht="14.1" customHeight="1" thickBot="1">
      <c r="B349" s="308"/>
      <c r="C349" s="291" t="s">
        <v>14</v>
      </c>
      <c r="D349" s="1119" t="s">
        <v>817</v>
      </c>
      <c r="E349" s="1120"/>
      <c r="F349" s="1120"/>
      <c r="G349" s="1120"/>
      <c r="H349" s="1120"/>
      <c r="I349" s="307"/>
    </row>
    <row r="350" spans="2:9" s="580" customFormat="1" ht="14.1" customHeight="1">
      <c r="B350" s="308"/>
      <c r="G350" s="589"/>
      <c r="H350" s="589"/>
    </row>
    <row r="351" spans="2:9" s="567" customFormat="1" ht="18" customHeight="1" thickBot="1">
      <c r="B351" s="541">
        <v>18</v>
      </c>
      <c r="C351" s="566" t="s">
        <v>1029</v>
      </c>
      <c r="G351" s="596"/>
      <c r="H351" s="596"/>
    </row>
    <row r="352" spans="2:9" s="308" customFormat="1" ht="35.1" customHeight="1" thickBot="1">
      <c r="C352" s="334" t="s">
        <v>840</v>
      </c>
      <c r="D352" s="335" t="s">
        <v>841</v>
      </c>
      <c r="E352" s="431" t="s">
        <v>842</v>
      </c>
      <c r="F352" s="335" t="s">
        <v>843</v>
      </c>
      <c r="G352" s="335" t="s">
        <v>844</v>
      </c>
      <c r="H352" s="335" t="s">
        <v>845</v>
      </c>
      <c r="I352" s="337" t="s">
        <v>846</v>
      </c>
    </row>
    <row r="353" spans="2:9" s="580" customFormat="1" ht="14.1" customHeight="1">
      <c r="B353" s="308"/>
      <c r="C353" s="543" t="s">
        <v>7</v>
      </c>
      <c r="D353" s="289" t="s">
        <v>810</v>
      </c>
      <c r="E353" s="299"/>
      <c r="F353" s="299"/>
      <c r="G353" s="581"/>
      <c r="H353" s="581"/>
      <c r="I353" s="300"/>
    </row>
    <row r="354" spans="2:9" s="580" customFormat="1" ht="14.1" customHeight="1">
      <c r="B354" s="308"/>
      <c r="C354" s="298"/>
      <c r="D354" s="289" t="s">
        <v>10</v>
      </c>
      <c r="E354" s="285" t="s">
        <v>16</v>
      </c>
      <c r="F354" s="285" t="s">
        <v>726</v>
      </c>
      <c r="G354" s="286">
        <v>0.32</v>
      </c>
      <c r="H354" s="581"/>
      <c r="I354" s="300"/>
    </row>
    <row r="355" spans="2:9" s="580" customFormat="1" ht="14.1" customHeight="1">
      <c r="B355" s="308"/>
      <c r="C355" s="298"/>
      <c r="D355" s="289" t="s">
        <v>143</v>
      </c>
      <c r="E355" s="285" t="s">
        <v>22</v>
      </c>
      <c r="F355" s="285" t="s">
        <v>726</v>
      </c>
      <c r="G355" s="286">
        <v>0.12</v>
      </c>
      <c r="H355" s="581"/>
      <c r="I355" s="300"/>
    </row>
    <row r="356" spans="2:9" s="580" customFormat="1" ht="14.1" customHeight="1">
      <c r="B356" s="308"/>
      <c r="C356" s="298"/>
      <c r="D356" s="289" t="s">
        <v>20</v>
      </c>
      <c r="E356" s="285" t="s">
        <v>21</v>
      </c>
      <c r="F356" s="285" t="s">
        <v>726</v>
      </c>
      <c r="G356" s="286">
        <v>1.2E-2</v>
      </c>
      <c r="H356" s="581"/>
      <c r="I356" s="300"/>
    </row>
    <row r="357" spans="2:9" s="580" customFormat="1" ht="14.1" customHeight="1">
      <c r="B357" s="308"/>
      <c r="C357" s="301"/>
      <c r="D357" s="177" t="s">
        <v>11</v>
      </c>
      <c r="E357" s="287" t="s">
        <v>17</v>
      </c>
      <c r="F357" s="287" t="s">
        <v>726</v>
      </c>
      <c r="G357" s="288">
        <v>1.6E-2</v>
      </c>
      <c r="H357" s="586"/>
      <c r="I357" s="303"/>
    </row>
    <row r="358" spans="2:9" s="580" customFormat="1" ht="14.1" customHeight="1">
      <c r="B358" s="308"/>
      <c r="C358" s="609"/>
      <c r="D358" s="316"/>
      <c r="E358" s="316"/>
      <c r="F358" s="316"/>
      <c r="G358" s="1166" t="s">
        <v>727</v>
      </c>
      <c r="H358" s="1167"/>
      <c r="I358" s="584"/>
    </row>
    <row r="359" spans="2:9" s="580" customFormat="1" ht="14.1" customHeight="1">
      <c r="B359" s="308"/>
      <c r="C359" s="292" t="s">
        <v>8</v>
      </c>
      <c r="D359" s="293" t="s">
        <v>811</v>
      </c>
      <c r="E359" s="296"/>
      <c r="F359" s="296"/>
      <c r="G359" s="585"/>
      <c r="H359" s="585"/>
      <c r="I359" s="297"/>
    </row>
    <row r="360" spans="2:9" s="580" customFormat="1" ht="14.1" customHeight="1">
      <c r="B360" s="308"/>
      <c r="C360" s="298"/>
      <c r="D360" s="289" t="s">
        <v>1654</v>
      </c>
      <c r="E360" s="299"/>
      <c r="F360" s="581" t="s">
        <v>750</v>
      </c>
      <c r="G360" s="286">
        <v>12.5</v>
      </c>
      <c r="H360" s="581"/>
      <c r="I360" s="300"/>
    </row>
    <row r="361" spans="2:9" s="580" customFormat="1" ht="14.1" customHeight="1">
      <c r="B361" s="308"/>
      <c r="C361" s="298"/>
      <c r="D361" s="289" t="s">
        <v>806</v>
      </c>
      <c r="E361" s="299"/>
      <c r="F361" s="285" t="s">
        <v>734</v>
      </c>
      <c r="G361" s="286">
        <v>22.74</v>
      </c>
      <c r="H361" s="581"/>
      <c r="I361" s="300"/>
    </row>
    <row r="362" spans="2:9" s="580" customFormat="1" ht="14.1" customHeight="1">
      <c r="B362" s="308"/>
      <c r="C362" s="298"/>
      <c r="D362" s="289" t="s">
        <v>211</v>
      </c>
      <c r="E362" s="299"/>
      <c r="F362" s="581" t="s">
        <v>750</v>
      </c>
      <c r="G362" s="286">
        <v>0.55000000000000004</v>
      </c>
      <c r="H362" s="581"/>
      <c r="I362" s="300"/>
    </row>
    <row r="363" spans="2:9" s="580" customFormat="1" ht="14.1" customHeight="1">
      <c r="B363" s="308"/>
      <c r="C363" s="301"/>
      <c r="D363" s="177" t="s">
        <v>1002</v>
      </c>
      <c r="E363" s="302"/>
      <c r="F363" s="287" t="s">
        <v>734</v>
      </c>
      <c r="G363" s="288">
        <v>0.28000000000000003</v>
      </c>
      <c r="H363" s="586"/>
      <c r="I363" s="303"/>
    </row>
    <row r="364" spans="2:9" s="580" customFormat="1" ht="14.1" customHeight="1">
      <c r="B364" s="308"/>
      <c r="C364" s="609"/>
      <c r="D364" s="316"/>
      <c r="E364" s="316"/>
      <c r="F364" s="316"/>
      <c r="G364" s="1166" t="s">
        <v>728</v>
      </c>
      <c r="H364" s="1167"/>
      <c r="I364" s="584"/>
    </row>
    <row r="365" spans="2:9" s="580" customFormat="1" ht="14.1" customHeight="1">
      <c r="B365" s="308"/>
      <c r="C365" s="292" t="s">
        <v>9</v>
      </c>
      <c r="D365" s="293" t="s">
        <v>815</v>
      </c>
      <c r="E365" s="296"/>
      <c r="F365" s="296"/>
      <c r="G365" s="585"/>
      <c r="H365" s="585"/>
      <c r="I365" s="297"/>
    </row>
    <row r="366" spans="2:9" s="580" customFormat="1" ht="14.1" customHeight="1">
      <c r="B366" s="308"/>
      <c r="C366" s="301"/>
      <c r="D366" s="302"/>
      <c r="E366" s="302"/>
      <c r="F366" s="302"/>
      <c r="G366" s="586"/>
      <c r="H366" s="586"/>
      <c r="I366" s="303"/>
    </row>
    <row r="367" spans="2:9" s="580" customFormat="1" ht="14.1" customHeight="1">
      <c r="B367" s="308"/>
      <c r="C367" s="609"/>
      <c r="D367" s="316"/>
      <c r="E367" s="316"/>
      <c r="F367" s="316"/>
      <c r="G367" s="1166" t="s">
        <v>729</v>
      </c>
      <c r="H367" s="1167"/>
      <c r="I367" s="631"/>
    </row>
    <row r="368" spans="2:9" s="580" customFormat="1" ht="14.1" customHeight="1">
      <c r="B368" s="308"/>
      <c r="C368" s="290" t="s">
        <v>12</v>
      </c>
      <c r="D368" s="1113" t="s">
        <v>730</v>
      </c>
      <c r="E368" s="1114"/>
      <c r="F368" s="1114"/>
      <c r="G368" s="1160"/>
      <c r="H368" s="1126"/>
      <c r="I368" s="306"/>
    </row>
    <row r="369" spans="2:9" s="580" customFormat="1" ht="14.1" customHeight="1">
      <c r="B369" s="308"/>
      <c r="C369" s="290" t="s">
        <v>13</v>
      </c>
      <c r="D369" s="1116" t="s">
        <v>816</v>
      </c>
      <c r="E369" s="1117"/>
      <c r="F369" s="1118"/>
      <c r="G369" s="1168" t="s">
        <v>740</v>
      </c>
      <c r="H369" s="1171"/>
      <c r="I369" s="306"/>
    </row>
    <row r="370" spans="2:9" s="580" customFormat="1" ht="14.1" customHeight="1" thickBot="1">
      <c r="B370" s="308"/>
      <c r="C370" s="291" t="s">
        <v>14</v>
      </c>
      <c r="D370" s="1119" t="s">
        <v>817</v>
      </c>
      <c r="E370" s="1120"/>
      <c r="F370" s="1120"/>
      <c r="G370" s="1120"/>
      <c r="H370" s="1121"/>
      <c r="I370" s="307"/>
    </row>
    <row r="371" spans="2:9" s="570" customFormat="1" ht="15" customHeight="1" thickBot="1">
      <c r="B371" s="541">
        <v>19</v>
      </c>
      <c r="C371" s="569" t="s">
        <v>1030</v>
      </c>
      <c r="G371" s="541"/>
      <c r="H371" s="541"/>
    </row>
    <row r="372" spans="2:9" s="308" customFormat="1" ht="35.1" customHeight="1" thickBot="1">
      <c r="C372" s="334" t="s">
        <v>840</v>
      </c>
      <c r="D372" s="335" t="s">
        <v>841</v>
      </c>
      <c r="E372" s="431" t="s">
        <v>842</v>
      </c>
      <c r="F372" s="335" t="s">
        <v>843</v>
      </c>
      <c r="G372" s="335" t="s">
        <v>844</v>
      </c>
      <c r="H372" s="335" t="s">
        <v>845</v>
      </c>
      <c r="I372" s="337" t="s">
        <v>846</v>
      </c>
    </row>
    <row r="373" spans="2:9" s="580" customFormat="1" ht="14.1" customHeight="1">
      <c r="B373" s="308"/>
      <c r="C373" s="543" t="s">
        <v>7</v>
      </c>
      <c r="D373" s="289" t="s">
        <v>810</v>
      </c>
      <c r="E373" s="299"/>
      <c r="F373" s="299"/>
      <c r="G373" s="581"/>
      <c r="H373" s="581"/>
      <c r="I373" s="300"/>
    </row>
    <row r="374" spans="2:9" s="580" customFormat="1" ht="14.1" customHeight="1">
      <c r="B374" s="308"/>
      <c r="C374" s="298"/>
      <c r="D374" s="289" t="s">
        <v>10</v>
      </c>
      <c r="E374" s="285" t="s">
        <v>16</v>
      </c>
      <c r="F374" s="285" t="s">
        <v>726</v>
      </c>
      <c r="G374" s="286">
        <v>0.32</v>
      </c>
      <c r="H374" s="581"/>
      <c r="I374" s="300"/>
    </row>
    <row r="375" spans="2:9" s="580" customFormat="1" ht="14.1" customHeight="1">
      <c r="B375" s="308"/>
      <c r="C375" s="298"/>
      <c r="D375" s="289" t="s">
        <v>143</v>
      </c>
      <c r="E375" s="285" t="s">
        <v>22</v>
      </c>
      <c r="F375" s="285" t="s">
        <v>726</v>
      </c>
      <c r="G375" s="286">
        <v>0.12</v>
      </c>
      <c r="H375" s="581"/>
      <c r="I375" s="300"/>
    </row>
    <row r="376" spans="2:9" s="580" customFormat="1" ht="14.1" customHeight="1">
      <c r="B376" s="308"/>
      <c r="C376" s="298"/>
      <c r="D376" s="289" t="s">
        <v>20</v>
      </c>
      <c r="E376" s="285" t="s">
        <v>21</v>
      </c>
      <c r="F376" s="285" t="s">
        <v>726</v>
      </c>
      <c r="G376" s="286">
        <v>1.2E-2</v>
      </c>
      <c r="H376" s="581"/>
      <c r="I376" s="300"/>
    </row>
    <row r="377" spans="2:9" s="580" customFormat="1" ht="14.1" customHeight="1">
      <c r="B377" s="308"/>
      <c r="C377" s="301"/>
      <c r="D377" s="177" t="s">
        <v>11</v>
      </c>
      <c r="E377" s="287" t="s">
        <v>17</v>
      </c>
      <c r="F377" s="287" t="s">
        <v>726</v>
      </c>
      <c r="G377" s="288">
        <v>1.6E-2</v>
      </c>
      <c r="H377" s="586"/>
      <c r="I377" s="303"/>
    </row>
    <row r="378" spans="2:9" s="580" customFormat="1" ht="14.1" customHeight="1">
      <c r="B378" s="308"/>
      <c r="C378" s="609"/>
      <c r="D378" s="316"/>
      <c r="E378" s="316"/>
      <c r="F378" s="316"/>
      <c r="G378" s="1166" t="s">
        <v>727</v>
      </c>
      <c r="H378" s="1167"/>
      <c r="I378" s="584"/>
    </row>
    <row r="379" spans="2:9" s="580" customFormat="1" ht="14.1" customHeight="1">
      <c r="B379" s="308"/>
      <c r="C379" s="292" t="s">
        <v>8</v>
      </c>
      <c r="D379" s="293" t="s">
        <v>811</v>
      </c>
      <c r="E379" s="296"/>
      <c r="F379" s="296"/>
      <c r="G379" s="585"/>
      <c r="H379" s="585"/>
      <c r="I379" s="297"/>
    </row>
    <row r="380" spans="2:9" s="580" customFormat="1" ht="14.1" customHeight="1">
      <c r="B380" s="308"/>
      <c r="C380" s="298"/>
      <c r="D380" s="289" t="s">
        <v>1654</v>
      </c>
      <c r="E380" s="299"/>
      <c r="F380" s="581" t="s">
        <v>750</v>
      </c>
      <c r="G380" s="286">
        <v>12.5</v>
      </c>
      <c r="H380" s="581"/>
      <c r="I380" s="300"/>
    </row>
    <row r="381" spans="2:9" s="580" customFormat="1" ht="14.1" customHeight="1">
      <c r="B381" s="308"/>
      <c r="C381" s="298"/>
      <c r="D381" s="289" t="s">
        <v>806</v>
      </c>
      <c r="E381" s="299"/>
      <c r="F381" s="285" t="s">
        <v>734</v>
      </c>
      <c r="G381" s="286">
        <v>18.2</v>
      </c>
      <c r="H381" s="581"/>
      <c r="I381" s="300"/>
    </row>
    <row r="382" spans="2:9" s="580" customFormat="1" ht="14.1" customHeight="1">
      <c r="B382" s="308"/>
      <c r="C382" s="298"/>
      <c r="D382" s="289" t="s">
        <v>211</v>
      </c>
      <c r="E382" s="299"/>
      <c r="F382" s="581" t="s">
        <v>750</v>
      </c>
      <c r="G382" s="286">
        <v>0.58199999999999996</v>
      </c>
      <c r="H382" s="581"/>
      <c r="I382" s="300"/>
    </row>
    <row r="383" spans="2:9" s="580" customFormat="1" ht="14.1" customHeight="1">
      <c r="B383" s="308"/>
      <c r="C383" s="301"/>
      <c r="D383" s="177" t="s">
        <v>1002</v>
      </c>
      <c r="E383" s="302"/>
      <c r="F383" s="287" t="s">
        <v>734</v>
      </c>
      <c r="G383" s="288">
        <v>0.28000000000000003</v>
      </c>
      <c r="H383" s="586"/>
      <c r="I383" s="303"/>
    </row>
    <row r="384" spans="2:9" s="580" customFormat="1" ht="14.1" customHeight="1">
      <c r="B384" s="308"/>
      <c r="C384" s="609"/>
      <c r="D384" s="316"/>
      <c r="E384" s="316"/>
      <c r="F384" s="316"/>
      <c r="G384" s="1166" t="s">
        <v>728</v>
      </c>
      <c r="H384" s="1167"/>
      <c r="I384" s="584"/>
    </row>
    <row r="385" spans="2:9" s="580" customFormat="1" ht="14.1" customHeight="1">
      <c r="B385" s="308"/>
      <c r="C385" s="292" t="s">
        <v>9</v>
      </c>
      <c r="D385" s="293" t="s">
        <v>815</v>
      </c>
      <c r="E385" s="296"/>
      <c r="F385" s="296"/>
      <c r="G385" s="585"/>
      <c r="H385" s="585"/>
      <c r="I385" s="297"/>
    </row>
    <row r="386" spans="2:9" s="580" customFormat="1" ht="14.1" customHeight="1">
      <c r="B386" s="308"/>
      <c r="C386" s="301"/>
      <c r="D386" s="302"/>
      <c r="E386" s="302"/>
      <c r="F386" s="302"/>
      <c r="G386" s="586"/>
      <c r="H386" s="586"/>
      <c r="I386" s="303"/>
    </row>
    <row r="387" spans="2:9" s="580" customFormat="1" ht="14.1" customHeight="1">
      <c r="B387" s="308"/>
      <c r="C387" s="609"/>
      <c r="D387" s="316"/>
      <c r="E387" s="316"/>
      <c r="F387" s="316"/>
      <c r="G387" s="1166" t="s">
        <v>729</v>
      </c>
      <c r="H387" s="1167"/>
      <c r="I387" s="584"/>
    </row>
    <row r="388" spans="2:9" s="580" customFormat="1" ht="14.1" customHeight="1">
      <c r="B388" s="308"/>
      <c r="C388" s="290" t="s">
        <v>12</v>
      </c>
      <c r="D388" s="1113" t="s">
        <v>730</v>
      </c>
      <c r="E388" s="1114"/>
      <c r="F388" s="1114"/>
      <c r="G388" s="1160"/>
      <c r="H388" s="1126"/>
      <c r="I388" s="305"/>
    </row>
    <row r="389" spans="2:9" s="580" customFormat="1" ht="14.1" customHeight="1">
      <c r="B389" s="308"/>
      <c r="C389" s="290" t="s">
        <v>13</v>
      </c>
      <c r="D389" s="1116" t="s">
        <v>816</v>
      </c>
      <c r="E389" s="1117"/>
      <c r="F389" s="1118"/>
      <c r="G389" s="1168" t="s">
        <v>740</v>
      </c>
      <c r="H389" s="1171"/>
      <c r="I389" s="306"/>
    </row>
    <row r="390" spans="2:9" s="580" customFormat="1" ht="14.1" customHeight="1" thickBot="1">
      <c r="B390" s="308"/>
      <c r="C390" s="291" t="s">
        <v>14</v>
      </c>
      <c r="D390" s="1119" t="s">
        <v>817</v>
      </c>
      <c r="E390" s="1120"/>
      <c r="F390" s="1120"/>
      <c r="G390" s="1120"/>
      <c r="H390" s="1121"/>
      <c r="I390" s="307"/>
    </row>
    <row r="391" spans="2:9" s="580" customFormat="1" ht="14.1" customHeight="1">
      <c r="B391" s="308"/>
      <c r="G391" s="589"/>
      <c r="H391" s="589"/>
    </row>
    <row r="392" spans="2:9" s="570" customFormat="1" ht="17.25" customHeight="1" thickBot="1">
      <c r="B392" s="541">
        <v>20</v>
      </c>
      <c r="C392" s="566" t="s">
        <v>1031</v>
      </c>
      <c r="G392" s="541"/>
      <c r="H392" s="541"/>
    </row>
    <row r="393" spans="2:9" s="580" customFormat="1" ht="35.1" customHeight="1" thickBot="1">
      <c r="B393" s="308"/>
      <c r="C393" s="334" t="s">
        <v>840</v>
      </c>
      <c r="D393" s="335" t="s">
        <v>841</v>
      </c>
      <c r="E393" s="431" t="s">
        <v>842</v>
      </c>
      <c r="F393" s="335" t="s">
        <v>843</v>
      </c>
      <c r="G393" s="335" t="s">
        <v>844</v>
      </c>
      <c r="H393" s="335" t="s">
        <v>845</v>
      </c>
      <c r="I393" s="337" t="s">
        <v>846</v>
      </c>
    </row>
    <row r="394" spans="2:9" s="580" customFormat="1" ht="14.1" customHeight="1">
      <c r="B394" s="308"/>
      <c r="C394" s="543" t="s">
        <v>7</v>
      </c>
      <c r="D394" s="289" t="s">
        <v>810</v>
      </c>
      <c r="E394" s="299"/>
      <c r="F394" s="299"/>
      <c r="G394" s="581"/>
      <c r="H394" s="581"/>
      <c r="I394" s="300"/>
    </row>
    <row r="395" spans="2:9" s="580" customFormat="1" ht="14.1" customHeight="1">
      <c r="B395" s="308"/>
      <c r="C395" s="298"/>
      <c r="D395" s="289" t="s">
        <v>10</v>
      </c>
      <c r="E395" s="285" t="s">
        <v>16</v>
      </c>
      <c r="F395" s="285" t="s">
        <v>726</v>
      </c>
      <c r="G395" s="286">
        <v>0.3</v>
      </c>
      <c r="H395" s="581"/>
      <c r="I395" s="300"/>
    </row>
    <row r="396" spans="2:9" s="580" customFormat="1" ht="14.1" customHeight="1">
      <c r="B396" s="308"/>
      <c r="C396" s="298"/>
      <c r="D396" s="289" t="s">
        <v>143</v>
      </c>
      <c r="E396" s="285" t="s">
        <v>22</v>
      </c>
      <c r="F396" s="285" t="s">
        <v>726</v>
      </c>
      <c r="G396" s="286">
        <v>0.1</v>
      </c>
      <c r="H396" s="581"/>
      <c r="I396" s="300"/>
    </row>
    <row r="397" spans="2:9" s="580" customFormat="1" ht="14.1" customHeight="1">
      <c r="B397" s="308"/>
      <c r="C397" s="298"/>
      <c r="D397" s="289" t="s">
        <v>20</v>
      </c>
      <c r="E397" s="285" t="s">
        <v>21</v>
      </c>
      <c r="F397" s="285" t="s">
        <v>726</v>
      </c>
      <c r="G397" s="286">
        <v>0.01</v>
      </c>
      <c r="H397" s="581"/>
      <c r="I397" s="300"/>
    </row>
    <row r="398" spans="2:9" s="580" customFormat="1" ht="14.1" customHeight="1">
      <c r="B398" s="308"/>
      <c r="C398" s="301"/>
      <c r="D398" s="177" t="s">
        <v>11</v>
      </c>
      <c r="E398" s="287" t="s">
        <v>17</v>
      </c>
      <c r="F398" s="287" t="s">
        <v>726</v>
      </c>
      <c r="G398" s="288">
        <v>1.4999999999999999E-2</v>
      </c>
      <c r="H398" s="586"/>
      <c r="I398" s="303"/>
    </row>
    <row r="399" spans="2:9" s="580" customFormat="1" ht="14.1" customHeight="1">
      <c r="B399" s="308"/>
      <c r="C399" s="609"/>
      <c r="D399" s="316"/>
      <c r="E399" s="316"/>
      <c r="F399" s="316"/>
      <c r="G399" s="1166" t="s">
        <v>727</v>
      </c>
      <c r="H399" s="1167"/>
      <c r="I399" s="584"/>
    </row>
    <row r="400" spans="2:9" s="580" customFormat="1" ht="14.1" customHeight="1">
      <c r="B400" s="308"/>
      <c r="C400" s="292" t="s">
        <v>8</v>
      </c>
      <c r="D400" s="293" t="s">
        <v>811</v>
      </c>
      <c r="E400" s="296"/>
      <c r="F400" s="296"/>
      <c r="G400" s="585"/>
      <c r="H400" s="585"/>
      <c r="I400" s="297"/>
    </row>
    <row r="401" spans="2:9" s="580" customFormat="1" ht="14.1" customHeight="1">
      <c r="B401" s="308"/>
      <c r="C401" s="298"/>
      <c r="D401" s="289" t="s">
        <v>1657</v>
      </c>
      <c r="E401" s="299"/>
      <c r="F401" s="581" t="s">
        <v>750</v>
      </c>
      <c r="G401" s="286">
        <v>12.5</v>
      </c>
      <c r="H401" s="581"/>
      <c r="I401" s="300"/>
    </row>
    <row r="402" spans="2:9" s="580" customFormat="1" ht="14.1" customHeight="1">
      <c r="B402" s="308"/>
      <c r="C402" s="298"/>
      <c r="D402" s="289" t="s">
        <v>806</v>
      </c>
      <c r="E402" s="299"/>
      <c r="F402" s="285" t="s">
        <v>734</v>
      </c>
      <c r="G402" s="286">
        <v>15.16</v>
      </c>
      <c r="H402" s="581"/>
      <c r="I402" s="300"/>
    </row>
    <row r="403" spans="2:9" s="580" customFormat="1" ht="14.1" customHeight="1">
      <c r="B403" s="308"/>
      <c r="C403" s="298"/>
      <c r="D403" s="289" t="s">
        <v>211</v>
      </c>
      <c r="E403" s="299"/>
      <c r="F403" s="581" t="s">
        <v>750</v>
      </c>
      <c r="G403" s="286">
        <v>0.36399999999999999</v>
      </c>
      <c r="H403" s="581"/>
      <c r="I403" s="300"/>
    </row>
    <row r="404" spans="2:9" s="580" customFormat="1" ht="14.1" customHeight="1">
      <c r="B404" s="308"/>
      <c r="C404" s="301"/>
      <c r="D404" s="177" t="s">
        <v>1002</v>
      </c>
      <c r="E404" s="302"/>
      <c r="F404" s="287" t="s">
        <v>734</v>
      </c>
      <c r="G404" s="288">
        <v>0.28000000000000003</v>
      </c>
      <c r="H404" s="586"/>
      <c r="I404" s="303"/>
    </row>
    <row r="405" spans="2:9" s="580" customFormat="1" ht="14.1" customHeight="1">
      <c r="B405" s="308"/>
      <c r="C405" s="609"/>
      <c r="D405" s="316"/>
      <c r="E405" s="316"/>
      <c r="F405" s="316"/>
      <c r="G405" s="1166" t="s">
        <v>728</v>
      </c>
      <c r="H405" s="1167"/>
      <c r="I405" s="584"/>
    </row>
    <row r="406" spans="2:9" s="580" customFormat="1" ht="14.1" customHeight="1">
      <c r="B406" s="308"/>
      <c r="C406" s="292" t="s">
        <v>9</v>
      </c>
      <c r="D406" s="293" t="s">
        <v>815</v>
      </c>
      <c r="E406" s="296"/>
      <c r="F406" s="296"/>
      <c r="G406" s="585"/>
      <c r="H406" s="585"/>
      <c r="I406" s="297"/>
    </row>
    <row r="407" spans="2:9" s="580" customFormat="1" ht="14.1" customHeight="1">
      <c r="B407" s="308"/>
      <c r="C407" s="301"/>
      <c r="D407" s="302"/>
      <c r="E407" s="302"/>
      <c r="F407" s="302"/>
      <c r="G407" s="586"/>
      <c r="H407" s="586"/>
      <c r="I407" s="303"/>
    </row>
    <row r="408" spans="2:9" s="580" customFormat="1" ht="14.1" customHeight="1">
      <c r="B408" s="308"/>
      <c r="C408" s="609"/>
      <c r="D408" s="316"/>
      <c r="E408" s="316"/>
      <c r="F408" s="316"/>
      <c r="G408" s="1166" t="s">
        <v>729</v>
      </c>
      <c r="H408" s="1167"/>
      <c r="I408" s="584"/>
    </row>
    <row r="409" spans="2:9" s="580" customFormat="1" ht="14.1" customHeight="1">
      <c r="B409" s="308"/>
      <c r="C409" s="290" t="s">
        <v>12</v>
      </c>
      <c r="D409" s="1113" t="s">
        <v>730</v>
      </c>
      <c r="E409" s="1114"/>
      <c r="F409" s="1114"/>
      <c r="G409" s="1160"/>
      <c r="H409" s="1126"/>
      <c r="I409" s="305"/>
    </row>
    <row r="410" spans="2:9" s="580" customFormat="1" ht="14.1" customHeight="1">
      <c r="B410" s="308"/>
      <c r="C410" s="290" t="s">
        <v>13</v>
      </c>
      <c r="D410" s="1116" t="s">
        <v>816</v>
      </c>
      <c r="E410" s="1117"/>
      <c r="F410" s="1118"/>
      <c r="G410" s="1168" t="s">
        <v>740</v>
      </c>
      <c r="H410" s="1171"/>
      <c r="I410" s="306"/>
    </row>
    <row r="411" spans="2:9" s="580" customFormat="1" ht="14.1" customHeight="1" thickBot="1">
      <c r="B411" s="308"/>
      <c r="C411" s="291" t="s">
        <v>14</v>
      </c>
      <c r="D411" s="1119" t="s">
        <v>817</v>
      </c>
      <c r="E411" s="1120"/>
      <c r="F411" s="1120"/>
      <c r="G411" s="1120"/>
      <c r="H411" s="1121"/>
      <c r="I411" s="307"/>
    </row>
    <row r="412" spans="2:9" s="580" customFormat="1" ht="14.1" customHeight="1">
      <c r="B412" s="308"/>
      <c r="C412" s="624"/>
      <c r="G412" s="589"/>
      <c r="H412" s="589"/>
    </row>
    <row r="413" spans="2:9" s="567" customFormat="1" ht="18" customHeight="1" thickBot="1">
      <c r="B413" s="541">
        <v>21</v>
      </c>
      <c r="C413" s="566" t="s">
        <v>1032</v>
      </c>
      <c r="G413" s="596"/>
      <c r="H413" s="596"/>
    </row>
    <row r="414" spans="2:9" s="580" customFormat="1" ht="35.1" customHeight="1" thickBot="1">
      <c r="B414" s="308"/>
      <c r="C414" s="334" t="s">
        <v>840</v>
      </c>
      <c r="D414" s="335" t="s">
        <v>841</v>
      </c>
      <c r="E414" s="431" t="s">
        <v>842</v>
      </c>
      <c r="F414" s="335" t="s">
        <v>843</v>
      </c>
      <c r="G414" s="335" t="s">
        <v>844</v>
      </c>
      <c r="H414" s="335" t="s">
        <v>845</v>
      </c>
      <c r="I414" s="337" t="s">
        <v>846</v>
      </c>
    </row>
    <row r="415" spans="2:9" s="580" customFormat="1" ht="14.1" customHeight="1">
      <c r="B415" s="308"/>
      <c r="C415" s="543" t="s">
        <v>7</v>
      </c>
      <c r="D415" s="289" t="s">
        <v>810</v>
      </c>
      <c r="E415" s="299"/>
      <c r="F415" s="299"/>
      <c r="G415" s="581"/>
      <c r="H415" s="581"/>
      <c r="I415" s="300"/>
    </row>
    <row r="416" spans="2:9" s="580" customFormat="1" ht="14.1" customHeight="1">
      <c r="B416" s="308"/>
      <c r="C416" s="298"/>
      <c r="D416" s="289" t="s">
        <v>10</v>
      </c>
      <c r="E416" s="285" t="s">
        <v>16</v>
      </c>
      <c r="F416" s="285" t="s">
        <v>726</v>
      </c>
      <c r="G416" s="286">
        <v>0.3</v>
      </c>
      <c r="H416" s="581"/>
      <c r="I416" s="300"/>
    </row>
    <row r="417" spans="2:9" s="580" customFormat="1" ht="14.1" customHeight="1">
      <c r="B417" s="308"/>
      <c r="C417" s="298"/>
      <c r="D417" s="289" t="s">
        <v>143</v>
      </c>
      <c r="E417" s="285" t="s">
        <v>22</v>
      </c>
      <c r="F417" s="285" t="s">
        <v>726</v>
      </c>
      <c r="G417" s="286">
        <v>0.1</v>
      </c>
      <c r="H417" s="581"/>
      <c r="I417" s="300"/>
    </row>
    <row r="418" spans="2:9" s="580" customFormat="1" ht="14.1" customHeight="1">
      <c r="B418" s="308"/>
      <c r="C418" s="298"/>
      <c r="D418" s="289" t="s">
        <v>20</v>
      </c>
      <c r="E418" s="285" t="s">
        <v>21</v>
      </c>
      <c r="F418" s="285" t="s">
        <v>726</v>
      </c>
      <c r="G418" s="286">
        <v>0.01</v>
      </c>
      <c r="H418" s="581"/>
      <c r="I418" s="300"/>
    </row>
    <row r="419" spans="2:9" s="580" customFormat="1" ht="14.1" customHeight="1">
      <c r="B419" s="308"/>
      <c r="C419" s="301"/>
      <c r="D419" s="177" t="s">
        <v>11</v>
      </c>
      <c r="E419" s="287" t="s">
        <v>17</v>
      </c>
      <c r="F419" s="287" t="s">
        <v>726</v>
      </c>
      <c r="G419" s="288">
        <v>1.4999999999999999E-2</v>
      </c>
      <c r="H419" s="586"/>
      <c r="I419" s="303"/>
    </row>
    <row r="420" spans="2:9" s="580" customFormat="1" ht="14.1" customHeight="1">
      <c r="B420" s="308"/>
      <c r="C420" s="609"/>
      <c r="D420" s="316"/>
      <c r="E420" s="316"/>
      <c r="F420" s="316"/>
      <c r="G420" s="1166" t="s">
        <v>727</v>
      </c>
      <c r="H420" s="1167"/>
      <c r="I420" s="584"/>
    </row>
    <row r="421" spans="2:9" s="580" customFormat="1" ht="14.1" customHeight="1">
      <c r="B421" s="308"/>
      <c r="C421" s="292" t="s">
        <v>8</v>
      </c>
      <c r="D421" s="293" t="s">
        <v>811</v>
      </c>
      <c r="E421" s="296"/>
      <c r="F421" s="296"/>
      <c r="G421" s="585"/>
      <c r="H421" s="585"/>
      <c r="I421" s="297"/>
    </row>
    <row r="422" spans="2:9" s="580" customFormat="1" ht="14.1" customHeight="1">
      <c r="B422" s="308"/>
      <c r="C422" s="298"/>
      <c r="D422" s="289" t="s">
        <v>1655</v>
      </c>
      <c r="E422" s="299"/>
      <c r="F422" s="581" t="s">
        <v>750</v>
      </c>
      <c r="G422" s="286">
        <v>12.5</v>
      </c>
      <c r="H422" s="581"/>
      <c r="I422" s="300"/>
    </row>
    <row r="423" spans="2:9" s="580" customFormat="1" ht="14.1" customHeight="1">
      <c r="B423" s="308"/>
      <c r="C423" s="298"/>
      <c r="D423" s="289" t="s">
        <v>806</v>
      </c>
      <c r="E423" s="299"/>
      <c r="F423" s="285" t="s">
        <v>734</v>
      </c>
      <c r="G423" s="286">
        <v>12.13</v>
      </c>
      <c r="H423" s="581"/>
      <c r="I423" s="300"/>
    </row>
    <row r="424" spans="2:9" s="580" customFormat="1" ht="14.1" customHeight="1">
      <c r="B424" s="308"/>
      <c r="C424" s="298"/>
      <c r="D424" s="289" t="s">
        <v>211</v>
      </c>
      <c r="E424" s="299"/>
      <c r="F424" s="581" t="s">
        <v>750</v>
      </c>
      <c r="G424" s="286">
        <v>0.38800000000000001</v>
      </c>
      <c r="H424" s="581"/>
      <c r="I424" s="300"/>
    </row>
    <row r="425" spans="2:9" s="580" customFormat="1" ht="14.1" customHeight="1">
      <c r="B425" s="308"/>
      <c r="C425" s="301"/>
      <c r="D425" s="177" t="s">
        <v>1002</v>
      </c>
      <c r="E425" s="302"/>
      <c r="F425" s="287" t="s">
        <v>734</v>
      </c>
      <c r="G425" s="288">
        <v>0.28000000000000003</v>
      </c>
      <c r="H425" s="586"/>
      <c r="I425" s="303"/>
    </row>
    <row r="426" spans="2:9" s="580" customFormat="1" ht="14.1" customHeight="1">
      <c r="B426" s="308"/>
      <c r="C426" s="609"/>
      <c r="D426" s="316"/>
      <c r="E426" s="316"/>
      <c r="F426" s="316"/>
      <c r="G426" s="1166" t="s">
        <v>728</v>
      </c>
      <c r="H426" s="1167"/>
      <c r="I426" s="584"/>
    </row>
    <row r="427" spans="2:9" s="580" customFormat="1" ht="14.1" customHeight="1">
      <c r="B427" s="308"/>
      <c r="C427" s="292" t="s">
        <v>9</v>
      </c>
      <c r="D427" s="293" t="s">
        <v>815</v>
      </c>
      <c r="E427" s="296"/>
      <c r="F427" s="296"/>
      <c r="G427" s="585"/>
      <c r="H427" s="585"/>
      <c r="I427" s="297"/>
    </row>
    <row r="428" spans="2:9" s="580" customFormat="1" ht="14.1" customHeight="1">
      <c r="B428" s="308"/>
      <c r="C428" s="301"/>
      <c r="D428" s="302"/>
      <c r="E428" s="302"/>
      <c r="F428" s="302"/>
      <c r="G428" s="586"/>
      <c r="H428" s="586"/>
      <c r="I428" s="303"/>
    </row>
    <row r="429" spans="2:9" s="580" customFormat="1" ht="14.1" customHeight="1">
      <c r="B429" s="308"/>
      <c r="C429" s="609"/>
      <c r="D429" s="316"/>
      <c r="E429" s="316"/>
      <c r="F429" s="316"/>
      <c r="G429" s="1166" t="s">
        <v>729</v>
      </c>
      <c r="H429" s="1167"/>
      <c r="I429" s="631"/>
    </row>
    <row r="430" spans="2:9" s="580" customFormat="1" ht="14.1" customHeight="1">
      <c r="B430" s="308"/>
      <c r="C430" s="290" t="s">
        <v>12</v>
      </c>
      <c r="D430" s="1113" t="s">
        <v>730</v>
      </c>
      <c r="E430" s="1114"/>
      <c r="F430" s="1114"/>
      <c r="G430" s="1160"/>
      <c r="H430" s="1126"/>
      <c r="I430" s="306"/>
    </row>
    <row r="431" spans="2:9" s="580" customFormat="1" ht="14.1" customHeight="1">
      <c r="B431" s="308"/>
      <c r="C431" s="290" t="s">
        <v>13</v>
      </c>
      <c r="D431" s="1116" t="s">
        <v>816</v>
      </c>
      <c r="E431" s="1117"/>
      <c r="F431" s="1118"/>
      <c r="G431" s="1168" t="s">
        <v>740</v>
      </c>
      <c r="H431" s="1171"/>
      <c r="I431" s="306"/>
    </row>
    <row r="432" spans="2:9" s="580" customFormat="1" ht="14.1" customHeight="1" thickBot="1">
      <c r="B432" s="308"/>
      <c r="C432" s="291" t="s">
        <v>14</v>
      </c>
      <c r="D432" s="1119" t="s">
        <v>817</v>
      </c>
      <c r="E432" s="1120"/>
      <c r="F432" s="1120"/>
      <c r="G432" s="1120"/>
      <c r="H432" s="1121"/>
      <c r="I432" s="307"/>
    </row>
    <row r="433" spans="2:9" s="580" customFormat="1" ht="14.1" customHeight="1">
      <c r="B433" s="308"/>
      <c r="G433" s="589"/>
      <c r="H433" s="589"/>
    </row>
    <row r="434" spans="2:9" s="567" customFormat="1" ht="18" customHeight="1" thickBot="1">
      <c r="B434" s="541">
        <v>22</v>
      </c>
      <c r="C434" s="969" t="s">
        <v>1033</v>
      </c>
      <c r="D434" s="969"/>
      <c r="E434" s="969"/>
      <c r="F434" s="969"/>
      <c r="G434" s="969"/>
      <c r="H434" s="969"/>
      <c r="I434" s="969"/>
    </row>
    <row r="435" spans="2:9" s="580" customFormat="1" ht="32.1" customHeight="1" thickBot="1">
      <c r="B435" s="308"/>
      <c r="C435" s="334" t="s">
        <v>840</v>
      </c>
      <c r="D435" s="335" t="s">
        <v>841</v>
      </c>
      <c r="E435" s="335" t="s">
        <v>842</v>
      </c>
      <c r="F435" s="335" t="s">
        <v>843</v>
      </c>
      <c r="G435" s="335" t="s">
        <v>844</v>
      </c>
      <c r="H435" s="335" t="s">
        <v>845</v>
      </c>
      <c r="I435" s="337" t="s">
        <v>846</v>
      </c>
    </row>
    <row r="436" spans="2:9" s="580" customFormat="1" ht="14.1" customHeight="1">
      <c r="B436" s="308"/>
      <c r="C436" s="543" t="s">
        <v>7</v>
      </c>
      <c r="D436" s="289" t="s">
        <v>810</v>
      </c>
      <c r="E436" s="299"/>
      <c r="F436" s="299"/>
      <c r="G436" s="581"/>
      <c r="H436" s="581"/>
      <c r="I436" s="300"/>
    </row>
    <row r="437" spans="2:9" s="580" customFormat="1" ht="14.1" customHeight="1">
      <c r="B437" s="308"/>
      <c r="C437" s="298"/>
      <c r="D437" s="289" t="s">
        <v>10</v>
      </c>
      <c r="E437" s="285" t="s">
        <v>16</v>
      </c>
      <c r="F437" s="285" t="s">
        <v>726</v>
      </c>
      <c r="G437" s="286">
        <v>0.3</v>
      </c>
      <c r="H437" s="581"/>
      <c r="I437" s="300"/>
    </row>
    <row r="438" spans="2:9" s="580" customFormat="1" ht="14.1" customHeight="1">
      <c r="B438" s="308"/>
      <c r="C438" s="298"/>
      <c r="D438" s="289" t="s">
        <v>143</v>
      </c>
      <c r="E438" s="285" t="s">
        <v>22</v>
      </c>
      <c r="F438" s="285" t="s">
        <v>726</v>
      </c>
      <c r="G438" s="286">
        <v>0.1</v>
      </c>
      <c r="H438" s="581"/>
      <c r="I438" s="300"/>
    </row>
    <row r="439" spans="2:9" s="580" customFormat="1" ht="14.1" customHeight="1">
      <c r="B439" s="308"/>
      <c r="C439" s="298"/>
      <c r="D439" s="289" t="s">
        <v>20</v>
      </c>
      <c r="E439" s="285" t="s">
        <v>21</v>
      </c>
      <c r="F439" s="285" t="s">
        <v>726</v>
      </c>
      <c r="G439" s="286">
        <v>0.01</v>
      </c>
      <c r="H439" s="581"/>
      <c r="I439" s="300"/>
    </row>
    <row r="440" spans="2:9" s="580" customFormat="1" ht="14.1" customHeight="1">
      <c r="B440" s="308"/>
      <c r="C440" s="301"/>
      <c r="D440" s="177" t="s">
        <v>11</v>
      </c>
      <c r="E440" s="287" t="s">
        <v>17</v>
      </c>
      <c r="F440" s="287" t="s">
        <v>726</v>
      </c>
      <c r="G440" s="288">
        <v>1.4999999999999999E-2</v>
      </c>
      <c r="H440" s="586"/>
      <c r="I440" s="303"/>
    </row>
    <row r="441" spans="2:9" s="580" customFormat="1" ht="14.1" customHeight="1">
      <c r="B441" s="308"/>
      <c r="C441" s="1132"/>
      <c r="D441" s="1133"/>
      <c r="E441" s="1133"/>
      <c r="F441" s="1165"/>
      <c r="G441" s="1166" t="s">
        <v>727</v>
      </c>
      <c r="H441" s="1167"/>
      <c r="I441" s="584"/>
    </row>
    <row r="442" spans="2:9" s="580" customFormat="1" ht="14.1" customHeight="1">
      <c r="B442" s="308"/>
      <c r="C442" s="292" t="s">
        <v>8</v>
      </c>
      <c r="D442" s="293" t="s">
        <v>811</v>
      </c>
      <c r="E442" s="296"/>
      <c r="F442" s="296"/>
      <c r="G442" s="585"/>
      <c r="H442" s="585"/>
      <c r="I442" s="297"/>
    </row>
    <row r="443" spans="2:9" s="580" customFormat="1" ht="14.1" customHeight="1">
      <c r="B443" s="308"/>
      <c r="C443" s="298"/>
      <c r="D443" s="299" t="s">
        <v>1004</v>
      </c>
      <c r="E443" s="299"/>
      <c r="F443" s="581" t="s">
        <v>750</v>
      </c>
      <c r="G443" s="286">
        <v>30</v>
      </c>
      <c r="H443" s="581"/>
      <c r="I443" s="300"/>
    </row>
    <row r="444" spans="2:9" s="580" customFormat="1" ht="14.1" customHeight="1">
      <c r="B444" s="308"/>
      <c r="C444" s="298"/>
      <c r="D444" s="289" t="s">
        <v>806</v>
      </c>
      <c r="E444" s="299"/>
      <c r="F444" s="285" t="s">
        <v>734</v>
      </c>
      <c r="G444" s="286">
        <v>11</v>
      </c>
      <c r="H444" s="581"/>
      <c r="I444" s="300"/>
    </row>
    <row r="445" spans="2:9" s="580" customFormat="1" ht="14.1" customHeight="1">
      <c r="B445" s="308"/>
      <c r="C445" s="301"/>
      <c r="D445" s="177" t="s">
        <v>211</v>
      </c>
      <c r="E445" s="302"/>
      <c r="F445" s="586" t="s">
        <v>750</v>
      </c>
      <c r="G445" s="288">
        <v>3.5000000000000003E-2</v>
      </c>
      <c r="H445" s="586"/>
      <c r="I445" s="303"/>
    </row>
    <row r="446" spans="2:9" s="580" customFormat="1" ht="14.1" customHeight="1">
      <c r="B446" s="308"/>
      <c r="C446" s="609"/>
      <c r="D446" s="316"/>
      <c r="E446" s="316"/>
      <c r="F446" s="316"/>
      <c r="G446" s="1166" t="s">
        <v>728</v>
      </c>
      <c r="H446" s="1167"/>
      <c r="I446" s="584"/>
    </row>
    <row r="447" spans="2:9" s="580" customFormat="1" ht="14.1" customHeight="1">
      <c r="B447" s="308"/>
      <c r="C447" s="292" t="s">
        <v>9</v>
      </c>
      <c r="D447" s="293" t="s">
        <v>815</v>
      </c>
      <c r="E447" s="296"/>
      <c r="F447" s="296"/>
      <c r="G447" s="585"/>
      <c r="H447" s="585"/>
      <c r="I447" s="297"/>
    </row>
    <row r="448" spans="2:9" s="580" customFormat="1" ht="14.1" customHeight="1">
      <c r="B448" s="308"/>
      <c r="C448" s="301"/>
      <c r="D448" s="302"/>
      <c r="E448" s="302"/>
      <c r="F448" s="302"/>
      <c r="G448" s="586"/>
      <c r="H448" s="586"/>
      <c r="I448" s="303"/>
    </row>
    <row r="449" spans="2:9" s="580" customFormat="1" ht="14.1" customHeight="1">
      <c r="B449" s="308"/>
      <c r="C449" s="609"/>
      <c r="D449" s="316"/>
      <c r="E449" s="316"/>
      <c r="F449" s="316"/>
      <c r="G449" s="1170" t="s">
        <v>729</v>
      </c>
      <c r="H449" s="1170"/>
      <c r="I449" s="631"/>
    </row>
    <row r="450" spans="2:9" s="580" customFormat="1" ht="14.1" customHeight="1">
      <c r="B450" s="308"/>
      <c r="C450" s="290" t="s">
        <v>12</v>
      </c>
      <c r="D450" s="1113" t="s">
        <v>730</v>
      </c>
      <c r="E450" s="1114"/>
      <c r="F450" s="1114"/>
      <c r="G450" s="1114"/>
      <c r="H450" s="1115"/>
      <c r="I450" s="306"/>
    </row>
    <row r="451" spans="2:9" s="580" customFormat="1" ht="14.1" customHeight="1">
      <c r="B451" s="308"/>
      <c r="C451" s="290" t="s">
        <v>13</v>
      </c>
      <c r="D451" s="1116" t="s">
        <v>816</v>
      </c>
      <c r="E451" s="1117"/>
      <c r="F451" s="1118"/>
      <c r="G451" s="1168" t="s">
        <v>740</v>
      </c>
      <c r="H451" s="1171"/>
      <c r="I451" s="306"/>
    </row>
    <row r="452" spans="2:9" s="580" customFormat="1" ht="14.1" customHeight="1" thickBot="1">
      <c r="B452" s="308"/>
      <c r="C452" s="291" t="s">
        <v>14</v>
      </c>
      <c r="D452" s="1119" t="s">
        <v>817</v>
      </c>
      <c r="E452" s="1120"/>
      <c r="F452" s="1120"/>
      <c r="G452" s="1120"/>
      <c r="H452" s="1121"/>
      <c r="I452" s="307"/>
    </row>
    <row r="453" spans="2:9" s="580" customFormat="1" ht="14.1" customHeight="1">
      <c r="B453" s="308"/>
      <c r="C453" s="295"/>
      <c r="D453" s="284"/>
      <c r="E453" s="284"/>
      <c r="F453" s="284"/>
      <c r="G453" s="284"/>
      <c r="H453" s="284"/>
      <c r="I453" s="316"/>
    </row>
    <row r="454" spans="2:9" s="651" customFormat="1" ht="18" customHeight="1" thickBot="1">
      <c r="B454" s="650">
        <v>23</v>
      </c>
      <c r="C454" s="569" t="s">
        <v>1661</v>
      </c>
      <c r="G454" s="650"/>
      <c r="H454" s="650"/>
    </row>
    <row r="455" spans="2:9" s="580" customFormat="1" ht="32.1" customHeight="1" thickBot="1">
      <c r="B455" s="308"/>
      <c r="C455" s="334" t="s">
        <v>840</v>
      </c>
      <c r="D455" s="335" t="s">
        <v>841</v>
      </c>
      <c r="E455" s="335" t="s">
        <v>842</v>
      </c>
      <c r="F455" s="335" t="s">
        <v>843</v>
      </c>
      <c r="G455" s="335" t="s">
        <v>844</v>
      </c>
      <c r="H455" s="335" t="s">
        <v>845</v>
      </c>
      <c r="I455" s="337" t="s">
        <v>846</v>
      </c>
    </row>
    <row r="456" spans="2:9" s="580" customFormat="1" ht="14.1" customHeight="1">
      <c r="B456" s="308"/>
      <c r="C456" s="491" t="s">
        <v>7</v>
      </c>
      <c r="D456" s="351" t="s">
        <v>810</v>
      </c>
      <c r="E456" s="383"/>
      <c r="F456" s="383"/>
      <c r="G456" s="383"/>
      <c r="H456" s="383"/>
      <c r="I456" s="637"/>
    </row>
    <row r="457" spans="2:9" s="580" customFormat="1" ht="14.1" customHeight="1">
      <c r="B457" s="308"/>
      <c r="C457" s="385"/>
      <c r="D457" s="351" t="s">
        <v>10</v>
      </c>
      <c r="E457" s="351" t="s">
        <v>16</v>
      </c>
      <c r="F457" s="351" t="s">
        <v>726</v>
      </c>
      <c r="G457" s="352">
        <v>0.3</v>
      </c>
      <c r="H457" s="383"/>
      <c r="I457" s="637"/>
    </row>
    <row r="458" spans="2:9" s="580" customFormat="1" ht="14.1" customHeight="1">
      <c r="B458" s="308"/>
      <c r="C458" s="385"/>
      <c r="D458" s="351" t="s">
        <v>143</v>
      </c>
      <c r="E458" s="351" t="s">
        <v>22</v>
      </c>
      <c r="F458" s="351" t="s">
        <v>726</v>
      </c>
      <c r="G458" s="352">
        <v>0.1</v>
      </c>
      <c r="H458" s="383"/>
      <c r="I458" s="637"/>
    </row>
    <row r="459" spans="2:9" s="580" customFormat="1" ht="14.1" customHeight="1">
      <c r="B459" s="308"/>
      <c r="C459" s="385"/>
      <c r="D459" s="351" t="s">
        <v>20</v>
      </c>
      <c r="E459" s="351" t="s">
        <v>21</v>
      </c>
      <c r="F459" s="351" t="s">
        <v>726</v>
      </c>
      <c r="G459" s="352">
        <v>0.01</v>
      </c>
      <c r="H459" s="383"/>
      <c r="I459" s="637"/>
    </row>
    <row r="460" spans="2:9" s="580" customFormat="1" ht="14.1" customHeight="1">
      <c r="B460" s="308"/>
      <c r="C460" s="386"/>
      <c r="D460" s="354" t="s">
        <v>11</v>
      </c>
      <c r="E460" s="354" t="s">
        <v>17</v>
      </c>
      <c r="F460" s="354" t="s">
        <v>726</v>
      </c>
      <c r="G460" s="355">
        <v>1.4999999999999999E-2</v>
      </c>
      <c r="H460" s="459"/>
      <c r="I460" s="638"/>
    </row>
    <row r="461" spans="2:9" s="580" customFormat="1" ht="14.1" customHeight="1">
      <c r="B461" s="308"/>
      <c r="C461" s="443"/>
      <c r="D461" s="635"/>
      <c r="E461" s="635"/>
      <c r="F461" s="635"/>
      <c r="G461" s="1180" t="s">
        <v>727</v>
      </c>
      <c r="H461" s="1181"/>
      <c r="I461" s="639"/>
    </row>
    <row r="462" spans="2:9" s="580" customFormat="1" ht="14.1" customHeight="1">
      <c r="B462" s="308"/>
      <c r="C462" s="457" t="s">
        <v>8</v>
      </c>
      <c r="D462" s="634" t="s">
        <v>811</v>
      </c>
      <c r="E462" s="394"/>
      <c r="F462" s="394"/>
      <c r="G462" s="394"/>
      <c r="H462" s="394"/>
      <c r="I462" s="636"/>
    </row>
    <row r="463" spans="2:9" s="580" customFormat="1" ht="14.1" customHeight="1">
      <c r="B463" s="308"/>
      <c r="C463" s="385"/>
      <c r="D463" s="351" t="s">
        <v>1003</v>
      </c>
      <c r="E463" s="383"/>
      <c r="F463" s="383" t="s">
        <v>750</v>
      </c>
      <c r="G463" s="352">
        <v>30</v>
      </c>
      <c r="H463" s="383"/>
      <c r="I463" s="637"/>
    </row>
    <row r="464" spans="2:9" s="580" customFormat="1" ht="14.1" customHeight="1">
      <c r="B464" s="308"/>
      <c r="C464" s="385"/>
      <c r="D464" s="351" t="s">
        <v>806</v>
      </c>
      <c r="E464" s="383"/>
      <c r="F464" s="351" t="s">
        <v>734</v>
      </c>
      <c r="G464" s="352">
        <v>11</v>
      </c>
      <c r="H464" s="383"/>
      <c r="I464" s="637"/>
    </row>
    <row r="465" spans="2:9" s="580" customFormat="1" ht="14.1" customHeight="1">
      <c r="B465" s="308"/>
      <c r="C465" s="386"/>
      <c r="D465" s="354" t="s">
        <v>211</v>
      </c>
      <c r="E465" s="459"/>
      <c r="F465" s="459" t="s">
        <v>750</v>
      </c>
      <c r="G465" s="355">
        <v>3.5000000000000003E-2</v>
      </c>
      <c r="H465" s="459"/>
      <c r="I465" s="638"/>
    </row>
    <row r="466" spans="2:9" s="580" customFormat="1" ht="14.1" customHeight="1">
      <c r="B466" s="308"/>
      <c r="C466" s="443"/>
      <c r="D466" s="635"/>
      <c r="E466" s="635"/>
      <c r="F466" s="635"/>
      <c r="G466" s="1180" t="s">
        <v>728</v>
      </c>
      <c r="H466" s="1181"/>
      <c r="I466" s="639"/>
    </row>
    <row r="467" spans="2:9" s="580" customFormat="1" ht="14.1" customHeight="1">
      <c r="B467" s="308"/>
      <c r="C467" s="457" t="s">
        <v>9</v>
      </c>
      <c r="D467" s="634" t="s">
        <v>815</v>
      </c>
      <c r="E467" s="394"/>
      <c r="F467" s="394"/>
      <c r="G467" s="394"/>
      <c r="H467" s="394"/>
      <c r="I467" s="636"/>
    </row>
    <row r="468" spans="2:9" s="580" customFormat="1" ht="14.1" customHeight="1">
      <c r="B468" s="308"/>
      <c r="C468" s="386"/>
      <c r="D468" s="459"/>
      <c r="E468" s="459"/>
      <c r="F468" s="459"/>
      <c r="G468" s="459"/>
      <c r="H468" s="459"/>
      <c r="I468" s="638"/>
    </row>
    <row r="469" spans="2:9" s="580" customFormat="1" ht="14.1" customHeight="1">
      <c r="B469" s="308"/>
      <c r="C469" s="443"/>
      <c r="D469" s="635"/>
      <c r="E469" s="635"/>
      <c r="F469" s="635"/>
      <c r="G469" s="1180" t="s">
        <v>729</v>
      </c>
      <c r="H469" s="1181"/>
      <c r="I469" s="640"/>
    </row>
    <row r="470" spans="2:9" s="580" customFormat="1" ht="14.1" customHeight="1">
      <c r="B470" s="308"/>
      <c r="C470" s="377" t="s">
        <v>12</v>
      </c>
      <c r="D470" s="1175" t="s">
        <v>730</v>
      </c>
      <c r="E470" s="1182"/>
      <c r="F470" s="1182"/>
      <c r="G470" s="1183"/>
      <c r="H470" s="1184"/>
      <c r="I470" s="641"/>
    </row>
    <row r="471" spans="2:9" s="580" customFormat="1" ht="14.1" customHeight="1">
      <c r="B471" s="308"/>
      <c r="C471" s="377" t="s">
        <v>13</v>
      </c>
      <c r="D471" s="1172" t="s">
        <v>816</v>
      </c>
      <c r="E471" s="1173"/>
      <c r="F471" s="1174"/>
      <c r="G471" s="1175" t="s">
        <v>740</v>
      </c>
      <c r="H471" s="1176"/>
      <c r="I471" s="641"/>
    </row>
    <row r="472" spans="2:9" s="580" customFormat="1" ht="14.1" customHeight="1" thickBot="1">
      <c r="B472" s="308"/>
      <c r="C472" s="456" t="s">
        <v>14</v>
      </c>
      <c r="D472" s="1177" t="s">
        <v>817</v>
      </c>
      <c r="E472" s="1178"/>
      <c r="F472" s="1178"/>
      <c r="G472" s="1178"/>
      <c r="H472" s="1179"/>
      <c r="I472" s="642"/>
    </row>
    <row r="473" spans="2:9" s="580" customFormat="1" ht="14.1" customHeight="1">
      <c r="B473" s="308"/>
      <c r="G473" s="589"/>
      <c r="H473" s="589"/>
    </row>
    <row r="474" spans="2:9" s="567" customFormat="1" ht="18" customHeight="1" thickBot="1">
      <c r="B474" s="541">
        <v>24</v>
      </c>
      <c r="C474" s="969" t="s">
        <v>1034</v>
      </c>
      <c r="D474" s="969"/>
      <c r="E474" s="969"/>
      <c r="F474" s="969"/>
      <c r="G474" s="969"/>
      <c r="H474" s="969"/>
      <c r="I474" s="969"/>
    </row>
    <row r="475" spans="2:9" s="580" customFormat="1" ht="35.1" customHeight="1" thickBot="1">
      <c r="B475" s="308"/>
      <c r="C475" s="488" t="s">
        <v>840</v>
      </c>
      <c r="D475" s="335" t="s">
        <v>841</v>
      </c>
      <c r="E475" s="335" t="s">
        <v>842</v>
      </c>
      <c r="F475" s="335" t="s">
        <v>843</v>
      </c>
      <c r="G475" s="335" t="s">
        <v>844</v>
      </c>
      <c r="H475" s="335" t="s">
        <v>845</v>
      </c>
      <c r="I475" s="337" t="s">
        <v>846</v>
      </c>
    </row>
    <row r="476" spans="2:9" s="580" customFormat="1" ht="14.1" customHeight="1">
      <c r="B476" s="308"/>
      <c r="C476" s="543" t="s">
        <v>7</v>
      </c>
      <c r="D476" s="289" t="s">
        <v>810</v>
      </c>
      <c r="E476" s="299"/>
      <c r="F476" s="299"/>
      <c r="G476" s="581"/>
      <c r="H476" s="581"/>
      <c r="I476" s="300"/>
    </row>
    <row r="477" spans="2:9" s="580" customFormat="1" ht="14.1" customHeight="1">
      <c r="B477" s="308"/>
      <c r="C477" s="298"/>
      <c r="D477" s="289" t="s">
        <v>10</v>
      </c>
      <c r="E477" s="285" t="s">
        <v>16</v>
      </c>
      <c r="F477" s="285" t="s">
        <v>726</v>
      </c>
      <c r="G477" s="286">
        <v>0.3</v>
      </c>
      <c r="H477" s="581"/>
      <c r="I477" s="300"/>
    </row>
    <row r="478" spans="2:9" s="580" customFormat="1" ht="14.1" customHeight="1">
      <c r="B478" s="308"/>
      <c r="C478" s="298"/>
      <c r="D478" s="289" t="s">
        <v>143</v>
      </c>
      <c r="E478" s="285" t="s">
        <v>22</v>
      </c>
      <c r="F478" s="285" t="s">
        <v>726</v>
      </c>
      <c r="G478" s="286">
        <v>0.15</v>
      </c>
      <c r="H478" s="581"/>
      <c r="I478" s="300"/>
    </row>
    <row r="479" spans="2:9" s="580" customFormat="1" ht="14.1" customHeight="1">
      <c r="B479" s="308"/>
      <c r="C479" s="298"/>
      <c r="D479" s="289" t="s">
        <v>20</v>
      </c>
      <c r="E479" s="285" t="s">
        <v>21</v>
      </c>
      <c r="F479" s="285" t="s">
        <v>726</v>
      </c>
      <c r="G479" s="286">
        <v>1.4999999999999999E-2</v>
      </c>
      <c r="H479" s="581"/>
      <c r="I479" s="300"/>
    </row>
    <row r="480" spans="2:9" s="580" customFormat="1" ht="14.1" customHeight="1">
      <c r="B480" s="308"/>
      <c r="C480" s="301"/>
      <c r="D480" s="177" t="s">
        <v>11</v>
      </c>
      <c r="E480" s="287" t="s">
        <v>17</v>
      </c>
      <c r="F480" s="287" t="s">
        <v>726</v>
      </c>
      <c r="G480" s="288">
        <v>1.4999999999999999E-2</v>
      </c>
      <c r="H480" s="586"/>
      <c r="I480" s="303"/>
    </row>
    <row r="481" spans="2:9" s="580" customFormat="1" ht="14.1" customHeight="1">
      <c r="B481" s="308"/>
      <c r="C481" s="609"/>
      <c r="D481" s="316"/>
      <c r="E481" s="316"/>
      <c r="F481" s="316"/>
      <c r="G481" s="1166" t="s">
        <v>727</v>
      </c>
      <c r="H481" s="1167"/>
      <c r="I481" s="584"/>
    </row>
    <row r="482" spans="2:9" s="580" customFormat="1" ht="14.1" customHeight="1">
      <c r="B482" s="308"/>
      <c r="C482" s="292" t="s">
        <v>8</v>
      </c>
      <c r="D482" s="293" t="s">
        <v>811</v>
      </c>
      <c r="E482" s="296"/>
      <c r="F482" s="296"/>
      <c r="G482" s="585"/>
      <c r="H482" s="585"/>
      <c r="I482" s="297"/>
    </row>
    <row r="483" spans="2:9" s="580" customFormat="1" ht="14.1" customHeight="1">
      <c r="B483" s="308"/>
      <c r="C483" s="298"/>
      <c r="D483" s="299" t="s">
        <v>1004</v>
      </c>
      <c r="E483" s="299"/>
      <c r="F483" s="581" t="s">
        <v>750</v>
      </c>
      <c r="G483" s="286">
        <v>70</v>
      </c>
      <c r="H483" s="581"/>
      <c r="I483" s="300"/>
    </row>
    <row r="484" spans="2:9" s="580" customFormat="1" ht="14.1" customHeight="1">
      <c r="B484" s="308"/>
      <c r="C484" s="298"/>
      <c r="D484" s="289" t="s">
        <v>806</v>
      </c>
      <c r="E484" s="299"/>
      <c r="F484" s="285" t="s">
        <v>734</v>
      </c>
      <c r="G484" s="286">
        <v>14</v>
      </c>
      <c r="H484" s="581"/>
      <c r="I484" s="300"/>
    </row>
    <row r="485" spans="2:9" s="580" customFormat="1" ht="14.1" customHeight="1">
      <c r="B485" s="308"/>
      <c r="C485" s="301"/>
      <c r="D485" s="177" t="s">
        <v>211</v>
      </c>
      <c r="E485" s="302"/>
      <c r="F485" s="586" t="s">
        <v>750</v>
      </c>
      <c r="G485" s="288">
        <v>3.2000000000000001E-2</v>
      </c>
      <c r="H485" s="586"/>
      <c r="I485" s="303"/>
    </row>
    <row r="486" spans="2:9" s="580" customFormat="1" ht="14.1" customHeight="1">
      <c r="B486" s="308"/>
      <c r="C486" s="609"/>
      <c r="D486" s="316"/>
      <c r="E486" s="316"/>
      <c r="F486" s="316"/>
      <c r="G486" s="1166" t="s">
        <v>728</v>
      </c>
      <c r="H486" s="1167"/>
      <c r="I486" s="631"/>
    </row>
    <row r="487" spans="2:9" s="580" customFormat="1" ht="14.1" customHeight="1">
      <c r="B487" s="308"/>
      <c r="C487" s="292" t="s">
        <v>9</v>
      </c>
      <c r="D487" s="293" t="s">
        <v>815</v>
      </c>
      <c r="E487" s="296"/>
      <c r="F487" s="296"/>
      <c r="G487" s="585"/>
      <c r="H487" s="585"/>
      <c r="I487" s="297"/>
    </row>
    <row r="488" spans="2:9" s="580" customFormat="1" ht="14.1" customHeight="1">
      <c r="B488" s="308"/>
      <c r="C488" s="301"/>
      <c r="D488" s="302"/>
      <c r="E488" s="302"/>
      <c r="F488" s="302"/>
      <c r="G488" s="586"/>
      <c r="H488" s="586"/>
      <c r="I488" s="303"/>
    </row>
    <row r="489" spans="2:9" s="580" customFormat="1" ht="14.1" customHeight="1">
      <c r="B489" s="308"/>
      <c r="C489" s="609"/>
      <c r="D489" s="316"/>
      <c r="E489" s="316"/>
      <c r="F489" s="316"/>
      <c r="G489" s="1170" t="s">
        <v>729</v>
      </c>
      <c r="H489" s="1170"/>
      <c r="I489" s="631"/>
    </row>
    <row r="490" spans="2:9" s="580" customFormat="1" ht="14.1" customHeight="1">
      <c r="B490" s="308"/>
      <c r="C490" s="643" t="s">
        <v>12</v>
      </c>
      <c r="D490" s="1113" t="s">
        <v>730</v>
      </c>
      <c r="E490" s="1114"/>
      <c r="F490" s="1114"/>
      <c r="G490" s="1114"/>
      <c r="H490" s="1115"/>
      <c r="I490" s="306"/>
    </row>
    <row r="491" spans="2:9" s="580" customFormat="1" ht="14.1" customHeight="1">
      <c r="B491" s="308"/>
      <c r="C491" s="643" t="s">
        <v>13</v>
      </c>
      <c r="D491" s="1116" t="s">
        <v>816</v>
      </c>
      <c r="E491" s="1117"/>
      <c r="F491" s="1118"/>
      <c r="G491" s="1168" t="s">
        <v>740</v>
      </c>
      <c r="H491" s="1171"/>
      <c r="I491" s="306"/>
    </row>
    <row r="492" spans="2:9" s="580" customFormat="1" ht="14.1" customHeight="1" thickBot="1">
      <c r="B492" s="308"/>
      <c r="C492" s="644" t="s">
        <v>14</v>
      </c>
      <c r="D492" s="1119" t="s">
        <v>817</v>
      </c>
      <c r="E492" s="1120"/>
      <c r="F492" s="1120"/>
      <c r="G492" s="1120"/>
      <c r="H492" s="1121"/>
      <c r="I492" s="307"/>
    </row>
    <row r="493" spans="2:9" s="580" customFormat="1" ht="14.1" customHeight="1">
      <c r="B493" s="308"/>
      <c r="C493" s="295"/>
      <c r="D493" s="284"/>
      <c r="E493" s="284"/>
      <c r="F493" s="284"/>
      <c r="G493" s="284"/>
      <c r="H493" s="284"/>
      <c r="I493" s="316"/>
    </row>
    <row r="494" spans="2:9" s="567" customFormat="1" ht="17.25" customHeight="1" thickBot="1">
      <c r="B494" s="541">
        <v>25</v>
      </c>
      <c r="C494" s="566" t="s">
        <v>1035</v>
      </c>
      <c r="G494" s="596"/>
      <c r="H494" s="596"/>
    </row>
    <row r="495" spans="2:9" s="580" customFormat="1" ht="35.1" customHeight="1" thickBot="1">
      <c r="B495" s="308"/>
      <c r="C495" s="488" t="s">
        <v>0</v>
      </c>
      <c r="D495" s="335" t="s">
        <v>1</v>
      </c>
      <c r="E495" s="335" t="s">
        <v>2</v>
      </c>
      <c r="F495" s="335" t="s">
        <v>3</v>
      </c>
      <c r="G495" s="335" t="s">
        <v>4</v>
      </c>
      <c r="H495" s="335" t="s">
        <v>742</v>
      </c>
      <c r="I495" s="337" t="s">
        <v>736</v>
      </c>
    </row>
    <row r="496" spans="2:9" s="580" customFormat="1" ht="14.1" customHeight="1">
      <c r="B496" s="308"/>
      <c r="C496" s="543" t="s">
        <v>7</v>
      </c>
      <c r="D496" s="289" t="s">
        <v>810</v>
      </c>
      <c r="E496" s="299"/>
      <c r="F496" s="299"/>
      <c r="G496" s="581"/>
      <c r="H496" s="581"/>
      <c r="I496" s="300"/>
    </row>
    <row r="497" spans="2:9" s="580" customFormat="1" ht="14.1" customHeight="1">
      <c r="B497" s="308"/>
      <c r="C497" s="298"/>
      <c r="D497" s="289" t="s">
        <v>10</v>
      </c>
      <c r="E497" s="285" t="s">
        <v>16</v>
      </c>
      <c r="F497" s="285" t="s">
        <v>726</v>
      </c>
      <c r="G497" s="285" t="s">
        <v>1005</v>
      </c>
      <c r="H497" s="581"/>
      <c r="I497" s="300"/>
    </row>
    <row r="498" spans="2:9" s="580" customFormat="1" ht="14.1" customHeight="1">
      <c r="B498" s="308"/>
      <c r="C498" s="298"/>
      <c r="D498" s="289" t="s">
        <v>143</v>
      </c>
      <c r="E498" s="285" t="s">
        <v>22</v>
      </c>
      <c r="F498" s="285" t="s">
        <v>726</v>
      </c>
      <c r="G498" s="625">
        <v>1300</v>
      </c>
      <c r="H498" s="581"/>
      <c r="I498" s="300"/>
    </row>
    <row r="499" spans="2:9" s="580" customFormat="1" ht="14.1" customHeight="1">
      <c r="B499" s="308"/>
      <c r="C499" s="298"/>
      <c r="D499" s="289" t="s">
        <v>20</v>
      </c>
      <c r="E499" s="285" t="s">
        <v>21</v>
      </c>
      <c r="F499" s="285" t="s">
        <v>726</v>
      </c>
      <c r="G499" s="285" t="s">
        <v>1006</v>
      </c>
      <c r="H499" s="581"/>
      <c r="I499" s="300"/>
    </row>
    <row r="500" spans="2:9" s="580" customFormat="1" ht="14.1" customHeight="1">
      <c r="B500" s="308"/>
      <c r="C500" s="301"/>
      <c r="D500" s="177" t="s">
        <v>11</v>
      </c>
      <c r="E500" s="287" t="s">
        <v>17</v>
      </c>
      <c r="F500" s="287" t="s">
        <v>726</v>
      </c>
      <c r="G500" s="287" t="s">
        <v>1007</v>
      </c>
      <c r="H500" s="586"/>
      <c r="I500" s="303"/>
    </row>
    <row r="501" spans="2:9" s="580" customFormat="1" ht="14.1" customHeight="1">
      <c r="B501" s="308"/>
      <c r="C501" s="609"/>
      <c r="D501" s="316"/>
      <c r="E501" s="316"/>
      <c r="F501" s="316"/>
      <c r="G501" s="1166" t="s">
        <v>727</v>
      </c>
      <c r="H501" s="1167"/>
      <c r="I501" s="584"/>
    </row>
    <row r="502" spans="2:9" s="580" customFormat="1" ht="14.1" customHeight="1">
      <c r="B502" s="308"/>
      <c r="C502" s="292" t="s">
        <v>8</v>
      </c>
      <c r="D502" s="293" t="s">
        <v>811</v>
      </c>
      <c r="E502" s="296"/>
      <c r="F502" s="296"/>
      <c r="G502" s="585"/>
      <c r="H502" s="585"/>
      <c r="I502" s="297"/>
    </row>
    <row r="503" spans="2:9" s="580" customFormat="1" ht="14.1" customHeight="1">
      <c r="B503" s="308"/>
      <c r="C503" s="298"/>
      <c r="D503" s="289" t="s">
        <v>1008</v>
      </c>
      <c r="E503" s="299"/>
      <c r="F503" s="581" t="s">
        <v>750</v>
      </c>
      <c r="G503" s="285" t="s">
        <v>1009</v>
      </c>
      <c r="H503" s="581"/>
      <c r="I503" s="300"/>
    </row>
    <row r="504" spans="2:9" s="580" customFormat="1" ht="14.1" customHeight="1">
      <c r="B504" s="308"/>
      <c r="C504" s="301"/>
      <c r="D504" s="177" t="s">
        <v>1010</v>
      </c>
      <c r="E504" s="302"/>
      <c r="F504" s="287" t="s">
        <v>734</v>
      </c>
      <c r="G504" s="287" t="s">
        <v>1011</v>
      </c>
      <c r="H504" s="586"/>
      <c r="I504" s="303"/>
    </row>
    <row r="505" spans="2:9" s="580" customFormat="1" ht="14.1" customHeight="1">
      <c r="B505" s="308"/>
      <c r="C505" s="609"/>
      <c r="D505" s="316"/>
      <c r="E505" s="316"/>
      <c r="F505" s="316"/>
      <c r="G505" s="1166" t="s">
        <v>728</v>
      </c>
      <c r="H505" s="1167"/>
      <c r="I505" s="584"/>
    </row>
    <row r="506" spans="2:9" s="580" customFormat="1" ht="14.1" customHeight="1">
      <c r="B506" s="308"/>
      <c r="C506" s="292" t="s">
        <v>9</v>
      </c>
      <c r="D506" s="293" t="s">
        <v>815</v>
      </c>
      <c r="E506" s="296"/>
      <c r="F506" s="296"/>
      <c r="G506" s="585"/>
      <c r="H506" s="585"/>
      <c r="I506" s="297"/>
    </row>
    <row r="507" spans="2:9" s="580" customFormat="1" ht="14.1" customHeight="1">
      <c r="B507" s="308"/>
      <c r="C507" s="301"/>
      <c r="D507" s="177" t="s">
        <v>62</v>
      </c>
      <c r="E507" s="302"/>
      <c r="F507" s="287" t="s">
        <v>1012</v>
      </c>
      <c r="G507" s="626">
        <v>10</v>
      </c>
      <c r="H507" s="586"/>
      <c r="I507" s="303"/>
    </row>
    <row r="508" spans="2:9" s="580" customFormat="1" ht="14.1" customHeight="1">
      <c r="B508" s="308"/>
      <c r="C508" s="609"/>
      <c r="D508" s="316"/>
      <c r="E508" s="316"/>
      <c r="F508" s="316"/>
      <c r="G508" s="1170" t="s">
        <v>729</v>
      </c>
      <c r="H508" s="1170"/>
      <c r="I508" s="631"/>
    </row>
    <row r="509" spans="2:9" s="580" customFormat="1" ht="14.1" customHeight="1">
      <c r="B509" s="308"/>
      <c r="C509" s="643" t="s">
        <v>12</v>
      </c>
      <c r="D509" s="1113" t="s">
        <v>730</v>
      </c>
      <c r="E509" s="1114"/>
      <c r="F509" s="1114"/>
      <c r="G509" s="1114"/>
      <c r="H509" s="1115"/>
      <c r="I509" s="306"/>
    </row>
    <row r="510" spans="2:9" s="580" customFormat="1" ht="14.1" customHeight="1">
      <c r="B510" s="308"/>
      <c r="C510" s="643" t="s">
        <v>13</v>
      </c>
      <c r="D510" s="1116" t="s">
        <v>816</v>
      </c>
      <c r="E510" s="1117"/>
      <c r="F510" s="1118"/>
      <c r="G510" s="1168" t="s">
        <v>740</v>
      </c>
      <c r="H510" s="1171"/>
      <c r="I510" s="306"/>
    </row>
    <row r="511" spans="2:9" s="580" customFormat="1" ht="14.1" customHeight="1" thickBot="1">
      <c r="B511" s="308"/>
      <c r="C511" s="644" t="s">
        <v>14</v>
      </c>
      <c r="D511" s="1119" t="s">
        <v>817</v>
      </c>
      <c r="E511" s="1120"/>
      <c r="F511" s="1120"/>
      <c r="G511" s="1120"/>
      <c r="H511" s="1121"/>
      <c r="I511" s="307"/>
    </row>
    <row r="512" spans="2:9" s="580" customFormat="1" ht="14.1" customHeight="1">
      <c r="B512" s="308"/>
      <c r="G512" s="589"/>
      <c r="H512" s="589"/>
    </row>
    <row r="513" spans="2:9" s="567" customFormat="1" ht="16.5" customHeight="1" thickBot="1">
      <c r="B513" s="541">
        <v>26</v>
      </c>
      <c r="C513" s="566" t="s">
        <v>1036</v>
      </c>
      <c r="G513" s="596"/>
      <c r="H513" s="596"/>
    </row>
    <row r="514" spans="2:9" s="580" customFormat="1" ht="35.1" customHeight="1" thickBot="1">
      <c r="B514" s="308"/>
      <c r="C514" s="334" t="s">
        <v>840</v>
      </c>
      <c r="D514" s="335" t="s">
        <v>841</v>
      </c>
      <c r="E514" s="335" t="s">
        <v>842</v>
      </c>
      <c r="F514" s="335" t="s">
        <v>843</v>
      </c>
      <c r="G514" s="431" t="s">
        <v>844</v>
      </c>
      <c r="H514" s="431" t="s">
        <v>845</v>
      </c>
      <c r="I514" s="337" t="s">
        <v>846</v>
      </c>
    </row>
    <row r="515" spans="2:9" s="580" customFormat="1" ht="14.1" customHeight="1">
      <c r="B515" s="308"/>
      <c r="C515" s="543" t="s">
        <v>7</v>
      </c>
      <c r="D515" s="289" t="s">
        <v>810</v>
      </c>
      <c r="E515" s="299"/>
      <c r="F515" s="299"/>
      <c r="G515" s="581"/>
      <c r="H515" s="581"/>
      <c r="I515" s="300"/>
    </row>
    <row r="516" spans="2:9" s="580" customFormat="1" ht="14.1" customHeight="1">
      <c r="B516" s="308"/>
      <c r="C516" s="298"/>
      <c r="D516" s="289" t="s">
        <v>10</v>
      </c>
      <c r="E516" s="285" t="s">
        <v>16</v>
      </c>
      <c r="F516" s="285" t="s">
        <v>726</v>
      </c>
      <c r="G516" s="285" t="s">
        <v>1013</v>
      </c>
      <c r="H516" s="581"/>
      <c r="I516" s="300"/>
    </row>
    <row r="517" spans="2:9" s="580" customFormat="1" ht="14.1" customHeight="1">
      <c r="B517" s="308"/>
      <c r="C517" s="298"/>
      <c r="D517" s="289" t="s">
        <v>143</v>
      </c>
      <c r="E517" s="285" t="s">
        <v>22</v>
      </c>
      <c r="F517" s="285" t="s">
        <v>726</v>
      </c>
      <c r="G517" s="625">
        <v>1300</v>
      </c>
      <c r="H517" s="581"/>
      <c r="I517" s="300"/>
    </row>
    <row r="518" spans="2:9" s="580" customFormat="1" ht="14.1" customHeight="1">
      <c r="B518" s="308"/>
      <c r="C518" s="298"/>
      <c r="D518" s="289" t="s">
        <v>20</v>
      </c>
      <c r="E518" s="285" t="s">
        <v>21</v>
      </c>
      <c r="F518" s="285" t="s">
        <v>726</v>
      </c>
      <c r="G518" s="285" t="s">
        <v>1014</v>
      </c>
      <c r="H518" s="581"/>
      <c r="I518" s="300"/>
    </row>
    <row r="519" spans="2:9" s="580" customFormat="1" ht="14.1" customHeight="1">
      <c r="B519" s="308"/>
      <c r="C519" s="301"/>
      <c r="D519" s="177" t="s">
        <v>11</v>
      </c>
      <c r="E519" s="287" t="s">
        <v>17</v>
      </c>
      <c r="F519" s="287" t="s">
        <v>726</v>
      </c>
      <c r="G519" s="287" t="s">
        <v>1007</v>
      </c>
      <c r="H519" s="586"/>
      <c r="I519" s="303"/>
    </row>
    <row r="520" spans="2:9" s="580" customFormat="1" ht="14.1" customHeight="1">
      <c r="B520" s="308"/>
      <c r="C520" s="609"/>
      <c r="D520" s="316"/>
      <c r="E520" s="316"/>
      <c r="F520" s="316"/>
      <c r="G520" s="1166" t="s">
        <v>727</v>
      </c>
      <c r="H520" s="1167"/>
      <c r="I520" s="584"/>
    </row>
    <row r="521" spans="2:9" s="580" customFormat="1" ht="14.1" customHeight="1">
      <c r="B521" s="308"/>
      <c r="C521" s="292" t="s">
        <v>8</v>
      </c>
      <c r="D521" s="293" t="s">
        <v>811</v>
      </c>
      <c r="E521" s="296"/>
      <c r="F521" s="296"/>
      <c r="G521" s="585"/>
      <c r="H521" s="585"/>
      <c r="I521" s="297"/>
    </row>
    <row r="522" spans="2:9" s="580" customFormat="1" ht="14.1" customHeight="1">
      <c r="B522" s="308"/>
      <c r="C522" s="298"/>
      <c r="D522" s="289" t="s">
        <v>1015</v>
      </c>
      <c r="E522" s="299"/>
      <c r="F522" s="581" t="s">
        <v>750</v>
      </c>
      <c r="G522" s="285" t="s">
        <v>1016</v>
      </c>
      <c r="H522" s="581"/>
      <c r="I522" s="300"/>
    </row>
    <row r="523" spans="2:9" s="580" customFormat="1" ht="14.1" customHeight="1">
      <c r="B523" s="308"/>
      <c r="C523" s="301"/>
      <c r="D523" s="177" t="s">
        <v>1010</v>
      </c>
      <c r="E523" s="302"/>
      <c r="F523" s="287" t="s">
        <v>734</v>
      </c>
      <c r="G523" s="288">
        <v>6.3E-2</v>
      </c>
      <c r="H523" s="586"/>
      <c r="I523" s="303"/>
    </row>
    <row r="524" spans="2:9" s="580" customFormat="1" ht="14.1" customHeight="1">
      <c r="B524" s="308"/>
      <c r="C524" s="609"/>
      <c r="D524" s="316"/>
      <c r="E524" s="316"/>
      <c r="F524" s="316"/>
      <c r="G524" s="1166" t="s">
        <v>728</v>
      </c>
      <c r="H524" s="1167"/>
      <c r="I524" s="584"/>
    </row>
    <row r="525" spans="2:9" s="580" customFormat="1" ht="14.1" customHeight="1">
      <c r="B525" s="308"/>
      <c r="C525" s="292" t="s">
        <v>9</v>
      </c>
      <c r="D525" s="293" t="s">
        <v>815</v>
      </c>
      <c r="E525" s="296"/>
      <c r="F525" s="296"/>
      <c r="G525" s="585"/>
      <c r="H525" s="585"/>
      <c r="I525" s="297"/>
    </row>
    <row r="526" spans="2:9" s="580" customFormat="1" ht="14.1" customHeight="1">
      <c r="B526" s="308"/>
      <c r="C526" s="301"/>
      <c r="D526" s="177" t="s">
        <v>62</v>
      </c>
      <c r="E526" s="302"/>
      <c r="F526" s="287" t="s">
        <v>1012</v>
      </c>
      <c r="G526" s="626">
        <v>10</v>
      </c>
      <c r="H526" s="586"/>
      <c r="I526" s="303"/>
    </row>
    <row r="527" spans="2:9" s="580" customFormat="1" ht="14.1" customHeight="1">
      <c r="B527" s="308"/>
      <c r="C527" s="609"/>
      <c r="D527" s="316"/>
      <c r="E527" s="316"/>
      <c r="F527" s="316"/>
      <c r="G527" s="1166" t="s">
        <v>729</v>
      </c>
      <c r="H527" s="1167"/>
      <c r="I527" s="584"/>
    </row>
    <row r="528" spans="2:9" s="580" customFormat="1" ht="14.1" customHeight="1">
      <c r="B528" s="308"/>
      <c r="C528" s="290" t="s">
        <v>12</v>
      </c>
      <c r="D528" s="1113" t="s">
        <v>730</v>
      </c>
      <c r="E528" s="1114"/>
      <c r="F528" s="1114"/>
      <c r="G528" s="1160"/>
      <c r="H528" s="1160"/>
      <c r="I528" s="305"/>
    </row>
    <row r="529" spans="2:9" s="580" customFormat="1" ht="14.1" customHeight="1">
      <c r="B529" s="308"/>
      <c r="C529" s="290" t="s">
        <v>13</v>
      </c>
      <c r="D529" s="1116" t="s">
        <v>816</v>
      </c>
      <c r="E529" s="1117"/>
      <c r="F529" s="1118"/>
      <c r="G529" s="1168" t="s">
        <v>740</v>
      </c>
      <c r="H529" s="1169"/>
      <c r="I529" s="306"/>
    </row>
    <row r="530" spans="2:9" s="580" customFormat="1" ht="14.1" customHeight="1" thickBot="1">
      <c r="B530" s="308"/>
      <c r="C530" s="291" t="s">
        <v>14</v>
      </c>
      <c r="D530" s="1119" t="s">
        <v>817</v>
      </c>
      <c r="E530" s="1120"/>
      <c r="F530" s="1120"/>
      <c r="G530" s="1120"/>
      <c r="H530" s="1120"/>
      <c r="I530" s="307"/>
    </row>
    <row r="531" spans="2:9" ht="14.1" customHeight="1">
      <c r="C531" s="1"/>
    </row>
    <row r="532" spans="2:9" s="277" customFormat="1" ht="13.5" thickBot="1">
      <c r="B532" s="517">
        <v>27</v>
      </c>
      <c r="C532" s="652" t="s">
        <v>471</v>
      </c>
      <c r="E532" s="280"/>
      <c r="F532" s="281"/>
      <c r="G532" s="614"/>
      <c r="H532" s="615"/>
      <c r="I532" s="615"/>
    </row>
    <row r="533" spans="2:9">
      <c r="C533" s="1069" t="s">
        <v>0</v>
      </c>
      <c r="D533" s="1071" t="s">
        <v>1</v>
      </c>
      <c r="E533" s="1073" t="s">
        <v>2</v>
      </c>
      <c r="F533" s="1071" t="s">
        <v>3</v>
      </c>
      <c r="G533" s="1185" t="s">
        <v>4</v>
      </c>
      <c r="H533" s="7" t="s">
        <v>5</v>
      </c>
      <c r="I533" s="13" t="s">
        <v>59</v>
      </c>
    </row>
    <row r="534" spans="2:9" ht="13.5" thickBot="1">
      <c r="C534" s="1070"/>
      <c r="D534" s="1072"/>
      <c r="E534" s="1074"/>
      <c r="F534" s="1072"/>
      <c r="G534" s="1186"/>
      <c r="H534" s="8" t="s">
        <v>6</v>
      </c>
      <c r="I534" s="14" t="s">
        <v>6</v>
      </c>
    </row>
    <row r="535" spans="2:9" ht="14.1" customHeight="1">
      <c r="C535" s="16" t="s">
        <v>7</v>
      </c>
      <c r="D535" s="17" t="s">
        <v>74</v>
      </c>
      <c r="E535" s="18"/>
      <c r="F535" s="19"/>
      <c r="G535" s="57"/>
      <c r="H535" s="20"/>
      <c r="I535" s="927"/>
    </row>
    <row r="536" spans="2:9" ht="14.1" customHeight="1">
      <c r="C536" s="16">
        <v>1</v>
      </c>
      <c r="D536" s="17" t="s">
        <v>10</v>
      </c>
      <c r="E536" s="18"/>
      <c r="F536" s="19" t="s">
        <v>66</v>
      </c>
      <c r="G536" s="72">
        <v>0.3</v>
      </c>
      <c r="H536" s="20"/>
      <c r="I536" s="927"/>
    </row>
    <row r="537" spans="2:9" ht="14.1" customHeight="1">
      <c r="C537" s="16">
        <v>2</v>
      </c>
      <c r="D537" s="17" t="s">
        <v>143</v>
      </c>
      <c r="E537" s="18"/>
      <c r="F537" s="19" t="s">
        <v>66</v>
      </c>
      <c r="G537" s="72">
        <v>0.1</v>
      </c>
      <c r="H537" s="20"/>
      <c r="I537" s="927"/>
    </row>
    <row r="538" spans="2:9" ht="14.1" customHeight="1">
      <c r="C538" s="16">
        <v>3</v>
      </c>
      <c r="D538" s="17" t="s">
        <v>20</v>
      </c>
      <c r="E538" s="26"/>
      <c r="F538" s="19" t="s">
        <v>66</v>
      </c>
      <c r="G538" s="72">
        <v>0.01</v>
      </c>
      <c r="H538" s="20"/>
      <c r="I538" s="928">
        <f>G538*H538</f>
        <v>0</v>
      </c>
    </row>
    <row r="539" spans="2:9" ht="14.1" customHeight="1">
      <c r="C539" s="16">
        <v>4</v>
      </c>
      <c r="D539" s="17" t="s">
        <v>11</v>
      </c>
      <c r="E539" s="26"/>
      <c r="F539" s="19" t="s">
        <v>66</v>
      </c>
      <c r="G539" s="101">
        <v>1.4999999999999999E-2</v>
      </c>
      <c r="H539" s="20"/>
      <c r="I539" s="928">
        <f>G539*H539</f>
        <v>0</v>
      </c>
    </row>
    <row r="540" spans="2:9" ht="14.1" customHeight="1">
      <c r="C540" s="1099" t="s">
        <v>60</v>
      </c>
      <c r="D540" s="1100"/>
      <c r="E540" s="1100"/>
      <c r="F540" s="1100"/>
      <c r="G540" s="1100"/>
      <c r="H540" s="1101"/>
      <c r="I540" s="929">
        <f>SUM(I535:I539)</f>
        <v>0</v>
      </c>
    </row>
    <row r="541" spans="2:9" ht="14.1" customHeight="1">
      <c r="C541" s="16" t="s">
        <v>8</v>
      </c>
      <c r="D541" s="17" t="s">
        <v>61</v>
      </c>
      <c r="E541" s="18"/>
      <c r="F541" s="22"/>
      <c r="G541" s="58"/>
      <c r="H541" s="24"/>
      <c r="I541" s="927"/>
    </row>
    <row r="542" spans="2:9" ht="14.1" customHeight="1">
      <c r="C542" s="16">
        <v>1</v>
      </c>
      <c r="D542" s="66" t="s">
        <v>216</v>
      </c>
      <c r="E542" s="18"/>
      <c r="F542" s="67" t="s">
        <v>15</v>
      </c>
      <c r="G542" s="102">
        <v>12.5</v>
      </c>
      <c r="H542" s="24"/>
      <c r="I542" s="928">
        <f>G542*H542</f>
        <v>0</v>
      </c>
    </row>
    <row r="543" spans="2:9" ht="14.1" customHeight="1">
      <c r="C543" s="16">
        <v>2</v>
      </c>
      <c r="D543" s="66" t="s">
        <v>156</v>
      </c>
      <c r="E543" s="18"/>
      <c r="F543" s="67" t="s">
        <v>56</v>
      </c>
      <c r="G543" s="102">
        <v>12.13</v>
      </c>
      <c r="H543" s="24"/>
      <c r="I543" s="928"/>
    </row>
    <row r="544" spans="2:9" ht="14.1" customHeight="1">
      <c r="C544" s="16">
        <v>3</v>
      </c>
      <c r="D544" s="73" t="s">
        <v>211</v>
      </c>
      <c r="E544" s="18"/>
      <c r="F544" s="67" t="s">
        <v>458</v>
      </c>
      <c r="G544" s="102">
        <v>0.38800000000000001</v>
      </c>
      <c r="H544" s="24"/>
      <c r="I544" s="928">
        <f>G544*H544</f>
        <v>0</v>
      </c>
    </row>
    <row r="545" spans="2:9" ht="14.1" customHeight="1">
      <c r="C545" s="1099" t="s">
        <v>18</v>
      </c>
      <c r="D545" s="1100"/>
      <c r="E545" s="1100"/>
      <c r="F545" s="1100"/>
      <c r="G545" s="1100"/>
      <c r="H545" s="1101"/>
      <c r="I545" s="929">
        <f>SUM(I541:I544)</f>
        <v>0</v>
      </c>
    </row>
    <row r="546" spans="2:9" ht="14.1" customHeight="1">
      <c r="C546" s="16" t="s">
        <v>9</v>
      </c>
      <c r="D546" s="17" t="s">
        <v>62</v>
      </c>
      <c r="E546" s="28"/>
      <c r="F546" s="15"/>
      <c r="G546" s="60"/>
      <c r="H546" s="15"/>
      <c r="I546" s="927"/>
    </row>
    <row r="547" spans="2:9" ht="14.1" customHeight="1">
      <c r="C547" s="16"/>
      <c r="D547" s="17"/>
      <c r="E547" s="18"/>
      <c r="F547" s="22"/>
      <c r="G547" s="59"/>
      <c r="H547" s="20"/>
      <c r="I547" s="928">
        <f>G547*H547</f>
        <v>0</v>
      </c>
    </row>
    <row r="548" spans="2:9" ht="14.1" customHeight="1">
      <c r="C548" s="1099" t="s">
        <v>63</v>
      </c>
      <c r="D548" s="1100"/>
      <c r="E548" s="1100"/>
      <c r="F548" s="1100"/>
      <c r="G548" s="1100"/>
      <c r="H548" s="1101"/>
      <c r="I548" s="929">
        <f>SUM(I546:I547)</f>
        <v>0</v>
      </c>
    </row>
    <row r="549" spans="2:9" ht="14.1" customHeight="1">
      <c r="C549" s="310" t="s">
        <v>12</v>
      </c>
      <c r="D549" s="1102" t="s">
        <v>64</v>
      </c>
      <c r="E549" s="1103"/>
      <c r="F549" s="1103"/>
      <c r="G549" s="1103"/>
      <c r="H549" s="1104"/>
      <c r="I549" s="929">
        <f>I540+I545+I548</f>
        <v>0</v>
      </c>
    </row>
    <row r="550" spans="2:9" ht="14.1" customHeight="1">
      <c r="C550" s="312" t="s">
        <v>13</v>
      </c>
      <c r="D550" s="1105" t="s">
        <v>65</v>
      </c>
      <c r="E550" s="1106"/>
      <c r="F550" s="1107"/>
      <c r="G550" s="34"/>
      <c r="H550" s="29">
        <f>I549</f>
        <v>0</v>
      </c>
      <c r="I550" s="930">
        <f>G550*H550</f>
        <v>0</v>
      </c>
    </row>
    <row r="551" spans="2:9" ht="14.1" customHeight="1" thickBot="1">
      <c r="C551" s="311" t="s">
        <v>14</v>
      </c>
      <c r="D551" s="1096" t="s">
        <v>73</v>
      </c>
      <c r="E551" s="1097"/>
      <c r="F551" s="1097"/>
      <c r="G551" s="1097"/>
      <c r="H551" s="1098"/>
      <c r="I551" s="931">
        <f>I549+I550</f>
        <v>0</v>
      </c>
    </row>
    <row r="552" spans="2:9" ht="14.1" customHeight="1"/>
    <row r="553" spans="2:9" s="277" customFormat="1" ht="13.5" thickBot="1">
      <c r="B553" s="517">
        <v>28</v>
      </c>
      <c r="C553" s="652" t="str">
        <f>REKAP!E111</f>
        <v>Memasang dinding terawang (roster) ukuran (12 x 11 x 24) cm, campuran spesi 1 PC : 3 PP</v>
      </c>
      <c r="E553" s="280"/>
      <c r="F553" s="281"/>
      <c r="G553" s="614"/>
      <c r="H553" s="615"/>
      <c r="I553" s="615"/>
    </row>
    <row r="554" spans="2:9">
      <c r="C554" s="1069" t="s">
        <v>0</v>
      </c>
      <c r="D554" s="1071" t="s">
        <v>1</v>
      </c>
      <c r="E554" s="1073" t="s">
        <v>2</v>
      </c>
      <c r="F554" s="1071" t="s">
        <v>3</v>
      </c>
      <c r="G554" s="1185" t="s">
        <v>4</v>
      </c>
      <c r="H554" s="7" t="s">
        <v>5</v>
      </c>
      <c r="I554" s="13" t="s">
        <v>59</v>
      </c>
    </row>
    <row r="555" spans="2:9" ht="13.5" thickBot="1">
      <c r="C555" s="1070"/>
      <c r="D555" s="1072"/>
      <c r="E555" s="1074"/>
      <c r="F555" s="1072"/>
      <c r="G555" s="1186"/>
      <c r="H555" s="8" t="s">
        <v>6</v>
      </c>
      <c r="I555" s="14" t="s">
        <v>6</v>
      </c>
    </row>
    <row r="556" spans="2:9" ht="14.1" customHeight="1">
      <c r="C556" s="16" t="s">
        <v>7</v>
      </c>
      <c r="D556" s="17" t="s">
        <v>74</v>
      </c>
      <c r="E556" s="18"/>
      <c r="F556" s="19"/>
      <c r="G556" s="57"/>
      <c r="H556" s="20"/>
      <c r="I556" s="927"/>
    </row>
    <row r="557" spans="2:9" ht="14.1" customHeight="1">
      <c r="C557" s="16">
        <v>1</v>
      </c>
      <c r="D557" s="17" t="s">
        <v>10</v>
      </c>
      <c r="E557" s="18"/>
      <c r="F557" s="19" t="s">
        <v>66</v>
      </c>
      <c r="G557" s="97">
        <v>0.3</v>
      </c>
      <c r="H557" s="20"/>
      <c r="I557" s="927"/>
    </row>
    <row r="558" spans="2:9" ht="14.1" customHeight="1">
      <c r="C558" s="16">
        <v>2</v>
      </c>
      <c r="D558" s="17" t="s">
        <v>143</v>
      </c>
      <c r="E558" s="18"/>
      <c r="F558" s="19" t="s">
        <v>66</v>
      </c>
      <c r="G558" s="97">
        <v>0.1</v>
      </c>
      <c r="H558" s="20"/>
      <c r="I558" s="927"/>
    </row>
    <row r="559" spans="2:9" ht="14.1" customHeight="1">
      <c r="C559" s="16">
        <v>3</v>
      </c>
      <c r="D559" s="17" t="s">
        <v>20</v>
      </c>
      <c r="E559" s="26"/>
      <c r="F559" s="19" t="s">
        <v>66</v>
      </c>
      <c r="G559" s="97">
        <v>0.01</v>
      </c>
      <c r="H559" s="20"/>
      <c r="I559" s="928">
        <f>G559*H559</f>
        <v>0</v>
      </c>
    </row>
    <row r="560" spans="2:9" ht="14.1" customHeight="1">
      <c r="C560" s="16">
        <v>4</v>
      </c>
      <c r="D560" s="17" t="s">
        <v>11</v>
      </c>
      <c r="E560" s="26"/>
      <c r="F560" s="19" t="s">
        <v>66</v>
      </c>
      <c r="G560" s="100">
        <v>1.4999999999999999E-2</v>
      </c>
      <c r="H560" s="20"/>
      <c r="I560" s="928">
        <f>G560*H560</f>
        <v>0</v>
      </c>
    </row>
    <row r="561" spans="2:9" ht="14.1" customHeight="1">
      <c r="C561" s="1099" t="s">
        <v>60</v>
      </c>
      <c r="D561" s="1100"/>
      <c r="E561" s="1100"/>
      <c r="F561" s="1100"/>
      <c r="G561" s="1100"/>
      <c r="H561" s="1101"/>
      <c r="I561" s="929">
        <f>SUM(I556:I560)</f>
        <v>0</v>
      </c>
    </row>
    <row r="562" spans="2:9" ht="14.1" customHeight="1">
      <c r="C562" s="16" t="s">
        <v>8</v>
      </c>
      <c r="D562" s="17" t="s">
        <v>61</v>
      </c>
      <c r="E562" s="18"/>
      <c r="F562" s="22"/>
      <c r="G562" s="58"/>
      <c r="H562" s="24"/>
      <c r="I562" s="927"/>
    </row>
    <row r="563" spans="2:9" ht="14.1" customHeight="1">
      <c r="C563" s="16">
        <v>1</v>
      </c>
      <c r="D563" s="65" t="s">
        <v>217</v>
      </c>
      <c r="E563" s="18"/>
      <c r="F563" s="69" t="s">
        <v>215</v>
      </c>
      <c r="G563" s="103">
        <v>30</v>
      </c>
      <c r="H563" s="24"/>
      <c r="I563" s="928">
        <f>G563*H563</f>
        <v>0</v>
      </c>
    </row>
    <row r="564" spans="2:9" ht="14.1" customHeight="1">
      <c r="C564" s="16">
        <v>2</v>
      </c>
      <c r="D564" s="65" t="s">
        <v>212</v>
      </c>
      <c r="E564" s="18"/>
      <c r="F564" s="69" t="s">
        <v>56</v>
      </c>
      <c r="G564" s="102">
        <v>14</v>
      </c>
      <c r="H564" s="24"/>
      <c r="I564" s="928"/>
    </row>
    <row r="565" spans="2:9" ht="14.1" customHeight="1">
      <c r="C565" s="16">
        <v>3</v>
      </c>
      <c r="D565" s="66" t="s">
        <v>141</v>
      </c>
      <c r="E565" s="18"/>
      <c r="F565" s="69" t="s">
        <v>458</v>
      </c>
      <c r="G565" s="102">
        <v>3.2000000000000001E-2</v>
      </c>
      <c r="H565" s="24"/>
      <c r="I565" s="928">
        <f>G565*H565</f>
        <v>0</v>
      </c>
    </row>
    <row r="566" spans="2:9" ht="14.1" customHeight="1">
      <c r="C566" s="1099" t="s">
        <v>18</v>
      </c>
      <c r="D566" s="1100"/>
      <c r="E566" s="1100"/>
      <c r="F566" s="1100"/>
      <c r="G566" s="1100"/>
      <c r="H566" s="1101"/>
      <c r="I566" s="929">
        <f>SUM(I562:I565)</f>
        <v>0</v>
      </c>
    </row>
    <row r="567" spans="2:9" ht="14.1" customHeight="1">
      <c r="C567" s="16" t="s">
        <v>9</v>
      </c>
      <c r="D567" s="17" t="s">
        <v>62</v>
      </c>
      <c r="E567" s="28"/>
      <c r="F567" s="15"/>
      <c r="G567" s="60"/>
      <c r="H567" s="15"/>
      <c r="I567" s="927"/>
    </row>
    <row r="568" spans="2:9" ht="14.1" customHeight="1">
      <c r="C568" s="16"/>
      <c r="D568" s="17"/>
      <c r="E568" s="18"/>
      <c r="F568" s="22"/>
      <c r="G568" s="59"/>
      <c r="H568" s="20"/>
      <c r="I568" s="928">
        <f>G568*H568</f>
        <v>0</v>
      </c>
    </row>
    <row r="569" spans="2:9" ht="14.1" customHeight="1">
      <c r="C569" s="1099" t="s">
        <v>63</v>
      </c>
      <c r="D569" s="1100"/>
      <c r="E569" s="1100"/>
      <c r="F569" s="1100"/>
      <c r="G569" s="1100"/>
      <c r="H569" s="1101"/>
      <c r="I569" s="929">
        <f>SUM(I567:I568)</f>
        <v>0</v>
      </c>
    </row>
    <row r="570" spans="2:9" ht="14.1" customHeight="1">
      <c r="C570" s="310" t="s">
        <v>12</v>
      </c>
      <c r="D570" s="1102" t="s">
        <v>64</v>
      </c>
      <c r="E570" s="1103"/>
      <c r="F570" s="1103"/>
      <c r="G570" s="1103"/>
      <c r="H570" s="1104"/>
      <c r="I570" s="929">
        <f>I561+I566+I569</f>
        <v>0</v>
      </c>
    </row>
    <row r="571" spans="2:9" ht="14.1" customHeight="1">
      <c r="C571" s="312" t="s">
        <v>13</v>
      </c>
      <c r="D571" s="1105" t="s">
        <v>65</v>
      </c>
      <c r="E571" s="1106"/>
      <c r="F571" s="1107"/>
      <c r="G571" s="34"/>
      <c r="H571" s="29">
        <f>I570</f>
        <v>0</v>
      </c>
      <c r="I571" s="930">
        <f>G571*H571</f>
        <v>0</v>
      </c>
    </row>
    <row r="572" spans="2:9" ht="14.1" customHeight="1" thickBot="1">
      <c r="C572" s="311" t="s">
        <v>14</v>
      </c>
      <c r="D572" s="1096" t="s">
        <v>73</v>
      </c>
      <c r="E572" s="1097"/>
      <c r="F572" s="1097"/>
      <c r="G572" s="1097"/>
      <c r="H572" s="1098"/>
      <c r="I572" s="931">
        <f>I570+I571</f>
        <v>0</v>
      </c>
    </row>
    <row r="573" spans="2:9" ht="14.1" customHeight="1"/>
    <row r="574" spans="2:9" s="277" customFormat="1" ht="14.1" customHeight="1" thickBot="1">
      <c r="B574" s="517">
        <v>29</v>
      </c>
      <c r="C574" s="279" t="str">
        <f>REKAP!E114</f>
        <v>Memasang rollag bata , campuran spesi 1 PC : 3 PP</v>
      </c>
      <c r="D574" s="615"/>
      <c r="E574" s="615"/>
      <c r="F574" s="615"/>
      <c r="G574" s="615"/>
      <c r="H574" s="615"/>
      <c r="I574" s="615"/>
    </row>
    <row r="575" spans="2:9">
      <c r="C575" s="1069" t="s">
        <v>0</v>
      </c>
      <c r="D575" s="1071" t="s">
        <v>1</v>
      </c>
      <c r="E575" s="1073" t="s">
        <v>2</v>
      </c>
      <c r="F575" s="1071" t="s">
        <v>3</v>
      </c>
      <c r="G575" s="1185" t="s">
        <v>4</v>
      </c>
      <c r="H575" s="7" t="s">
        <v>5</v>
      </c>
      <c r="I575" s="13" t="s">
        <v>59</v>
      </c>
    </row>
    <row r="576" spans="2:9" ht="13.5" thickBot="1">
      <c r="C576" s="1070"/>
      <c r="D576" s="1072"/>
      <c r="E576" s="1074"/>
      <c r="F576" s="1072"/>
      <c r="G576" s="1186"/>
      <c r="H576" s="8" t="s">
        <v>6</v>
      </c>
      <c r="I576" s="14" t="s">
        <v>6</v>
      </c>
    </row>
    <row r="577" spans="3:9" ht="14.1" customHeight="1">
      <c r="C577" s="16" t="s">
        <v>7</v>
      </c>
      <c r="D577" s="17" t="s">
        <v>74</v>
      </c>
      <c r="E577" s="18"/>
      <c r="F577" s="19"/>
      <c r="G577" s="57"/>
      <c r="H577" s="20"/>
      <c r="I577" s="21"/>
    </row>
    <row r="578" spans="3:9" ht="14.1" customHeight="1">
      <c r="C578" s="16">
        <v>1</v>
      </c>
      <c r="D578" s="17" t="s">
        <v>10</v>
      </c>
      <c r="E578" s="18"/>
      <c r="F578" s="19" t="s">
        <v>66</v>
      </c>
      <c r="G578" s="97">
        <v>0.09</v>
      </c>
      <c r="H578" s="20"/>
      <c r="I578" s="927"/>
    </row>
    <row r="579" spans="3:9" ht="14.1" customHeight="1">
      <c r="C579" s="16">
        <v>2</v>
      </c>
      <c r="D579" s="17" t="s">
        <v>143</v>
      </c>
      <c r="E579" s="18"/>
      <c r="F579" s="19" t="s">
        <v>66</v>
      </c>
      <c r="G579" s="97">
        <v>0.03</v>
      </c>
      <c r="H579" s="20"/>
      <c r="I579" s="927"/>
    </row>
    <row r="580" spans="3:9" ht="14.1" customHeight="1">
      <c r="C580" s="16">
        <v>3</v>
      </c>
      <c r="D580" s="17" t="s">
        <v>20</v>
      </c>
      <c r="E580" s="26"/>
      <c r="F580" s="19" t="s">
        <v>66</v>
      </c>
      <c r="G580" s="97">
        <v>3.0000000000000001E-3</v>
      </c>
      <c r="H580" s="20"/>
      <c r="I580" s="928">
        <f>G580*H580</f>
        <v>0</v>
      </c>
    </row>
    <row r="581" spans="3:9" ht="14.1" customHeight="1">
      <c r="C581" s="16">
        <v>4</v>
      </c>
      <c r="D581" s="17" t="s">
        <v>11</v>
      </c>
      <c r="E581" s="26"/>
      <c r="F581" s="19" t="s">
        <v>66</v>
      </c>
      <c r="G581" s="100">
        <v>4.4999999999999997E-3</v>
      </c>
      <c r="H581" s="20"/>
      <c r="I581" s="928">
        <f>G581*H581</f>
        <v>0</v>
      </c>
    </row>
    <row r="582" spans="3:9" ht="14.1" customHeight="1">
      <c r="C582" s="1099" t="s">
        <v>60</v>
      </c>
      <c r="D582" s="1100"/>
      <c r="E582" s="1100"/>
      <c r="F582" s="1100"/>
      <c r="G582" s="1100"/>
      <c r="H582" s="1101"/>
      <c r="I582" s="929">
        <f>SUM(I577:I581)</f>
        <v>0</v>
      </c>
    </row>
    <row r="583" spans="3:9" ht="14.1" customHeight="1">
      <c r="C583" s="16" t="s">
        <v>8</v>
      </c>
      <c r="D583" s="17" t="s">
        <v>61</v>
      </c>
      <c r="E583" s="18"/>
      <c r="F583" s="22"/>
      <c r="G583" s="58"/>
      <c r="H583" s="24"/>
      <c r="I583" s="927"/>
    </row>
    <row r="584" spans="3:9" ht="14.1" customHeight="1">
      <c r="C584" s="16">
        <v>1</v>
      </c>
      <c r="D584" s="65" t="s">
        <v>145</v>
      </c>
      <c r="E584" s="18"/>
      <c r="F584" s="69" t="s">
        <v>15</v>
      </c>
      <c r="G584" s="103">
        <v>17</v>
      </c>
      <c r="H584" s="24"/>
      <c r="I584" s="928">
        <f>G584*H584</f>
        <v>0</v>
      </c>
    </row>
    <row r="585" spans="3:9" ht="14.1" customHeight="1">
      <c r="C585" s="16">
        <v>2</v>
      </c>
      <c r="D585" s="65" t="s">
        <v>212</v>
      </c>
      <c r="E585" s="18"/>
      <c r="F585" s="69" t="s">
        <v>56</v>
      </c>
      <c r="G585" s="103">
        <v>4.9424999999999999</v>
      </c>
      <c r="H585" s="24"/>
      <c r="I585" s="928"/>
    </row>
    <row r="586" spans="3:9" ht="14.1" customHeight="1">
      <c r="C586" s="16">
        <v>3</v>
      </c>
      <c r="D586" s="66" t="s">
        <v>141</v>
      </c>
      <c r="E586" s="18"/>
      <c r="F586" s="69" t="s">
        <v>19</v>
      </c>
      <c r="G586" s="103">
        <v>1.37E-2</v>
      </c>
      <c r="H586" s="24"/>
      <c r="I586" s="928">
        <f>G586*H586</f>
        <v>0</v>
      </c>
    </row>
    <row r="587" spans="3:9" ht="14.1" customHeight="1">
      <c r="C587" s="1099" t="s">
        <v>18</v>
      </c>
      <c r="D587" s="1100"/>
      <c r="E587" s="1100"/>
      <c r="F587" s="1100"/>
      <c r="G587" s="1100"/>
      <c r="H587" s="1101"/>
      <c r="I587" s="929">
        <f>SUM(I583:I586)</f>
        <v>0</v>
      </c>
    </row>
    <row r="588" spans="3:9" ht="14.1" customHeight="1">
      <c r="C588" s="16" t="s">
        <v>9</v>
      </c>
      <c r="D588" s="17" t="s">
        <v>62</v>
      </c>
      <c r="E588" s="28"/>
      <c r="F588" s="15"/>
      <c r="G588" s="60"/>
      <c r="H588" s="15"/>
      <c r="I588" s="927"/>
    </row>
    <row r="589" spans="3:9" ht="14.1" customHeight="1">
      <c r="C589" s="16"/>
      <c r="D589" s="17"/>
      <c r="E589" s="18"/>
      <c r="F589" s="22"/>
      <c r="G589" s="59"/>
      <c r="H589" s="20"/>
      <c r="I589" s="928">
        <f>G589*H589</f>
        <v>0</v>
      </c>
    </row>
    <row r="590" spans="3:9" ht="14.1" customHeight="1">
      <c r="C590" s="1099" t="s">
        <v>63</v>
      </c>
      <c r="D590" s="1100"/>
      <c r="E590" s="1100"/>
      <c r="F590" s="1100"/>
      <c r="G590" s="1100"/>
      <c r="H590" s="1101"/>
      <c r="I590" s="929">
        <f>SUM(I588:I589)</f>
        <v>0</v>
      </c>
    </row>
    <row r="591" spans="3:9" ht="14.1" customHeight="1">
      <c r="C591" s="310" t="s">
        <v>12</v>
      </c>
      <c r="D591" s="1102" t="s">
        <v>64</v>
      </c>
      <c r="E591" s="1103"/>
      <c r="F591" s="1103"/>
      <c r="G591" s="1103"/>
      <c r="H591" s="1104"/>
      <c r="I591" s="929">
        <f>I582+I587+I590</f>
        <v>0</v>
      </c>
    </row>
    <row r="592" spans="3:9" ht="14.1" customHeight="1">
      <c r="C592" s="312" t="s">
        <v>13</v>
      </c>
      <c r="D592" s="1105" t="s">
        <v>65</v>
      </c>
      <c r="E592" s="1106"/>
      <c r="F592" s="1107"/>
      <c r="G592" s="34"/>
      <c r="H592" s="29">
        <f>I591</f>
        <v>0</v>
      </c>
      <c r="I592" s="930">
        <f>G592*H592</f>
        <v>0</v>
      </c>
    </row>
    <row r="593" spans="3:9" ht="14.1" customHeight="1" thickBot="1">
      <c r="C593" s="311" t="s">
        <v>14</v>
      </c>
      <c r="D593" s="1096" t="s">
        <v>73</v>
      </c>
      <c r="E593" s="1097"/>
      <c r="F593" s="1097"/>
      <c r="G593" s="1097"/>
      <c r="H593" s="1098"/>
      <c r="I593" s="931">
        <f>I591+I592</f>
        <v>0</v>
      </c>
    </row>
  </sheetData>
  <mergeCells count="217">
    <mergeCell ref="C561:H561"/>
    <mergeCell ref="C566:H566"/>
    <mergeCell ref="C569:H569"/>
    <mergeCell ref="D570:H570"/>
    <mergeCell ref="D571:F571"/>
    <mergeCell ref="D572:H572"/>
    <mergeCell ref="D388:H388"/>
    <mergeCell ref="D389:F389"/>
    <mergeCell ref="G389:H389"/>
    <mergeCell ref="D390:H390"/>
    <mergeCell ref="G399:H399"/>
    <mergeCell ref="G405:H405"/>
    <mergeCell ref="G408:H408"/>
    <mergeCell ref="C554:C555"/>
    <mergeCell ref="D554:D555"/>
    <mergeCell ref="E554:E555"/>
    <mergeCell ref="F554:F555"/>
    <mergeCell ref="G554:G555"/>
    <mergeCell ref="C540:H540"/>
    <mergeCell ref="C545:H545"/>
    <mergeCell ref="C548:H548"/>
    <mergeCell ref="D549:H549"/>
    <mergeCell ref="D550:F550"/>
    <mergeCell ref="D551:H551"/>
    <mergeCell ref="G238:H238"/>
    <mergeCell ref="G241:H241"/>
    <mergeCell ref="D242:H242"/>
    <mergeCell ref="G262:H262"/>
    <mergeCell ref="D263:H263"/>
    <mergeCell ref="D264:F264"/>
    <mergeCell ref="G264:H264"/>
    <mergeCell ref="D265:H265"/>
    <mergeCell ref="D285:F285"/>
    <mergeCell ref="G285:H285"/>
    <mergeCell ref="G283:H283"/>
    <mergeCell ref="D284:H284"/>
    <mergeCell ref="D243:F243"/>
    <mergeCell ref="G243:H243"/>
    <mergeCell ref="D244:H244"/>
    <mergeCell ref="G253:H253"/>
    <mergeCell ref="G259:H259"/>
    <mergeCell ref="G274:H274"/>
    <mergeCell ref="G280:H280"/>
    <mergeCell ref="D347:H347"/>
    <mergeCell ref="D348:F348"/>
    <mergeCell ref="G348:H348"/>
    <mergeCell ref="D349:H349"/>
    <mergeCell ref="C533:C534"/>
    <mergeCell ref="D533:D534"/>
    <mergeCell ref="E533:E534"/>
    <mergeCell ref="F533:F534"/>
    <mergeCell ref="G533:G534"/>
    <mergeCell ref="G358:H358"/>
    <mergeCell ref="G364:H364"/>
    <mergeCell ref="G367:H367"/>
    <mergeCell ref="D368:H368"/>
    <mergeCell ref="D369:F369"/>
    <mergeCell ref="G369:H369"/>
    <mergeCell ref="D370:H370"/>
    <mergeCell ref="G378:H378"/>
    <mergeCell ref="G384:H384"/>
    <mergeCell ref="G387:H387"/>
    <mergeCell ref="D432:H432"/>
    <mergeCell ref="C441:F441"/>
    <mergeCell ref="G441:H441"/>
    <mergeCell ref="G446:H446"/>
    <mergeCell ref="D409:H409"/>
    <mergeCell ref="G322:H322"/>
    <mergeCell ref="G325:H325"/>
    <mergeCell ref="D326:H326"/>
    <mergeCell ref="D327:F327"/>
    <mergeCell ref="G327:H327"/>
    <mergeCell ref="D328:H328"/>
    <mergeCell ref="G343:H343"/>
    <mergeCell ref="G346:H346"/>
    <mergeCell ref="G337:H337"/>
    <mergeCell ref="G295:H295"/>
    <mergeCell ref="G301:H301"/>
    <mergeCell ref="G304:H304"/>
    <mergeCell ref="D305:H305"/>
    <mergeCell ref="D306:F306"/>
    <mergeCell ref="G306:H306"/>
    <mergeCell ref="D307:H307"/>
    <mergeCell ref="D286:H286"/>
    <mergeCell ref="G316:H316"/>
    <mergeCell ref="G36:H36"/>
    <mergeCell ref="G221:H221"/>
    <mergeCell ref="D222:H222"/>
    <mergeCell ref="D223:F223"/>
    <mergeCell ref="G223:H223"/>
    <mergeCell ref="D224:H224"/>
    <mergeCell ref="G233:H233"/>
    <mergeCell ref="G213:H213"/>
    <mergeCell ref="G218:H218"/>
    <mergeCell ref="G39:H39"/>
    <mergeCell ref="D40:H40"/>
    <mergeCell ref="D41:F41"/>
    <mergeCell ref="G41:H41"/>
    <mergeCell ref="D42:H42"/>
    <mergeCell ref="G51:H51"/>
    <mergeCell ref="G56:H56"/>
    <mergeCell ref="G59:H59"/>
    <mergeCell ref="D60:H60"/>
    <mergeCell ref="D61:F61"/>
    <mergeCell ref="G61:H61"/>
    <mergeCell ref="D121:H121"/>
    <mergeCell ref="D122:F122"/>
    <mergeCell ref="G122:H122"/>
    <mergeCell ref="D123:H123"/>
    <mergeCell ref="G11:H11"/>
    <mergeCell ref="G16:H16"/>
    <mergeCell ref="C19:F19"/>
    <mergeCell ref="G19:H19"/>
    <mergeCell ref="D20:H20"/>
    <mergeCell ref="D21:F21"/>
    <mergeCell ref="G21:H21"/>
    <mergeCell ref="D22:H22"/>
    <mergeCell ref="G31:H31"/>
    <mergeCell ref="G132:H132"/>
    <mergeCell ref="G137:H137"/>
    <mergeCell ref="G192:H192"/>
    <mergeCell ref="G197:H197"/>
    <mergeCell ref="G200:H200"/>
    <mergeCell ref="G140:H140"/>
    <mergeCell ref="D141:H141"/>
    <mergeCell ref="D142:F142"/>
    <mergeCell ref="G142:H142"/>
    <mergeCell ref="D143:H143"/>
    <mergeCell ref="G152:H152"/>
    <mergeCell ref="D202:H202"/>
    <mergeCell ref="D203:F203"/>
    <mergeCell ref="G203:H203"/>
    <mergeCell ref="D204:H204"/>
    <mergeCell ref="D181:H181"/>
    <mergeCell ref="D182:F182"/>
    <mergeCell ref="D183:H183"/>
    <mergeCell ref="G157:H157"/>
    <mergeCell ref="G160:H160"/>
    <mergeCell ref="D161:H161"/>
    <mergeCell ref="D162:F162"/>
    <mergeCell ref="G162:H162"/>
    <mergeCell ref="D163:H163"/>
    <mergeCell ref="G172:H172"/>
    <mergeCell ref="G177:H177"/>
    <mergeCell ref="G180:H180"/>
    <mergeCell ref="G182:H182"/>
    <mergeCell ref="D62:H62"/>
    <mergeCell ref="G117:H117"/>
    <mergeCell ref="G120:H120"/>
    <mergeCell ref="G91:H91"/>
    <mergeCell ref="G96:H96"/>
    <mergeCell ref="G99:H99"/>
    <mergeCell ref="D100:H100"/>
    <mergeCell ref="D101:F101"/>
    <mergeCell ref="G101:H101"/>
    <mergeCell ref="D102:H102"/>
    <mergeCell ref="G111:H111"/>
    <mergeCell ref="G71:H71"/>
    <mergeCell ref="G76:H76"/>
    <mergeCell ref="G79:H79"/>
    <mergeCell ref="D80:H80"/>
    <mergeCell ref="D81:F81"/>
    <mergeCell ref="G81:H81"/>
    <mergeCell ref="D82:H82"/>
    <mergeCell ref="C590:H590"/>
    <mergeCell ref="D591:H591"/>
    <mergeCell ref="D592:F592"/>
    <mergeCell ref="D593:H593"/>
    <mergeCell ref="C575:C576"/>
    <mergeCell ref="D575:D576"/>
    <mergeCell ref="E575:E576"/>
    <mergeCell ref="F575:F576"/>
    <mergeCell ref="G575:G576"/>
    <mergeCell ref="C582:H582"/>
    <mergeCell ref="C587:H587"/>
    <mergeCell ref="D410:F410"/>
    <mergeCell ref="G410:H410"/>
    <mergeCell ref="D411:H411"/>
    <mergeCell ref="G420:H420"/>
    <mergeCell ref="G426:H426"/>
    <mergeCell ref="G429:H429"/>
    <mergeCell ref="D430:H430"/>
    <mergeCell ref="D431:F431"/>
    <mergeCell ref="G431:H431"/>
    <mergeCell ref="G449:H449"/>
    <mergeCell ref="D450:H450"/>
    <mergeCell ref="D451:F451"/>
    <mergeCell ref="G451:H451"/>
    <mergeCell ref="D452:H452"/>
    <mergeCell ref="G461:H461"/>
    <mergeCell ref="G466:H466"/>
    <mergeCell ref="G469:H469"/>
    <mergeCell ref="D470:H470"/>
    <mergeCell ref="D471:F471"/>
    <mergeCell ref="G471:H471"/>
    <mergeCell ref="D472:H472"/>
    <mergeCell ref="G481:H481"/>
    <mergeCell ref="G486:H486"/>
    <mergeCell ref="G489:H489"/>
    <mergeCell ref="D490:H490"/>
    <mergeCell ref="D491:F491"/>
    <mergeCell ref="G491:H491"/>
    <mergeCell ref="D492:H492"/>
    <mergeCell ref="G501:H501"/>
    <mergeCell ref="G505:H505"/>
    <mergeCell ref="D529:F529"/>
    <mergeCell ref="G529:H529"/>
    <mergeCell ref="D530:H530"/>
    <mergeCell ref="G508:H508"/>
    <mergeCell ref="D509:H509"/>
    <mergeCell ref="D510:F510"/>
    <mergeCell ref="G510:H510"/>
    <mergeCell ref="D511:H511"/>
    <mergeCell ref="G520:H520"/>
    <mergeCell ref="G524:H524"/>
    <mergeCell ref="G527:H527"/>
    <mergeCell ref="D528:H528"/>
  </mergeCells>
  <printOptions horizontalCentered="1"/>
  <pageMargins left="0.59055118110236227" right="0.39370078740157483" top="0.74803149606299213" bottom="0.74803149606299213" header="0.31496062992125984" footer="0.31496062992125984"/>
  <pageSetup paperSize="258" scale="89" firstPageNumber="26" fitToHeight="0" orientation="portrait" useFirstPageNumber="1" horizontalDpi="4294967293" r:id="rId1"/>
  <headerFooter>
    <oddFooter>&amp;R&amp;P</oddFooter>
  </headerFooter>
  <rowBreaks count="12" manualBreakCount="12">
    <brk id="63" max="16383" man="1"/>
    <brk id="123" max="16383" man="1"/>
    <brk id="183" max="16383" man="1"/>
    <brk id="244" max="16383" man="1"/>
    <brk id="287" min="1" max="8" man="1"/>
    <brk id="329" min="1" max="8" man="1"/>
    <brk id="370" max="16383" man="1"/>
    <brk id="411" max="16383" man="1"/>
    <brk id="453" min="1" max="8" man="1"/>
    <brk id="493" min="1" max="8" man="1"/>
    <brk id="530" max="16383" man="1"/>
    <brk id="573" min="1" max="8" man="1"/>
  </rowBreaks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theme="3" tint="0.59999389629810485"/>
  </sheetPr>
  <dimension ref="B2:N808"/>
  <sheetViews>
    <sheetView showGridLines="0" view="pageBreakPreview" topLeftCell="A708" zoomScale="85" zoomScaleNormal="70" zoomScaleSheetLayoutView="85" workbookViewId="0">
      <selection activeCell="N798" sqref="N798"/>
    </sheetView>
  </sheetViews>
  <sheetFormatPr defaultRowHeight="12.75"/>
  <cols>
    <col min="1" max="1" width="9.140625" style="2"/>
    <col min="2" max="2" width="4.7109375" style="4" customWidth="1"/>
    <col min="3" max="3" width="4.5703125" style="4" customWidth="1"/>
    <col min="4" max="4" width="30.7109375" style="2" customWidth="1"/>
    <col min="5" max="5" width="9.140625" style="679" customWidth="1"/>
    <col min="6" max="6" width="7.140625" style="4" customWidth="1"/>
    <col min="7" max="7" width="12.140625" style="55" customWidth="1"/>
    <col min="8" max="8" width="13.5703125" style="547" customWidth="1"/>
    <col min="9" max="9" width="13.28515625" style="547" customWidth="1"/>
    <col min="10" max="10" width="9.140625" style="2" customWidth="1"/>
    <col min="11" max="16384" width="9.140625" style="2"/>
  </cols>
  <sheetData>
    <row r="2" spans="2:9">
      <c r="B2" s="10" t="s">
        <v>463</v>
      </c>
      <c r="C2" s="63" t="str">
        <f>'[1]Lamp_1 (Konstruksi 1-199)'!$D$815</f>
        <v>PEKERJAAN BETON</v>
      </c>
    </row>
    <row r="3" spans="2:9" s="580" customFormat="1">
      <c r="B3" s="589"/>
      <c r="C3" s="627"/>
      <c r="E3" s="589"/>
      <c r="F3" s="589"/>
      <c r="H3" s="316"/>
      <c r="I3" s="316"/>
    </row>
    <row r="4" spans="2:9" s="567" customFormat="1" ht="22.5" thickBot="1">
      <c r="B4" s="596">
        <v>1</v>
      </c>
      <c r="C4" s="683" t="s">
        <v>1074</v>
      </c>
      <c r="E4" s="596"/>
      <c r="F4" s="596"/>
      <c r="H4" s="568"/>
      <c r="I4" s="568"/>
    </row>
    <row r="5" spans="2:9" s="580" customFormat="1" ht="26.25" thickBot="1">
      <c r="B5" s="589"/>
      <c r="C5" s="334" t="s">
        <v>840</v>
      </c>
      <c r="D5" s="431" t="s">
        <v>841</v>
      </c>
      <c r="E5" s="431" t="s">
        <v>842</v>
      </c>
      <c r="F5" s="335" t="s">
        <v>843</v>
      </c>
      <c r="G5" s="431" t="s">
        <v>844</v>
      </c>
      <c r="H5" s="335" t="s">
        <v>845</v>
      </c>
      <c r="I5" s="337" t="s">
        <v>846</v>
      </c>
    </row>
    <row r="6" spans="2:9" s="580" customFormat="1">
      <c r="B6" s="589"/>
      <c r="C6" s="543" t="s">
        <v>7</v>
      </c>
      <c r="D6" s="289" t="s">
        <v>810</v>
      </c>
      <c r="E6" s="581"/>
      <c r="F6" s="581"/>
      <c r="G6" s="299"/>
      <c r="H6" s="299"/>
      <c r="I6" s="300"/>
    </row>
    <row r="7" spans="2:9" s="580" customFormat="1">
      <c r="B7" s="589"/>
      <c r="C7" s="298"/>
      <c r="D7" s="289" t="s">
        <v>10</v>
      </c>
      <c r="E7" s="285" t="s">
        <v>16</v>
      </c>
      <c r="F7" s="285" t="s">
        <v>726</v>
      </c>
      <c r="G7" s="286">
        <v>1.65</v>
      </c>
      <c r="H7" s="299"/>
      <c r="I7" s="300"/>
    </row>
    <row r="8" spans="2:9" s="580" customFormat="1">
      <c r="B8" s="589"/>
      <c r="C8" s="298"/>
      <c r="D8" s="289" t="s">
        <v>143</v>
      </c>
      <c r="E8" s="285" t="s">
        <v>22</v>
      </c>
      <c r="F8" s="285" t="s">
        <v>726</v>
      </c>
      <c r="G8" s="286">
        <v>0.27500000000000002</v>
      </c>
      <c r="H8" s="299"/>
      <c r="I8" s="300"/>
    </row>
    <row r="9" spans="2:9" s="580" customFormat="1">
      <c r="B9" s="589"/>
      <c r="C9" s="298"/>
      <c r="D9" s="289" t="s">
        <v>20</v>
      </c>
      <c r="E9" s="285" t="s">
        <v>21</v>
      </c>
      <c r="F9" s="285" t="s">
        <v>726</v>
      </c>
      <c r="G9" s="286">
        <v>2.8000000000000001E-2</v>
      </c>
      <c r="H9" s="299"/>
      <c r="I9" s="300"/>
    </row>
    <row r="10" spans="2:9" s="580" customFormat="1">
      <c r="B10" s="589"/>
      <c r="C10" s="301"/>
      <c r="D10" s="177" t="s">
        <v>11</v>
      </c>
      <c r="E10" s="287" t="s">
        <v>17</v>
      </c>
      <c r="F10" s="287" t="s">
        <v>726</v>
      </c>
      <c r="G10" s="288">
        <v>8.3000000000000004E-2</v>
      </c>
      <c r="H10" s="302"/>
      <c r="I10" s="303"/>
    </row>
    <row r="11" spans="2:9" s="580" customFormat="1">
      <c r="B11" s="589"/>
      <c r="C11" s="314"/>
      <c r="D11" s="582"/>
      <c r="E11" s="315"/>
      <c r="F11" s="583"/>
      <c r="G11" s="1155" t="s">
        <v>727</v>
      </c>
      <c r="H11" s="1156"/>
      <c r="I11" s="584"/>
    </row>
    <row r="12" spans="2:9" s="580" customFormat="1">
      <c r="B12" s="589"/>
      <c r="C12" s="292" t="s">
        <v>8</v>
      </c>
      <c r="D12" s="293" t="s">
        <v>811</v>
      </c>
      <c r="E12" s="585"/>
      <c r="F12" s="585"/>
      <c r="G12" s="296"/>
      <c r="H12" s="296"/>
      <c r="I12" s="297"/>
    </row>
    <row r="13" spans="2:9" s="580" customFormat="1">
      <c r="B13" s="589"/>
      <c r="C13" s="298"/>
      <c r="D13" s="289" t="s">
        <v>806</v>
      </c>
      <c r="E13" s="581"/>
      <c r="F13" s="285" t="s">
        <v>56</v>
      </c>
      <c r="G13" s="286">
        <v>247</v>
      </c>
      <c r="H13" s="299"/>
      <c r="I13" s="300"/>
    </row>
    <row r="14" spans="2:9" s="580" customFormat="1">
      <c r="B14" s="589"/>
      <c r="C14" s="298"/>
      <c r="D14" s="289" t="s">
        <v>144</v>
      </c>
      <c r="E14" s="581"/>
      <c r="F14" s="285" t="s">
        <v>56</v>
      </c>
      <c r="G14" s="655">
        <v>869</v>
      </c>
      <c r="H14" s="299"/>
      <c r="I14" s="300"/>
    </row>
    <row r="15" spans="2:9" s="580" customFormat="1" ht="25.5">
      <c r="B15" s="589"/>
      <c r="C15" s="298"/>
      <c r="D15" s="299" t="s">
        <v>1037</v>
      </c>
      <c r="E15" s="581"/>
      <c r="F15" s="285" t="s">
        <v>56</v>
      </c>
      <c r="G15" s="655">
        <v>999</v>
      </c>
      <c r="H15" s="299"/>
      <c r="I15" s="300"/>
    </row>
    <row r="16" spans="2:9" s="580" customFormat="1">
      <c r="B16" s="589"/>
      <c r="C16" s="301"/>
      <c r="D16" s="177" t="s">
        <v>274</v>
      </c>
      <c r="E16" s="586"/>
      <c r="F16" s="287" t="s">
        <v>275</v>
      </c>
      <c r="G16" s="626">
        <v>215</v>
      </c>
      <c r="H16" s="302"/>
      <c r="I16" s="303"/>
    </row>
    <row r="17" spans="2:9" s="580" customFormat="1">
      <c r="B17" s="589"/>
      <c r="C17" s="609"/>
      <c r="D17" s="316"/>
      <c r="E17" s="593"/>
      <c r="F17" s="593"/>
      <c r="G17" s="1155" t="s">
        <v>728</v>
      </c>
      <c r="H17" s="1156"/>
      <c r="I17" s="584"/>
    </row>
    <row r="18" spans="2:9" s="580" customFormat="1">
      <c r="B18" s="589"/>
      <c r="C18" s="292" t="s">
        <v>9</v>
      </c>
      <c r="D18" s="293" t="s">
        <v>815</v>
      </c>
      <c r="E18" s="585"/>
      <c r="F18" s="585"/>
      <c r="G18" s="296"/>
      <c r="H18" s="296"/>
      <c r="I18" s="297"/>
    </row>
    <row r="19" spans="2:9" s="580" customFormat="1">
      <c r="B19" s="589"/>
      <c r="C19" s="301"/>
      <c r="D19" s="302"/>
      <c r="E19" s="586"/>
      <c r="F19" s="586"/>
      <c r="G19" s="302"/>
      <c r="H19" s="302"/>
      <c r="I19" s="303"/>
    </row>
    <row r="20" spans="2:9" s="580" customFormat="1">
      <c r="B20" s="589"/>
      <c r="C20" s="314"/>
      <c r="D20" s="582"/>
      <c r="E20" s="315"/>
      <c r="F20" s="583"/>
      <c r="G20" s="1157" t="s">
        <v>729</v>
      </c>
      <c r="H20" s="1158"/>
      <c r="I20" s="584"/>
    </row>
    <row r="21" spans="2:9" s="580" customFormat="1">
      <c r="B21" s="589"/>
      <c r="C21" s="290" t="s">
        <v>12</v>
      </c>
      <c r="D21" s="1113" t="s">
        <v>730</v>
      </c>
      <c r="E21" s="1114"/>
      <c r="F21" s="1114"/>
      <c r="G21" s="1114"/>
      <c r="H21" s="1115"/>
      <c r="I21" s="306"/>
    </row>
    <row r="22" spans="2:9" s="580" customFormat="1">
      <c r="B22" s="589"/>
      <c r="C22" s="290" t="s">
        <v>13</v>
      </c>
      <c r="D22" s="1116" t="s">
        <v>731</v>
      </c>
      <c r="E22" s="1117"/>
      <c r="F22" s="1118"/>
      <c r="G22" s="1113" t="s">
        <v>740</v>
      </c>
      <c r="H22" s="1115"/>
      <c r="I22" s="306"/>
    </row>
    <row r="23" spans="2:9" s="580" customFormat="1" ht="13.5" thickBot="1">
      <c r="B23" s="589"/>
      <c r="C23" s="291" t="s">
        <v>14</v>
      </c>
      <c r="D23" s="1119" t="s">
        <v>817</v>
      </c>
      <c r="E23" s="1120"/>
      <c r="F23" s="1120"/>
      <c r="G23" s="1120"/>
      <c r="H23" s="1121"/>
      <c r="I23" s="307"/>
    </row>
    <row r="24" spans="2:9" s="580" customFormat="1">
      <c r="B24" s="589"/>
      <c r="C24" s="589"/>
      <c r="E24" s="589"/>
      <c r="F24" s="589"/>
      <c r="H24" s="316"/>
      <c r="I24" s="316"/>
    </row>
    <row r="25" spans="2:9" s="567" customFormat="1" ht="22.5" thickBot="1">
      <c r="B25" s="596">
        <v>2</v>
      </c>
      <c r="C25" s="683" t="s">
        <v>1075</v>
      </c>
      <c r="E25" s="596"/>
      <c r="F25" s="596"/>
      <c r="H25" s="568"/>
      <c r="I25" s="568"/>
    </row>
    <row r="26" spans="2:9" s="580" customFormat="1" ht="26.25" thickBot="1">
      <c r="B26" s="589"/>
      <c r="C26" s="334" t="s">
        <v>840</v>
      </c>
      <c r="D26" s="674" t="s">
        <v>841</v>
      </c>
      <c r="E26" s="335" t="s">
        <v>842</v>
      </c>
      <c r="F26" s="335" t="s">
        <v>843</v>
      </c>
      <c r="G26" s="431" t="s">
        <v>844</v>
      </c>
      <c r="H26" s="335" t="s">
        <v>845</v>
      </c>
      <c r="I26" s="337" t="s">
        <v>846</v>
      </c>
    </row>
    <row r="27" spans="2:9" s="580" customFormat="1">
      <c r="B27" s="589"/>
      <c r="C27" s="491" t="s">
        <v>7</v>
      </c>
      <c r="D27" s="667" t="s">
        <v>810</v>
      </c>
      <c r="E27" s="383"/>
      <c r="F27" s="383"/>
      <c r="G27" s="382"/>
      <c r="H27" s="382"/>
      <c r="I27" s="384"/>
    </row>
    <row r="28" spans="2:9" s="580" customFormat="1">
      <c r="B28" s="589"/>
      <c r="C28" s="385"/>
      <c r="D28" s="667" t="s">
        <v>10</v>
      </c>
      <c r="E28" s="351" t="s">
        <v>16</v>
      </c>
      <c r="F28" s="351" t="s">
        <v>726</v>
      </c>
      <c r="G28" s="352">
        <v>1.65</v>
      </c>
      <c r="H28" s="382"/>
      <c r="I28" s="384"/>
    </row>
    <row r="29" spans="2:9" s="580" customFormat="1">
      <c r="B29" s="589"/>
      <c r="C29" s="385"/>
      <c r="D29" s="667" t="s">
        <v>143</v>
      </c>
      <c r="E29" s="351" t="s">
        <v>22</v>
      </c>
      <c r="F29" s="351" t="s">
        <v>726</v>
      </c>
      <c r="G29" s="352">
        <v>0.27500000000000002</v>
      </c>
      <c r="H29" s="382"/>
      <c r="I29" s="384"/>
    </row>
    <row r="30" spans="2:9" s="580" customFormat="1">
      <c r="B30" s="589"/>
      <c r="C30" s="385"/>
      <c r="D30" s="667" t="s">
        <v>20</v>
      </c>
      <c r="E30" s="351" t="s">
        <v>21</v>
      </c>
      <c r="F30" s="351" t="s">
        <v>726</v>
      </c>
      <c r="G30" s="352">
        <v>2.8000000000000001E-2</v>
      </c>
      <c r="H30" s="382"/>
      <c r="I30" s="384"/>
    </row>
    <row r="31" spans="2:9" s="580" customFormat="1">
      <c r="B31" s="589"/>
      <c r="C31" s="386"/>
      <c r="D31" s="668" t="s">
        <v>11</v>
      </c>
      <c r="E31" s="354" t="s">
        <v>17</v>
      </c>
      <c r="F31" s="354" t="s">
        <v>726</v>
      </c>
      <c r="G31" s="355">
        <v>8.3000000000000004E-2</v>
      </c>
      <c r="H31" s="388"/>
      <c r="I31" s="389"/>
    </row>
    <row r="32" spans="2:9" s="580" customFormat="1">
      <c r="B32" s="589"/>
      <c r="C32" s="432"/>
      <c r="D32" s="1203"/>
      <c r="E32" s="1203"/>
      <c r="F32" s="434"/>
      <c r="G32" s="1027" t="s">
        <v>727</v>
      </c>
      <c r="H32" s="1028"/>
      <c r="I32" s="435"/>
    </row>
    <row r="33" spans="2:9" s="580" customFormat="1">
      <c r="B33" s="589"/>
      <c r="C33" s="457" t="s">
        <v>8</v>
      </c>
      <c r="D33" s="669" t="s">
        <v>811</v>
      </c>
      <c r="E33" s="634"/>
      <c r="F33" s="394"/>
      <c r="G33" s="393"/>
      <c r="H33" s="393"/>
      <c r="I33" s="436"/>
    </row>
    <row r="34" spans="2:9" s="580" customFormat="1">
      <c r="B34" s="589"/>
      <c r="C34" s="385"/>
      <c r="D34" s="670" t="s">
        <v>806</v>
      </c>
      <c r="E34" s="351"/>
      <c r="F34" s="351" t="s">
        <v>56</v>
      </c>
      <c r="G34" s="352">
        <v>276</v>
      </c>
      <c r="H34" s="382"/>
      <c r="I34" s="384"/>
    </row>
    <row r="35" spans="2:9" s="580" customFormat="1">
      <c r="B35" s="589"/>
      <c r="C35" s="385"/>
      <c r="D35" s="670" t="s">
        <v>144</v>
      </c>
      <c r="E35" s="351"/>
      <c r="F35" s="351" t="s">
        <v>56</v>
      </c>
      <c r="G35" s="467">
        <v>828</v>
      </c>
      <c r="H35" s="382"/>
      <c r="I35" s="384"/>
    </row>
    <row r="36" spans="2:9" s="580" customFormat="1" ht="15" customHeight="1">
      <c r="B36" s="589"/>
      <c r="C36" s="385"/>
      <c r="D36" s="670" t="s">
        <v>807</v>
      </c>
      <c r="E36" s="351"/>
      <c r="F36" s="351" t="s">
        <v>56</v>
      </c>
      <c r="G36" s="467">
        <v>1012</v>
      </c>
      <c r="H36" s="382"/>
      <c r="I36" s="384"/>
    </row>
    <row r="37" spans="2:9" s="580" customFormat="1">
      <c r="B37" s="589"/>
      <c r="C37" s="386"/>
      <c r="D37" s="671" t="s">
        <v>274</v>
      </c>
      <c r="E37" s="354"/>
      <c r="F37" s="354" t="s">
        <v>275</v>
      </c>
      <c r="G37" s="672">
        <v>215</v>
      </c>
      <c r="H37" s="388"/>
      <c r="I37" s="389"/>
    </row>
    <row r="38" spans="2:9" s="580" customFormat="1">
      <c r="B38" s="589"/>
      <c r="C38" s="432"/>
      <c r="D38" s="1203"/>
      <c r="E38" s="1203"/>
      <c r="F38" s="434"/>
      <c r="G38" s="1027" t="s">
        <v>728</v>
      </c>
      <c r="H38" s="1028"/>
      <c r="I38" s="435"/>
    </row>
    <row r="39" spans="2:9" s="580" customFormat="1">
      <c r="B39" s="589"/>
      <c r="C39" s="457" t="s">
        <v>9</v>
      </c>
      <c r="D39" s="669" t="s">
        <v>815</v>
      </c>
      <c r="E39" s="634"/>
      <c r="F39" s="394"/>
      <c r="G39" s="393"/>
      <c r="H39" s="393"/>
      <c r="I39" s="436"/>
    </row>
    <row r="40" spans="2:9" s="580" customFormat="1">
      <c r="B40" s="589"/>
      <c r="C40" s="386"/>
      <c r="D40" s="673"/>
      <c r="E40" s="459"/>
      <c r="F40" s="459"/>
      <c r="G40" s="388"/>
      <c r="H40" s="388"/>
      <c r="I40" s="389"/>
    </row>
    <row r="41" spans="2:9" s="580" customFormat="1">
      <c r="B41" s="589"/>
      <c r="C41" s="432"/>
      <c r="D41" s="1203"/>
      <c r="E41" s="1203"/>
      <c r="F41" s="434"/>
      <c r="G41" s="1027" t="s">
        <v>729</v>
      </c>
      <c r="H41" s="1028"/>
      <c r="I41" s="435"/>
    </row>
    <row r="42" spans="2:9" s="580" customFormat="1">
      <c r="B42" s="589"/>
      <c r="C42" s="376" t="s">
        <v>12</v>
      </c>
      <c r="D42" s="1022" t="s">
        <v>730</v>
      </c>
      <c r="E42" s="1034"/>
      <c r="F42" s="1034"/>
      <c r="G42" s="1034"/>
      <c r="H42" s="1023"/>
      <c r="I42" s="401"/>
    </row>
    <row r="43" spans="2:9" s="580" customFormat="1">
      <c r="B43" s="589"/>
      <c r="C43" s="377" t="s">
        <v>13</v>
      </c>
      <c r="D43" s="1036" t="s">
        <v>731</v>
      </c>
      <c r="E43" s="1037"/>
      <c r="F43" s="1038"/>
      <c r="G43" s="1039" t="s">
        <v>740</v>
      </c>
      <c r="H43" s="1051"/>
      <c r="I43" s="403"/>
    </row>
    <row r="44" spans="2:9" s="580" customFormat="1" ht="13.5" thickBot="1">
      <c r="B44" s="589"/>
      <c r="C44" s="456" t="s">
        <v>14</v>
      </c>
      <c r="D44" s="1029" t="s">
        <v>817</v>
      </c>
      <c r="E44" s="1030"/>
      <c r="F44" s="1030"/>
      <c r="G44" s="1030"/>
      <c r="H44" s="1031"/>
      <c r="I44" s="404"/>
    </row>
    <row r="45" spans="2:9" s="580" customFormat="1">
      <c r="B45" s="589"/>
      <c r="C45" s="295"/>
      <c r="D45" s="284"/>
      <c r="E45" s="295"/>
      <c r="F45" s="295"/>
      <c r="G45" s="284"/>
      <c r="H45" s="284"/>
      <c r="I45" s="316"/>
    </row>
    <row r="46" spans="2:9" s="567" customFormat="1" ht="19.5" thickBot="1">
      <c r="B46" s="596">
        <v>3</v>
      </c>
      <c r="C46" s="682" t="s">
        <v>1076</v>
      </c>
      <c r="E46" s="596"/>
      <c r="F46" s="596"/>
      <c r="H46" s="568"/>
      <c r="I46" s="568"/>
    </row>
    <row r="47" spans="2:9" s="580" customFormat="1" ht="26.25" thickBot="1">
      <c r="B47" s="589"/>
      <c r="C47" s="334" t="s">
        <v>840</v>
      </c>
      <c r="D47" s="335" t="s">
        <v>841</v>
      </c>
      <c r="E47" s="431" t="s">
        <v>842</v>
      </c>
      <c r="F47" s="335" t="s">
        <v>843</v>
      </c>
      <c r="G47" s="431" t="s">
        <v>844</v>
      </c>
      <c r="H47" s="335" t="s">
        <v>845</v>
      </c>
      <c r="I47" s="337" t="s">
        <v>846</v>
      </c>
    </row>
    <row r="48" spans="2:9" s="580" customFormat="1">
      <c r="B48" s="589"/>
      <c r="C48" s="543" t="s">
        <v>7</v>
      </c>
      <c r="D48" s="289" t="s">
        <v>810</v>
      </c>
      <c r="E48" s="581"/>
      <c r="F48" s="581"/>
      <c r="G48" s="299"/>
      <c r="H48" s="299"/>
      <c r="I48" s="300"/>
    </row>
    <row r="49" spans="2:9" s="580" customFormat="1">
      <c r="B49" s="589"/>
      <c r="C49" s="298"/>
      <c r="D49" s="289" t="s">
        <v>10</v>
      </c>
      <c r="E49" s="285" t="s">
        <v>16</v>
      </c>
      <c r="F49" s="285" t="s">
        <v>726</v>
      </c>
      <c r="G49" s="286">
        <v>1.65</v>
      </c>
      <c r="H49" s="299"/>
      <c r="I49" s="300"/>
    </row>
    <row r="50" spans="2:9" s="580" customFormat="1">
      <c r="B50" s="589"/>
      <c r="C50" s="298"/>
      <c r="D50" s="289" t="s">
        <v>143</v>
      </c>
      <c r="E50" s="285" t="s">
        <v>22</v>
      </c>
      <c r="F50" s="285" t="s">
        <v>726</v>
      </c>
      <c r="G50" s="286">
        <v>0.27500000000000002</v>
      </c>
      <c r="H50" s="299"/>
      <c r="I50" s="300"/>
    </row>
    <row r="51" spans="2:9" s="580" customFormat="1">
      <c r="B51" s="589"/>
      <c r="C51" s="298"/>
      <c r="D51" s="289" t="s">
        <v>20</v>
      </c>
      <c r="E51" s="285" t="s">
        <v>21</v>
      </c>
      <c r="F51" s="285" t="s">
        <v>726</v>
      </c>
      <c r="G51" s="286">
        <v>2.8000000000000001E-2</v>
      </c>
      <c r="H51" s="299"/>
      <c r="I51" s="300"/>
    </row>
    <row r="52" spans="2:9" s="580" customFormat="1">
      <c r="B52" s="589"/>
      <c r="C52" s="301"/>
      <c r="D52" s="177" t="s">
        <v>11</v>
      </c>
      <c r="E52" s="287" t="s">
        <v>17</v>
      </c>
      <c r="F52" s="287" t="s">
        <v>726</v>
      </c>
      <c r="G52" s="288">
        <v>8.3000000000000004E-2</v>
      </c>
      <c r="H52" s="302"/>
      <c r="I52" s="303"/>
    </row>
    <row r="53" spans="2:9" s="580" customFormat="1">
      <c r="B53" s="589"/>
      <c r="C53" s="609"/>
      <c r="D53" s="316"/>
      <c r="E53" s="593"/>
      <c r="F53" s="593"/>
      <c r="G53" s="1155" t="s">
        <v>727</v>
      </c>
      <c r="H53" s="1156"/>
      <c r="I53" s="584"/>
    </row>
    <row r="54" spans="2:9" s="580" customFormat="1">
      <c r="B54" s="589"/>
      <c r="C54" s="292" t="s">
        <v>8</v>
      </c>
      <c r="D54" s="656" t="s">
        <v>811</v>
      </c>
      <c r="E54" s="585"/>
      <c r="F54" s="585"/>
      <c r="G54" s="296"/>
      <c r="H54" s="296"/>
      <c r="I54" s="297"/>
    </row>
    <row r="55" spans="2:9" s="580" customFormat="1">
      <c r="B55" s="589"/>
      <c r="C55" s="298"/>
      <c r="D55" s="289" t="s">
        <v>737</v>
      </c>
      <c r="E55" s="581"/>
      <c r="F55" s="285" t="s">
        <v>56</v>
      </c>
      <c r="G55" s="286">
        <v>299</v>
      </c>
      <c r="H55" s="299"/>
      <c r="I55" s="300"/>
    </row>
    <row r="56" spans="2:9" s="580" customFormat="1">
      <c r="B56" s="589"/>
      <c r="C56" s="298"/>
      <c r="D56" s="289" t="s">
        <v>144</v>
      </c>
      <c r="E56" s="581"/>
      <c r="F56" s="285" t="s">
        <v>56</v>
      </c>
      <c r="G56" s="655">
        <v>799</v>
      </c>
      <c r="H56" s="299"/>
      <c r="I56" s="300"/>
    </row>
    <row r="57" spans="2:9" s="580" customFormat="1">
      <c r="B57" s="589"/>
      <c r="C57" s="298"/>
      <c r="D57" s="289" t="s">
        <v>1038</v>
      </c>
      <c r="E57" s="581"/>
      <c r="F57" s="285" t="s">
        <v>56</v>
      </c>
      <c r="G57" s="655">
        <v>1017</v>
      </c>
      <c r="H57" s="299"/>
      <c r="I57" s="300"/>
    </row>
    <row r="58" spans="2:9" s="580" customFormat="1">
      <c r="B58" s="589"/>
      <c r="C58" s="301"/>
      <c r="D58" s="177" t="s">
        <v>274</v>
      </c>
      <c r="E58" s="586"/>
      <c r="F58" s="287" t="s">
        <v>275</v>
      </c>
      <c r="G58" s="626">
        <v>215</v>
      </c>
      <c r="H58" s="302"/>
      <c r="I58" s="303"/>
    </row>
    <row r="59" spans="2:9" s="580" customFormat="1">
      <c r="B59" s="589"/>
      <c r="C59" s="314"/>
      <c r="D59" s="582"/>
      <c r="E59" s="315"/>
      <c r="F59" s="583"/>
      <c r="G59" s="1157" t="s">
        <v>728</v>
      </c>
      <c r="H59" s="1158"/>
      <c r="I59" s="584"/>
    </row>
    <row r="60" spans="2:9" s="580" customFormat="1">
      <c r="B60" s="589"/>
      <c r="C60" s="292" t="s">
        <v>9</v>
      </c>
      <c r="D60" s="293" t="s">
        <v>815</v>
      </c>
      <c r="E60" s="585"/>
      <c r="F60" s="585"/>
      <c r="G60" s="296"/>
      <c r="H60" s="296"/>
      <c r="I60" s="297"/>
    </row>
    <row r="61" spans="2:9" s="580" customFormat="1">
      <c r="B61" s="589"/>
      <c r="C61" s="301"/>
      <c r="D61" s="302"/>
      <c r="E61" s="586"/>
      <c r="F61" s="586"/>
      <c r="G61" s="302"/>
      <c r="H61" s="302"/>
      <c r="I61" s="303"/>
    </row>
    <row r="62" spans="2:9" s="580" customFormat="1">
      <c r="B62" s="589"/>
      <c r="C62" s="314"/>
      <c r="D62" s="582"/>
      <c r="E62" s="315"/>
      <c r="F62" s="583"/>
      <c r="G62" s="1157" t="s">
        <v>729</v>
      </c>
      <c r="H62" s="1158"/>
      <c r="I62" s="584"/>
    </row>
    <row r="63" spans="2:9" s="580" customFormat="1">
      <c r="B63" s="589"/>
      <c r="C63" s="290" t="s">
        <v>12</v>
      </c>
      <c r="D63" s="1113" t="s">
        <v>730</v>
      </c>
      <c r="E63" s="1114"/>
      <c r="F63" s="1114"/>
      <c r="G63" s="1114"/>
      <c r="H63" s="1115"/>
      <c r="I63" s="306"/>
    </row>
    <row r="64" spans="2:9" s="580" customFormat="1">
      <c r="B64" s="589"/>
      <c r="C64" s="290" t="s">
        <v>13</v>
      </c>
      <c r="D64" s="1116" t="s">
        <v>731</v>
      </c>
      <c r="E64" s="1117"/>
      <c r="F64" s="1118"/>
      <c r="G64" s="1113" t="s">
        <v>740</v>
      </c>
      <c r="H64" s="1115"/>
      <c r="I64" s="306"/>
    </row>
    <row r="65" spans="2:9" s="580" customFormat="1" ht="13.5" thickBot="1">
      <c r="B65" s="589"/>
      <c r="C65" s="291" t="s">
        <v>14</v>
      </c>
      <c r="D65" s="1119" t="s">
        <v>817</v>
      </c>
      <c r="E65" s="1120"/>
      <c r="F65" s="1120"/>
      <c r="G65" s="1120"/>
      <c r="H65" s="1121"/>
      <c r="I65" s="307"/>
    </row>
    <row r="66" spans="2:9" s="580" customFormat="1">
      <c r="B66" s="589"/>
      <c r="C66" s="624" t="s">
        <v>1649</v>
      </c>
      <c r="E66" s="589"/>
      <c r="F66" s="589"/>
      <c r="H66" s="316"/>
      <c r="I66" s="316"/>
    </row>
    <row r="67" spans="2:9" s="580" customFormat="1">
      <c r="B67" s="589"/>
      <c r="E67" s="589"/>
      <c r="F67" s="589"/>
      <c r="H67" s="316"/>
      <c r="I67" s="316"/>
    </row>
    <row r="68" spans="2:9" s="580" customFormat="1">
      <c r="B68" s="589"/>
      <c r="E68" s="589"/>
      <c r="F68" s="589"/>
      <c r="H68" s="316"/>
      <c r="I68" s="316"/>
    </row>
    <row r="69" spans="2:9" s="567" customFormat="1" ht="15.75">
      <c r="B69" s="596">
        <v>4</v>
      </c>
      <c r="C69" s="566" t="s">
        <v>1077</v>
      </c>
      <c r="E69" s="596"/>
      <c r="F69" s="596"/>
      <c r="H69" s="568"/>
      <c r="I69" s="568"/>
    </row>
    <row r="70" spans="2:9" s="580" customFormat="1" ht="13.5" thickBot="1">
      <c r="B70" s="589"/>
      <c r="C70" s="627"/>
      <c r="E70" s="589"/>
      <c r="F70" s="589"/>
      <c r="H70" s="316"/>
      <c r="I70" s="316"/>
    </row>
    <row r="71" spans="2:9" s="580" customFormat="1" ht="26.25" thickBot="1">
      <c r="B71" s="589"/>
      <c r="C71" s="334" t="s">
        <v>840</v>
      </c>
      <c r="D71" s="335" t="s">
        <v>841</v>
      </c>
      <c r="E71" s="335" t="s">
        <v>842</v>
      </c>
      <c r="F71" s="335" t="s">
        <v>843</v>
      </c>
      <c r="G71" s="335" t="s">
        <v>844</v>
      </c>
      <c r="H71" s="335" t="s">
        <v>845</v>
      </c>
      <c r="I71" s="337" t="s">
        <v>846</v>
      </c>
    </row>
    <row r="72" spans="2:9" s="580" customFormat="1">
      <c r="B72" s="589"/>
      <c r="C72" s="543" t="s">
        <v>7</v>
      </c>
      <c r="D72" s="289" t="s">
        <v>810</v>
      </c>
      <c r="E72" s="581"/>
      <c r="F72" s="581"/>
      <c r="G72" s="299"/>
      <c r="H72" s="299"/>
      <c r="I72" s="300"/>
    </row>
    <row r="73" spans="2:9" s="580" customFormat="1">
      <c r="B73" s="589"/>
      <c r="C73" s="298"/>
      <c r="D73" s="289" t="s">
        <v>10</v>
      </c>
      <c r="E73" s="285" t="s">
        <v>16</v>
      </c>
      <c r="F73" s="285" t="s">
        <v>726</v>
      </c>
      <c r="G73" s="286">
        <v>1.2</v>
      </c>
      <c r="H73" s="299"/>
      <c r="I73" s="300"/>
    </row>
    <row r="74" spans="2:9" s="580" customFormat="1">
      <c r="B74" s="589"/>
      <c r="C74" s="298"/>
      <c r="D74" s="289" t="s">
        <v>143</v>
      </c>
      <c r="E74" s="285" t="s">
        <v>22</v>
      </c>
      <c r="F74" s="285" t="s">
        <v>726</v>
      </c>
      <c r="G74" s="286">
        <v>0.2</v>
      </c>
      <c r="H74" s="299"/>
      <c r="I74" s="300"/>
    </row>
    <row r="75" spans="2:9" s="580" customFormat="1">
      <c r="B75" s="589"/>
      <c r="C75" s="298"/>
      <c r="D75" s="289" t="s">
        <v>20</v>
      </c>
      <c r="E75" s="285" t="s">
        <v>21</v>
      </c>
      <c r="F75" s="285" t="s">
        <v>726</v>
      </c>
      <c r="G75" s="286">
        <v>0.02</v>
      </c>
      <c r="H75" s="299"/>
      <c r="I75" s="300"/>
    </row>
    <row r="76" spans="2:9" s="580" customFormat="1">
      <c r="B76" s="589"/>
      <c r="C76" s="301"/>
      <c r="D76" s="177" t="s">
        <v>11</v>
      </c>
      <c r="E76" s="287" t="s">
        <v>17</v>
      </c>
      <c r="F76" s="287" t="s">
        <v>726</v>
      </c>
      <c r="G76" s="288">
        <v>0.06</v>
      </c>
      <c r="H76" s="302"/>
      <c r="I76" s="303"/>
    </row>
    <row r="77" spans="2:9" s="580" customFormat="1">
      <c r="B77" s="589"/>
      <c r="C77" s="314"/>
      <c r="D77" s="582"/>
      <c r="E77" s="315"/>
      <c r="F77" s="583"/>
      <c r="G77" s="1155" t="s">
        <v>727</v>
      </c>
      <c r="H77" s="1156"/>
      <c r="I77" s="584"/>
    </row>
    <row r="78" spans="2:9" s="580" customFormat="1">
      <c r="B78" s="589"/>
      <c r="C78" s="292" t="s">
        <v>8</v>
      </c>
      <c r="D78" s="656" t="s">
        <v>811</v>
      </c>
      <c r="E78" s="585"/>
      <c r="F78" s="585"/>
      <c r="G78" s="296"/>
      <c r="H78" s="296"/>
      <c r="I78" s="297"/>
    </row>
    <row r="79" spans="2:9" s="580" customFormat="1">
      <c r="B79" s="589"/>
      <c r="C79" s="298"/>
      <c r="D79" s="289" t="s">
        <v>806</v>
      </c>
      <c r="E79" s="581"/>
      <c r="F79" s="285" t="s">
        <v>56</v>
      </c>
      <c r="G79" s="286">
        <v>230</v>
      </c>
      <c r="H79" s="299"/>
      <c r="I79" s="300"/>
    </row>
    <row r="80" spans="2:9" s="580" customFormat="1">
      <c r="B80" s="589"/>
      <c r="C80" s="298"/>
      <c r="D80" s="289" t="s">
        <v>144</v>
      </c>
      <c r="E80" s="581"/>
      <c r="F80" s="285" t="s">
        <v>56</v>
      </c>
      <c r="G80" s="655">
        <v>893</v>
      </c>
      <c r="H80" s="299"/>
      <c r="I80" s="300"/>
    </row>
    <row r="81" spans="2:9" s="580" customFormat="1" ht="25.5">
      <c r="B81" s="589"/>
      <c r="C81" s="298"/>
      <c r="D81" s="299" t="s">
        <v>1039</v>
      </c>
      <c r="E81" s="581"/>
      <c r="F81" s="285" t="s">
        <v>56</v>
      </c>
      <c r="G81" s="655">
        <v>1027</v>
      </c>
      <c r="H81" s="299"/>
      <c r="I81" s="300"/>
    </row>
    <row r="82" spans="2:9" s="580" customFormat="1">
      <c r="B82" s="589"/>
      <c r="C82" s="301"/>
      <c r="D82" s="177" t="s">
        <v>274</v>
      </c>
      <c r="E82" s="586"/>
      <c r="F82" s="287" t="s">
        <v>275</v>
      </c>
      <c r="G82" s="626">
        <v>200</v>
      </c>
      <c r="H82" s="302"/>
      <c r="I82" s="303"/>
    </row>
    <row r="83" spans="2:9" s="580" customFormat="1">
      <c r="B83" s="589"/>
      <c r="C83" s="609"/>
      <c r="D83" s="316"/>
      <c r="E83" s="593"/>
      <c r="F83" s="593"/>
      <c r="G83" s="1157" t="s">
        <v>728</v>
      </c>
      <c r="H83" s="1158"/>
      <c r="I83" s="584"/>
    </row>
    <row r="84" spans="2:9" s="580" customFormat="1">
      <c r="B84" s="589"/>
      <c r="C84" s="292" t="s">
        <v>9</v>
      </c>
      <c r="D84" s="293" t="s">
        <v>815</v>
      </c>
      <c r="E84" s="585"/>
      <c r="F84" s="585"/>
      <c r="G84" s="296"/>
      <c r="H84" s="296"/>
      <c r="I84" s="297"/>
    </row>
    <row r="85" spans="2:9" s="580" customFormat="1">
      <c r="B85" s="589"/>
      <c r="C85" s="301"/>
      <c r="D85" s="302"/>
      <c r="E85" s="586"/>
      <c r="F85" s="586"/>
      <c r="G85" s="302"/>
      <c r="H85" s="302"/>
      <c r="I85" s="303"/>
    </row>
    <row r="86" spans="2:9" s="580" customFormat="1">
      <c r="B86" s="589"/>
      <c r="C86" s="314"/>
      <c r="D86" s="582"/>
      <c r="E86" s="315"/>
      <c r="F86" s="583"/>
      <c r="G86" s="1157" t="s">
        <v>729</v>
      </c>
      <c r="H86" s="1158"/>
      <c r="I86" s="631"/>
    </row>
    <row r="87" spans="2:9" s="580" customFormat="1">
      <c r="B87" s="589"/>
      <c r="C87" s="574" t="s">
        <v>12</v>
      </c>
      <c r="D87" s="1125" t="s">
        <v>730</v>
      </c>
      <c r="E87" s="1160"/>
      <c r="F87" s="1160"/>
      <c r="G87" s="1160"/>
      <c r="H87" s="1160"/>
      <c r="I87" s="584"/>
    </row>
    <row r="88" spans="2:9" s="580" customFormat="1">
      <c r="B88" s="589"/>
      <c r="C88" s="290" t="s">
        <v>13</v>
      </c>
      <c r="D88" s="1116" t="s">
        <v>731</v>
      </c>
      <c r="E88" s="1117"/>
      <c r="F88" s="1118"/>
      <c r="G88" s="1113" t="s">
        <v>740</v>
      </c>
      <c r="H88" s="1115"/>
      <c r="I88" s="305"/>
    </row>
    <row r="89" spans="2:9" s="580" customFormat="1" ht="13.5" thickBot="1">
      <c r="B89" s="589"/>
      <c r="C89" s="291" t="s">
        <v>14</v>
      </c>
      <c r="D89" s="1119" t="s">
        <v>817</v>
      </c>
      <c r="E89" s="1120"/>
      <c r="F89" s="1120"/>
      <c r="G89" s="1120"/>
      <c r="H89" s="1121"/>
      <c r="I89" s="307"/>
    </row>
    <row r="90" spans="2:9" s="580" customFormat="1">
      <c r="B90" s="589"/>
      <c r="C90" s="295"/>
      <c r="D90" s="284"/>
      <c r="E90" s="295"/>
      <c r="F90" s="295"/>
      <c r="G90" s="284"/>
      <c r="H90" s="284"/>
      <c r="I90" s="316"/>
    </row>
    <row r="91" spans="2:9" s="646" customFormat="1" ht="19.5" thickBot="1">
      <c r="B91" s="645">
        <v>5</v>
      </c>
      <c r="C91" s="682" t="s">
        <v>1078</v>
      </c>
      <c r="E91" s="645"/>
      <c r="F91" s="645"/>
      <c r="H91" s="684"/>
      <c r="I91" s="684"/>
    </row>
    <row r="92" spans="2:9" s="580" customFormat="1" ht="26.25" thickBot="1">
      <c r="B92" s="589"/>
      <c r="C92" s="334" t="s">
        <v>840</v>
      </c>
      <c r="D92" s="335" t="s">
        <v>841</v>
      </c>
      <c r="E92" s="335" t="s">
        <v>842</v>
      </c>
      <c r="F92" s="431" t="s">
        <v>843</v>
      </c>
      <c r="G92" s="489" t="s">
        <v>844</v>
      </c>
      <c r="H92" s="490" t="s">
        <v>845</v>
      </c>
      <c r="I92" s="337" t="s">
        <v>846</v>
      </c>
    </row>
    <row r="93" spans="2:9" s="580" customFormat="1">
      <c r="B93" s="589"/>
      <c r="C93" s="543" t="s">
        <v>7</v>
      </c>
      <c r="D93" s="289" t="s">
        <v>810</v>
      </c>
      <c r="E93" s="581"/>
      <c r="F93" s="680"/>
      <c r="G93" s="299"/>
      <c r="H93" s="299"/>
      <c r="I93" s="300"/>
    </row>
    <row r="94" spans="2:9" s="580" customFormat="1">
      <c r="B94" s="589"/>
      <c r="C94" s="298"/>
      <c r="D94" s="289" t="s">
        <v>10</v>
      </c>
      <c r="E94" s="285" t="s">
        <v>16</v>
      </c>
      <c r="F94" s="658" t="s">
        <v>726</v>
      </c>
      <c r="G94" s="286">
        <v>1.65</v>
      </c>
      <c r="H94" s="299"/>
      <c r="I94" s="300"/>
    </row>
    <row r="95" spans="2:9" s="580" customFormat="1">
      <c r="B95" s="589"/>
      <c r="C95" s="298"/>
      <c r="D95" s="289" t="s">
        <v>143</v>
      </c>
      <c r="E95" s="285" t="s">
        <v>22</v>
      </c>
      <c r="F95" s="658" t="s">
        <v>726</v>
      </c>
      <c r="G95" s="286">
        <v>0.27500000000000002</v>
      </c>
      <c r="H95" s="299"/>
      <c r="I95" s="300"/>
    </row>
    <row r="96" spans="2:9" s="580" customFormat="1">
      <c r="B96" s="589"/>
      <c r="C96" s="298"/>
      <c r="D96" s="289" t="s">
        <v>20</v>
      </c>
      <c r="E96" s="285" t="s">
        <v>21</v>
      </c>
      <c r="F96" s="658" t="s">
        <v>726</v>
      </c>
      <c r="G96" s="286">
        <v>2.8000000000000001E-2</v>
      </c>
      <c r="H96" s="299"/>
      <c r="I96" s="300"/>
    </row>
    <row r="97" spans="2:9" s="580" customFormat="1">
      <c r="B97" s="589"/>
      <c r="C97" s="301"/>
      <c r="D97" s="177" t="s">
        <v>11</v>
      </c>
      <c r="E97" s="287" t="s">
        <v>17</v>
      </c>
      <c r="F97" s="659" t="s">
        <v>726</v>
      </c>
      <c r="G97" s="288">
        <v>8.3000000000000004E-2</v>
      </c>
      <c r="H97" s="302"/>
      <c r="I97" s="303"/>
    </row>
    <row r="98" spans="2:9" s="580" customFormat="1">
      <c r="B98" s="589"/>
      <c r="C98" s="314"/>
      <c r="D98" s="582"/>
      <c r="E98" s="315"/>
      <c r="F98" s="583"/>
      <c r="G98" s="1155" t="s">
        <v>727</v>
      </c>
      <c r="H98" s="1156"/>
      <c r="I98" s="584"/>
    </row>
    <row r="99" spans="2:9" s="580" customFormat="1">
      <c r="B99" s="589"/>
      <c r="C99" s="292" t="s">
        <v>8</v>
      </c>
      <c r="D99" s="656" t="s">
        <v>811</v>
      </c>
      <c r="E99" s="585"/>
      <c r="F99" s="585"/>
      <c r="G99" s="296"/>
      <c r="H99" s="296"/>
      <c r="I99" s="297"/>
    </row>
    <row r="100" spans="2:9" s="580" customFormat="1">
      <c r="B100" s="589"/>
      <c r="C100" s="298"/>
      <c r="D100" s="289" t="s">
        <v>806</v>
      </c>
      <c r="E100" s="581"/>
      <c r="F100" s="285" t="s">
        <v>56</v>
      </c>
      <c r="G100" s="286">
        <v>326</v>
      </c>
      <c r="H100" s="299"/>
      <c r="I100" s="300"/>
    </row>
    <row r="101" spans="2:9" s="580" customFormat="1">
      <c r="B101" s="589"/>
      <c r="C101" s="298"/>
      <c r="D101" s="289" t="s">
        <v>144</v>
      </c>
      <c r="E101" s="581"/>
      <c r="F101" s="285" t="s">
        <v>56</v>
      </c>
      <c r="G101" s="655">
        <v>760</v>
      </c>
      <c r="H101" s="299"/>
      <c r="I101" s="300"/>
    </row>
    <row r="102" spans="2:9" s="580" customFormat="1" ht="25.5">
      <c r="B102" s="589"/>
      <c r="C102" s="298"/>
      <c r="D102" s="299" t="s">
        <v>1040</v>
      </c>
      <c r="E102" s="581"/>
      <c r="F102" s="285" t="s">
        <v>56</v>
      </c>
      <c r="G102" s="655">
        <v>1029</v>
      </c>
      <c r="H102" s="299"/>
      <c r="I102" s="300"/>
    </row>
    <row r="103" spans="2:9" s="580" customFormat="1">
      <c r="B103" s="589"/>
      <c r="C103" s="301"/>
      <c r="D103" s="177" t="s">
        <v>274</v>
      </c>
      <c r="E103" s="586"/>
      <c r="F103" s="287" t="s">
        <v>275</v>
      </c>
      <c r="G103" s="626">
        <v>215</v>
      </c>
      <c r="H103" s="302"/>
      <c r="I103" s="303"/>
    </row>
    <row r="104" spans="2:9" s="580" customFormat="1">
      <c r="B104" s="589"/>
      <c r="C104" s="314"/>
      <c r="D104" s="582"/>
      <c r="E104" s="315"/>
      <c r="F104" s="583"/>
      <c r="G104" s="1157" t="s">
        <v>728</v>
      </c>
      <c r="H104" s="1158"/>
      <c r="I104" s="584"/>
    </row>
    <row r="105" spans="2:9" s="580" customFormat="1">
      <c r="B105" s="589"/>
      <c r="C105" s="292" t="s">
        <v>9</v>
      </c>
      <c r="D105" s="293" t="s">
        <v>815</v>
      </c>
      <c r="E105" s="585"/>
      <c r="F105" s="585"/>
      <c r="G105" s="296"/>
      <c r="H105" s="296"/>
      <c r="I105" s="297"/>
    </row>
    <row r="106" spans="2:9" s="580" customFormat="1">
      <c r="B106" s="589"/>
      <c r="C106" s="301"/>
      <c r="D106" s="302"/>
      <c r="E106" s="586"/>
      <c r="F106" s="586"/>
      <c r="G106" s="302"/>
      <c r="H106" s="302"/>
      <c r="I106" s="303"/>
    </row>
    <row r="107" spans="2:9" s="580" customFormat="1">
      <c r="B107" s="589"/>
      <c r="C107" s="609"/>
      <c r="D107" s="316"/>
      <c r="E107" s="593"/>
      <c r="F107" s="593"/>
      <c r="G107" s="1157" t="s">
        <v>729</v>
      </c>
      <c r="H107" s="1158"/>
      <c r="I107" s="584"/>
    </row>
    <row r="108" spans="2:9" s="580" customFormat="1">
      <c r="B108" s="589"/>
      <c r="C108" s="290" t="s">
        <v>12</v>
      </c>
      <c r="D108" s="1113" t="s">
        <v>730</v>
      </c>
      <c r="E108" s="1114"/>
      <c r="F108" s="1114"/>
      <c r="G108" s="1114"/>
      <c r="H108" s="1115"/>
      <c r="I108" s="306"/>
    </row>
    <row r="109" spans="2:9" s="580" customFormat="1">
      <c r="B109" s="589"/>
      <c r="C109" s="290" t="s">
        <v>13</v>
      </c>
      <c r="D109" s="1116" t="s">
        <v>731</v>
      </c>
      <c r="E109" s="1117"/>
      <c r="F109" s="1118"/>
      <c r="G109" s="1113" t="s">
        <v>740</v>
      </c>
      <c r="H109" s="1115"/>
      <c r="I109" s="306"/>
    </row>
    <row r="110" spans="2:9" s="580" customFormat="1" ht="13.5" thickBot="1">
      <c r="B110" s="589"/>
      <c r="C110" s="291" t="s">
        <v>14</v>
      </c>
      <c r="D110" s="1119" t="s">
        <v>817</v>
      </c>
      <c r="E110" s="1120"/>
      <c r="F110" s="1120"/>
      <c r="G110" s="1120"/>
      <c r="H110" s="1121"/>
      <c r="I110" s="307"/>
    </row>
    <row r="111" spans="2:9" s="580" customFormat="1">
      <c r="B111" s="589"/>
      <c r="C111" s="589"/>
      <c r="E111" s="589"/>
      <c r="F111" s="589"/>
      <c r="H111" s="316"/>
      <c r="I111" s="316"/>
    </row>
    <row r="112" spans="2:9" s="646" customFormat="1" ht="19.5" thickBot="1">
      <c r="B112" s="645">
        <v>6</v>
      </c>
      <c r="C112" s="682" t="s">
        <v>1079</v>
      </c>
      <c r="E112" s="645"/>
      <c r="F112" s="645"/>
      <c r="H112" s="684"/>
      <c r="I112" s="684"/>
    </row>
    <row r="113" spans="2:9" s="580" customFormat="1" ht="26.25" thickBot="1">
      <c r="B113" s="589"/>
      <c r="C113" s="334" t="s">
        <v>840</v>
      </c>
      <c r="D113" s="335" t="s">
        <v>841</v>
      </c>
      <c r="E113" s="335" t="s">
        <v>842</v>
      </c>
      <c r="F113" s="335" t="s">
        <v>843</v>
      </c>
      <c r="G113" s="431" t="s">
        <v>844</v>
      </c>
      <c r="H113" s="335" t="s">
        <v>845</v>
      </c>
      <c r="I113" s="337" t="s">
        <v>846</v>
      </c>
    </row>
    <row r="114" spans="2:9" s="580" customFormat="1" ht="14.1" customHeight="1">
      <c r="B114" s="589"/>
      <c r="C114" s="543" t="s">
        <v>7</v>
      </c>
      <c r="D114" s="289" t="s">
        <v>810</v>
      </c>
      <c r="E114" s="581"/>
      <c r="F114" s="581"/>
      <c r="G114" s="299"/>
      <c r="H114" s="299"/>
      <c r="I114" s="300"/>
    </row>
    <row r="115" spans="2:9" s="580" customFormat="1" ht="14.1" customHeight="1">
      <c r="B115" s="589"/>
      <c r="C115" s="298"/>
      <c r="D115" s="289" t="s">
        <v>10</v>
      </c>
      <c r="E115" s="285" t="s">
        <v>16</v>
      </c>
      <c r="F115" s="285" t="s">
        <v>726</v>
      </c>
      <c r="G115" s="286">
        <v>1.65</v>
      </c>
      <c r="H115" s="299"/>
      <c r="I115" s="300"/>
    </row>
    <row r="116" spans="2:9" s="580" customFormat="1" ht="14.1" customHeight="1">
      <c r="B116" s="589"/>
      <c r="C116" s="298"/>
      <c r="D116" s="289" t="s">
        <v>143</v>
      </c>
      <c r="E116" s="285" t="s">
        <v>22</v>
      </c>
      <c r="F116" s="285" t="s">
        <v>726</v>
      </c>
      <c r="G116" s="286">
        <v>0.27500000000000002</v>
      </c>
      <c r="H116" s="299"/>
      <c r="I116" s="300"/>
    </row>
    <row r="117" spans="2:9" s="580" customFormat="1" ht="14.1" customHeight="1">
      <c r="B117" s="589"/>
      <c r="C117" s="298"/>
      <c r="D117" s="289" t="s">
        <v>20</v>
      </c>
      <c r="E117" s="285" t="s">
        <v>21</v>
      </c>
      <c r="F117" s="285" t="s">
        <v>726</v>
      </c>
      <c r="G117" s="286">
        <v>2.8000000000000001E-2</v>
      </c>
      <c r="H117" s="299"/>
      <c r="I117" s="300"/>
    </row>
    <row r="118" spans="2:9" s="580" customFormat="1" ht="14.1" customHeight="1">
      <c r="B118" s="589"/>
      <c r="C118" s="301"/>
      <c r="D118" s="177" t="s">
        <v>11</v>
      </c>
      <c r="E118" s="287" t="s">
        <v>17</v>
      </c>
      <c r="F118" s="287" t="s">
        <v>726</v>
      </c>
      <c r="G118" s="288">
        <v>8.3000000000000004E-2</v>
      </c>
      <c r="H118" s="302"/>
      <c r="I118" s="303"/>
    </row>
    <row r="119" spans="2:9" s="580" customFormat="1" ht="14.1" customHeight="1">
      <c r="B119" s="589"/>
      <c r="C119" s="314"/>
      <c r="D119" s="582"/>
      <c r="E119" s="315"/>
      <c r="F119" s="583"/>
      <c r="G119" s="1155" t="s">
        <v>727</v>
      </c>
      <c r="H119" s="1156"/>
      <c r="I119" s="584"/>
    </row>
    <row r="120" spans="2:9" s="580" customFormat="1" ht="14.1" customHeight="1">
      <c r="B120" s="589"/>
      <c r="C120" s="292" t="s">
        <v>8</v>
      </c>
      <c r="D120" s="656" t="s">
        <v>811</v>
      </c>
      <c r="E120" s="585"/>
      <c r="F120" s="585"/>
      <c r="G120" s="296"/>
      <c r="H120" s="296"/>
      <c r="I120" s="297"/>
    </row>
    <row r="121" spans="2:9" s="580" customFormat="1" ht="14.1" customHeight="1">
      <c r="B121" s="589"/>
      <c r="C121" s="298"/>
      <c r="D121" s="289" t="s">
        <v>806</v>
      </c>
      <c r="E121" s="581"/>
      <c r="F121" s="285" t="s">
        <v>56</v>
      </c>
      <c r="G121" s="286">
        <v>352</v>
      </c>
      <c r="H121" s="299"/>
      <c r="I121" s="300"/>
    </row>
    <row r="122" spans="2:9" s="580" customFormat="1" ht="14.1" customHeight="1">
      <c r="B122" s="589"/>
      <c r="C122" s="298"/>
      <c r="D122" s="289" t="s">
        <v>144</v>
      </c>
      <c r="E122" s="581"/>
      <c r="F122" s="285" t="s">
        <v>56</v>
      </c>
      <c r="G122" s="655">
        <v>731</v>
      </c>
      <c r="H122" s="299"/>
      <c r="I122" s="300"/>
    </row>
    <row r="123" spans="2:9" s="580" customFormat="1" ht="14.1" customHeight="1">
      <c r="B123" s="589"/>
      <c r="C123" s="298"/>
      <c r="D123" s="289" t="s">
        <v>1041</v>
      </c>
      <c r="E123" s="581"/>
      <c r="F123" s="285" t="s">
        <v>56</v>
      </c>
      <c r="G123" s="655">
        <v>1031</v>
      </c>
      <c r="H123" s="299"/>
      <c r="I123" s="300"/>
    </row>
    <row r="124" spans="2:9" s="580" customFormat="1" ht="14.1" customHeight="1">
      <c r="B124" s="589"/>
      <c r="C124" s="301"/>
      <c r="D124" s="177" t="s">
        <v>274</v>
      </c>
      <c r="E124" s="586"/>
      <c r="F124" s="287" t="s">
        <v>275</v>
      </c>
      <c r="G124" s="626">
        <v>215</v>
      </c>
      <c r="H124" s="302"/>
      <c r="I124" s="303"/>
    </row>
    <row r="125" spans="2:9" s="580" customFormat="1" ht="14.1" customHeight="1">
      <c r="B125" s="589"/>
      <c r="C125" s="314"/>
      <c r="D125" s="582"/>
      <c r="E125" s="315"/>
      <c r="F125" s="583"/>
      <c r="G125" s="1157" t="s">
        <v>728</v>
      </c>
      <c r="H125" s="1158"/>
      <c r="I125" s="631"/>
    </row>
    <row r="126" spans="2:9" s="580" customFormat="1" ht="14.1" customHeight="1">
      <c r="B126" s="589"/>
      <c r="C126" s="292" t="s">
        <v>9</v>
      </c>
      <c r="D126" s="293" t="s">
        <v>815</v>
      </c>
      <c r="E126" s="585"/>
      <c r="F126" s="585"/>
      <c r="G126" s="296"/>
      <c r="H126" s="296"/>
      <c r="I126" s="297"/>
    </row>
    <row r="127" spans="2:9" s="580" customFormat="1" ht="14.1" customHeight="1">
      <c r="B127" s="589"/>
      <c r="C127" s="301"/>
      <c r="D127" s="302"/>
      <c r="E127" s="586"/>
      <c r="F127" s="586"/>
      <c r="G127" s="302"/>
      <c r="H127" s="302"/>
      <c r="I127" s="303"/>
    </row>
    <row r="128" spans="2:9" s="580" customFormat="1" ht="14.1" customHeight="1">
      <c r="B128" s="589"/>
      <c r="C128" s="609"/>
      <c r="D128" s="316"/>
      <c r="E128" s="593"/>
      <c r="F128" s="593"/>
      <c r="G128" s="1159" t="s">
        <v>729</v>
      </c>
      <c r="H128" s="1159"/>
      <c r="I128" s="631"/>
    </row>
    <row r="129" spans="2:9" s="580" customFormat="1" ht="14.1" customHeight="1">
      <c r="B129" s="589"/>
      <c r="C129" s="290" t="s">
        <v>12</v>
      </c>
      <c r="D129" s="1113" t="s">
        <v>730</v>
      </c>
      <c r="E129" s="1114"/>
      <c r="F129" s="1114"/>
      <c r="G129" s="1114"/>
      <c r="H129" s="1115"/>
      <c r="I129" s="306"/>
    </row>
    <row r="130" spans="2:9" s="580" customFormat="1" ht="14.1" customHeight="1">
      <c r="B130" s="589"/>
      <c r="C130" s="290" t="s">
        <v>13</v>
      </c>
      <c r="D130" s="1116" t="s">
        <v>731</v>
      </c>
      <c r="E130" s="1117"/>
      <c r="F130" s="1118"/>
      <c r="G130" s="1113" t="s">
        <v>740</v>
      </c>
      <c r="H130" s="1115"/>
      <c r="I130" s="306"/>
    </row>
    <row r="131" spans="2:9" s="580" customFormat="1" ht="14.1" customHeight="1" thickBot="1">
      <c r="B131" s="589"/>
      <c r="C131" s="291" t="s">
        <v>14</v>
      </c>
      <c r="D131" s="1119" t="s">
        <v>817</v>
      </c>
      <c r="E131" s="1120"/>
      <c r="F131" s="1120"/>
      <c r="G131" s="1120"/>
      <c r="H131" s="1121"/>
      <c r="I131" s="307"/>
    </row>
    <row r="132" spans="2:9" s="580" customFormat="1" ht="14.1" customHeight="1">
      <c r="B132" s="589"/>
      <c r="C132" s="295"/>
      <c r="D132" s="284"/>
      <c r="E132" s="295"/>
      <c r="F132" s="295"/>
      <c r="G132" s="284"/>
      <c r="H132" s="284"/>
      <c r="I132" s="316"/>
    </row>
    <row r="133" spans="2:9" s="646" customFormat="1" ht="19.5" thickBot="1">
      <c r="B133" s="645">
        <v>7</v>
      </c>
      <c r="C133" s="682" t="s">
        <v>1080</v>
      </c>
      <c r="E133" s="645"/>
      <c r="F133" s="645"/>
      <c r="H133" s="684"/>
      <c r="I133" s="684"/>
    </row>
    <row r="134" spans="2:9" s="580" customFormat="1" ht="26.25" thickBot="1">
      <c r="B134" s="589"/>
      <c r="C134" s="334" t="s">
        <v>840</v>
      </c>
      <c r="D134" s="335" t="s">
        <v>841</v>
      </c>
      <c r="E134" s="335" t="s">
        <v>842</v>
      </c>
      <c r="F134" s="335" t="s">
        <v>843</v>
      </c>
      <c r="G134" s="431" t="s">
        <v>844</v>
      </c>
      <c r="H134" s="335" t="s">
        <v>845</v>
      </c>
      <c r="I134" s="337" t="s">
        <v>846</v>
      </c>
    </row>
    <row r="135" spans="2:9" s="580" customFormat="1" ht="14.1" customHeight="1">
      <c r="B135" s="589"/>
      <c r="C135" s="543" t="s">
        <v>7</v>
      </c>
      <c r="D135" s="289" t="s">
        <v>810</v>
      </c>
      <c r="E135" s="581"/>
      <c r="F135" s="581"/>
      <c r="G135" s="299"/>
      <c r="H135" s="299"/>
      <c r="I135" s="300"/>
    </row>
    <row r="136" spans="2:9" s="580" customFormat="1" ht="14.1" customHeight="1">
      <c r="B136" s="589"/>
      <c r="C136" s="298"/>
      <c r="D136" s="289" t="s">
        <v>10</v>
      </c>
      <c r="E136" s="285" t="s">
        <v>16</v>
      </c>
      <c r="F136" s="285" t="s">
        <v>726</v>
      </c>
      <c r="G136" s="286">
        <v>1.65</v>
      </c>
      <c r="H136" s="299"/>
      <c r="I136" s="300"/>
    </row>
    <row r="137" spans="2:9" s="580" customFormat="1" ht="14.1" customHeight="1">
      <c r="B137" s="589"/>
      <c r="C137" s="298"/>
      <c r="D137" s="289" t="s">
        <v>143</v>
      </c>
      <c r="E137" s="285" t="s">
        <v>22</v>
      </c>
      <c r="F137" s="285" t="s">
        <v>726</v>
      </c>
      <c r="G137" s="286">
        <v>0.27500000000000002</v>
      </c>
      <c r="H137" s="299"/>
      <c r="I137" s="300"/>
    </row>
    <row r="138" spans="2:9" s="580" customFormat="1" ht="14.1" customHeight="1">
      <c r="B138" s="589"/>
      <c r="C138" s="298"/>
      <c r="D138" s="289" t="s">
        <v>20</v>
      </c>
      <c r="E138" s="285" t="s">
        <v>21</v>
      </c>
      <c r="F138" s="285" t="s">
        <v>726</v>
      </c>
      <c r="G138" s="286">
        <v>2.8000000000000001E-2</v>
      </c>
      <c r="H138" s="299"/>
      <c r="I138" s="300"/>
    </row>
    <row r="139" spans="2:9" s="580" customFormat="1" ht="14.1" customHeight="1">
      <c r="B139" s="589"/>
      <c r="C139" s="301"/>
      <c r="D139" s="177" t="s">
        <v>11</v>
      </c>
      <c r="E139" s="287" t="s">
        <v>17</v>
      </c>
      <c r="F139" s="287" t="s">
        <v>726</v>
      </c>
      <c r="G139" s="288">
        <v>8.3000000000000004E-2</v>
      </c>
      <c r="H139" s="302"/>
      <c r="I139" s="303"/>
    </row>
    <row r="140" spans="2:9" s="580" customFormat="1" ht="14.1" customHeight="1">
      <c r="B140" s="589"/>
      <c r="C140" s="314"/>
      <c r="D140" s="582"/>
      <c r="E140" s="315"/>
      <c r="F140" s="583"/>
      <c r="G140" s="1155" t="s">
        <v>727</v>
      </c>
      <c r="H140" s="1156"/>
      <c r="I140" s="584"/>
    </row>
    <row r="141" spans="2:9" s="580" customFormat="1" ht="14.1" customHeight="1">
      <c r="B141" s="589"/>
      <c r="C141" s="292" t="s">
        <v>8</v>
      </c>
      <c r="D141" s="293" t="s">
        <v>811</v>
      </c>
      <c r="E141" s="585"/>
      <c r="F141" s="585"/>
      <c r="G141" s="296"/>
      <c r="H141" s="296"/>
      <c r="I141" s="297"/>
    </row>
    <row r="142" spans="2:9" s="580" customFormat="1" ht="14.1" customHeight="1">
      <c r="B142" s="589"/>
      <c r="C142" s="298"/>
      <c r="D142" s="289" t="s">
        <v>806</v>
      </c>
      <c r="E142" s="581"/>
      <c r="F142" s="285" t="s">
        <v>56</v>
      </c>
      <c r="G142" s="286">
        <v>371</v>
      </c>
      <c r="H142" s="299"/>
      <c r="I142" s="300"/>
    </row>
    <row r="143" spans="2:9" s="580" customFormat="1" ht="14.1" customHeight="1">
      <c r="B143" s="589"/>
      <c r="C143" s="298"/>
      <c r="D143" s="289" t="s">
        <v>144</v>
      </c>
      <c r="E143" s="581"/>
      <c r="F143" s="285" t="s">
        <v>56</v>
      </c>
      <c r="G143" s="655">
        <v>698</v>
      </c>
      <c r="H143" s="299"/>
      <c r="I143" s="300"/>
    </row>
    <row r="144" spans="2:9" s="580" customFormat="1" ht="14.1" customHeight="1">
      <c r="B144" s="589"/>
      <c r="C144" s="298"/>
      <c r="D144" s="289" t="s">
        <v>807</v>
      </c>
      <c r="E144" s="581"/>
      <c r="F144" s="285" t="s">
        <v>56</v>
      </c>
      <c r="G144" s="655">
        <v>1047</v>
      </c>
      <c r="H144" s="299"/>
      <c r="I144" s="300"/>
    </row>
    <row r="145" spans="2:9" s="580" customFormat="1" ht="14.1" customHeight="1">
      <c r="B145" s="589"/>
      <c r="C145" s="301"/>
      <c r="D145" s="654" t="s">
        <v>274</v>
      </c>
      <c r="E145" s="586"/>
      <c r="F145" s="287" t="s">
        <v>275</v>
      </c>
      <c r="G145" s="626">
        <v>215</v>
      </c>
      <c r="H145" s="302"/>
      <c r="I145" s="303"/>
    </row>
    <row r="146" spans="2:9" s="580" customFormat="1" ht="14.1" customHeight="1">
      <c r="B146" s="589"/>
      <c r="C146" s="609"/>
      <c r="D146" s="316"/>
      <c r="E146" s="593"/>
      <c r="F146" s="593"/>
      <c r="G146" s="1157" t="s">
        <v>728</v>
      </c>
      <c r="H146" s="1158"/>
      <c r="I146" s="584"/>
    </row>
    <row r="147" spans="2:9" s="580" customFormat="1" ht="14.1" customHeight="1">
      <c r="B147" s="589"/>
      <c r="C147" s="292" t="s">
        <v>9</v>
      </c>
      <c r="D147" s="293" t="s">
        <v>815</v>
      </c>
      <c r="E147" s="585"/>
      <c r="F147" s="585"/>
      <c r="G147" s="296"/>
      <c r="H147" s="296"/>
      <c r="I147" s="631"/>
    </row>
    <row r="148" spans="2:9" s="580" customFormat="1" ht="14.1" customHeight="1">
      <c r="B148" s="589"/>
      <c r="C148" s="301"/>
      <c r="D148" s="302"/>
      <c r="E148" s="586"/>
      <c r="F148" s="586"/>
      <c r="G148" s="302"/>
      <c r="H148" s="302"/>
      <c r="I148" s="631"/>
    </row>
    <row r="149" spans="2:9" s="580" customFormat="1" ht="14.1" customHeight="1">
      <c r="B149" s="589"/>
      <c r="C149" s="609"/>
      <c r="D149" s="316"/>
      <c r="E149" s="593"/>
      <c r="F149" s="593"/>
      <c r="G149" s="1157" t="s">
        <v>729</v>
      </c>
      <c r="H149" s="1158"/>
      <c r="I149" s="584"/>
    </row>
    <row r="150" spans="2:9" s="580" customFormat="1" ht="14.1" customHeight="1">
      <c r="B150" s="589"/>
      <c r="C150" s="290" t="s">
        <v>12</v>
      </c>
      <c r="D150" s="1113" t="s">
        <v>730</v>
      </c>
      <c r="E150" s="1114"/>
      <c r="F150" s="1114"/>
      <c r="G150" s="1160"/>
      <c r="H150" s="1126"/>
      <c r="I150" s="305"/>
    </row>
    <row r="151" spans="2:9" s="580" customFormat="1" ht="14.1" customHeight="1">
      <c r="B151" s="589"/>
      <c r="C151" s="290" t="s">
        <v>13</v>
      </c>
      <c r="D151" s="1116" t="s">
        <v>731</v>
      </c>
      <c r="E151" s="1117"/>
      <c r="F151" s="1118"/>
      <c r="G151" s="1113" t="s">
        <v>740</v>
      </c>
      <c r="H151" s="1115"/>
      <c r="I151" s="306"/>
    </row>
    <row r="152" spans="2:9" s="580" customFormat="1" ht="14.1" customHeight="1" thickBot="1">
      <c r="B152" s="589"/>
      <c r="C152" s="291" t="s">
        <v>14</v>
      </c>
      <c r="D152" s="1119" t="s">
        <v>817</v>
      </c>
      <c r="E152" s="1120"/>
      <c r="F152" s="1120"/>
      <c r="G152" s="1120"/>
      <c r="H152" s="1121"/>
      <c r="I152" s="307"/>
    </row>
    <row r="153" spans="2:9" s="580" customFormat="1" ht="14.1" customHeight="1">
      <c r="B153" s="589"/>
      <c r="C153" s="589"/>
      <c r="E153" s="589"/>
      <c r="F153" s="589"/>
      <c r="H153" s="316"/>
      <c r="I153" s="316"/>
    </row>
    <row r="154" spans="2:9" s="646" customFormat="1" ht="19.5" thickBot="1">
      <c r="B154" s="645">
        <v>8</v>
      </c>
      <c r="C154" s="682" t="s">
        <v>1081</v>
      </c>
      <c r="E154" s="645"/>
      <c r="F154" s="645"/>
      <c r="H154" s="684"/>
      <c r="I154" s="684"/>
    </row>
    <row r="155" spans="2:9" s="580" customFormat="1" ht="26.25" thickBot="1">
      <c r="B155" s="589"/>
      <c r="C155" s="334" t="s">
        <v>840</v>
      </c>
      <c r="D155" s="335" t="s">
        <v>841</v>
      </c>
      <c r="E155" s="335" t="s">
        <v>842</v>
      </c>
      <c r="F155" s="335" t="s">
        <v>843</v>
      </c>
      <c r="G155" s="431" t="s">
        <v>844</v>
      </c>
      <c r="H155" s="335" t="s">
        <v>845</v>
      </c>
      <c r="I155" s="337" t="s">
        <v>846</v>
      </c>
    </row>
    <row r="156" spans="2:9" s="580" customFormat="1" ht="14.1" customHeight="1">
      <c r="B156" s="589"/>
      <c r="C156" s="543" t="s">
        <v>7</v>
      </c>
      <c r="D156" s="289" t="s">
        <v>810</v>
      </c>
      <c r="E156" s="581"/>
      <c r="F156" s="581"/>
      <c r="G156" s="299"/>
      <c r="H156" s="299"/>
      <c r="I156" s="300"/>
    </row>
    <row r="157" spans="2:9" s="580" customFormat="1" ht="14.1" customHeight="1">
      <c r="B157" s="589"/>
      <c r="C157" s="298"/>
      <c r="D157" s="289" t="s">
        <v>10</v>
      </c>
      <c r="E157" s="285" t="s">
        <v>16</v>
      </c>
      <c r="F157" s="285" t="s">
        <v>726</v>
      </c>
      <c r="G157" s="286">
        <v>1.65</v>
      </c>
      <c r="H157" s="299"/>
      <c r="I157" s="300"/>
    </row>
    <row r="158" spans="2:9" s="580" customFormat="1" ht="14.1" customHeight="1">
      <c r="B158" s="589"/>
      <c r="C158" s="298"/>
      <c r="D158" s="289" t="s">
        <v>143</v>
      </c>
      <c r="E158" s="285" t="s">
        <v>22</v>
      </c>
      <c r="F158" s="285" t="s">
        <v>726</v>
      </c>
      <c r="G158" s="286">
        <v>0.27500000000000002</v>
      </c>
      <c r="H158" s="299"/>
      <c r="I158" s="300"/>
    </row>
    <row r="159" spans="2:9" s="580" customFormat="1" ht="14.1" customHeight="1">
      <c r="B159" s="589"/>
      <c r="C159" s="298"/>
      <c r="D159" s="289" t="s">
        <v>20</v>
      </c>
      <c r="E159" s="285" t="s">
        <v>21</v>
      </c>
      <c r="F159" s="285" t="s">
        <v>726</v>
      </c>
      <c r="G159" s="286">
        <v>2.8000000000000001E-2</v>
      </c>
      <c r="H159" s="299"/>
      <c r="I159" s="300"/>
    </row>
    <row r="160" spans="2:9" s="580" customFormat="1" ht="14.1" customHeight="1">
      <c r="B160" s="589"/>
      <c r="C160" s="301"/>
      <c r="D160" s="177" t="s">
        <v>11</v>
      </c>
      <c r="E160" s="287" t="s">
        <v>17</v>
      </c>
      <c r="F160" s="287" t="s">
        <v>726</v>
      </c>
      <c r="G160" s="288">
        <v>8.3000000000000004E-2</v>
      </c>
      <c r="H160" s="302"/>
      <c r="I160" s="303"/>
    </row>
    <row r="161" spans="2:9" s="580" customFormat="1" ht="14.1" customHeight="1">
      <c r="B161" s="589"/>
      <c r="C161" s="314"/>
      <c r="D161" s="582"/>
      <c r="E161" s="315"/>
      <c r="F161" s="583"/>
      <c r="G161" s="1155" t="s">
        <v>727</v>
      </c>
      <c r="H161" s="1156"/>
      <c r="I161" s="584"/>
    </row>
    <row r="162" spans="2:9" s="580" customFormat="1" ht="14.1" customHeight="1">
      <c r="B162" s="589"/>
      <c r="C162" s="292" t="s">
        <v>8</v>
      </c>
      <c r="D162" s="656" t="s">
        <v>811</v>
      </c>
      <c r="E162" s="585"/>
      <c r="F162" s="585"/>
      <c r="G162" s="296"/>
      <c r="H162" s="296"/>
      <c r="I162" s="297"/>
    </row>
    <row r="163" spans="2:9" s="580" customFormat="1" ht="14.1" customHeight="1">
      <c r="B163" s="589"/>
      <c r="C163" s="298"/>
      <c r="D163" s="289" t="s">
        <v>806</v>
      </c>
      <c r="E163" s="581"/>
      <c r="F163" s="285" t="s">
        <v>56</v>
      </c>
      <c r="G163" s="286">
        <v>384</v>
      </c>
      <c r="H163" s="299"/>
      <c r="I163" s="300"/>
    </row>
    <row r="164" spans="2:9" s="580" customFormat="1" ht="14.1" customHeight="1">
      <c r="B164" s="589"/>
      <c r="C164" s="298"/>
      <c r="D164" s="289" t="s">
        <v>144</v>
      </c>
      <c r="E164" s="581"/>
      <c r="F164" s="285" t="s">
        <v>56</v>
      </c>
      <c r="G164" s="655">
        <v>692</v>
      </c>
      <c r="H164" s="299"/>
      <c r="I164" s="300"/>
    </row>
    <row r="165" spans="2:9" s="580" customFormat="1" ht="14.1" customHeight="1">
      <c r="B165" s="589"/>
      <c r="C165" s="298"/>
      <c r="D165" s="289" t="s">
        <v>1042</v>
      </c>
      <c r="E165" s="581"/>
      <c r="F165" s="285" t="s">
        <v>56</v>
      </c>
      <c r="G165" s="655">
        <v>1039</v>
      </c>
      <c r="H165" s="299"/>
      <c r="I165" s="300"/>
    </row>
    <row r="166" spans="2:9" s="580" customFormat="1" ht="14.1" customHeight="1">
      <c r="B166" s="589"/>
      <c r="C166" s="301"/>
      <c r="D166" s="177" t="s">
        <v>274</v>
      </c>
      <c r="E166" s="586"/>
      <c r="F166" s="287" t="s">
        <v>275</v>
      </c>
      <c r="G166" s="626">
        <v>215</v>
      </c>
      <c r="H166" s="302"/>
      <c r="I166" s="303"/>
    </row>
    <row r="167" spans="2:9" s="580" customFormat="1" ht="14.1" customHeight="1">
      <c r="B167" s="589"/>
      <c r="C167" s="314"/>
      <c r="D167" s="582"/>
      <c r="E167" s="315"/>
      <c r="F167" s="583"/>
      <c r="G167" s="1157" t="s">
        <v>728</v>
      </c>
      <c r="H167" s="1158"/>
      <c r="I167" s="584"/>
    </row>
    <row r="168" spans="2:9" s="580" customFormat="1" ht="14.1" customHeight="1">
      <c r="B168" s="589"/>
      <c r="C168" s="292" t="s">
        <v>9</v>
      </c>
      <c r="D168" s="293" t="s">
        <v>815</v>
      </c>
      <c r="E168" s="585"/>
      <c r="F168" s="585"/>
      <c r="G168" s="296"/>
      <c r="H168" s="296"/>
      <c r="I168" s="297"/>
    </row>
    <row r="169" spans="2:9" s="580" customFormat="1" ht="14.1" customHeight="1">
      <c r="B169" s="589"/>
      <c r="C169" s="301"/>
      <c r="D169" s="302"/>
      <c r="E169" s="586"/>
      <c r="F169" s="586"/>
      <c r="G169" s="302"/>
      <c r="H169" s="302"/>
      <c r="I169" s="303"/>
    </row>
    <row r="170" spans="2:9" s="580" customFormat="1" ht="14.1" customHeight="1">
      <c r="B170" s="589"/>
      <c r="C170" s="609"/>
      <c r="D170" s="316"/>
      <c r="E170" s="593"/>
      <c r="F170" s="593"/>
      <c r="G170" s="1157" t="s">
        <v>729</v>
      </c>
      <c r="H170" s="1158"/>
      <c r="I170" s="584"/>
    </row>
    <row r="171" spans="2:9" s="580" customFormat="1" ht="14.1" customHeight="1">
      <c r="B171" s="589"/>
      <c r="C171" s="290" t="s">
        <v>12</v>
      </c>
      <c r="D171" s="1113" t="s">
        <v>730</v>
      </c>
      <c r="E171" s="1114"/>
      <c r="F171" s="1114"/>
      <c r="G171" s="1114"/>
      <c r="H171" s="1115"/>
      <c r="I171" s="306"/>
    </row>
    <row r="172" spans="2:9" s="580" customFormat="1" ht="14.1" customHeight="1">
      <c r="B172" s="589"/>
      <c r="C172" s="290" t="s">
        <v>13</v>
      </c>
      <c r="D172" s="1116" t="s">
        <v>731</v>
      </c>
      <c r="E172" s="1117"/>
      <c r="F172" s="1118"/>
      <c r="G172" s="1113" t="s">
        <v>740</v>
      </c>
      <c r="H172" s="1115"/>
      <c r="I172" s="306"/>
    </row>
    <row r="173" spans="2:9" s="580" customFormat="1" ht="14.1" customHeight="1" thickBot="1">
      <c r="B173" s="589"/>
      <c r="C173" s="291" t="s">
        <v>14</v>
      </c>
      <c r="D173" s="1119" t="s">
        <v>817</v>
      </c>
      <c r="E173" s="1120"/>
      <c r="F173" s="1120"/>
      <c r="G173" s="1120"/>
      <c r="H173" s="1121"/>
      <c r="I173" s="307"/>
    </row>
    <row r="174" spans="2:9" s="580" customFormat="1" ht="14.1" customHeight="1">
      <c r="B174" s="589"/>
      <c r="C174" s="295"/>
      <c r="D174" s="284"/>
      <c r="E174" s="295"/>
      <c r="F174" s="295"/>
      <c r="G174" s="284"/>
      <c r="H174" s="284"/>
      <c r="I174" s="316"/>
    </row>
    <row r="175" spans="2:9" s="646" customFormat="1" ht="19.5" thickBot="1">
      <c r="B175" s="645">
        <v>9</v>
      </c>
      <c r="C175" s="682" t="s">
        <v>1082</v>
      </c>
      <c r="E175" s="645"/>
      <c r="F175" s="645"/>
      <c r="H175" s="684"/>
      <c r="I175" s="684"/>
    </row>
    <row r="176" spans="2:9" s="580" customFormat="1" ht="26.25" thickBot="1">
      <c r="B176" s="589"/>
      <c r="C176" s="334" t="s">
        <v>840</v>
      </c>
      <c r="D176" s="335" t="s">
        <v>841</v>
      </c>
      <c r="E176" s="335" t="s">
        <v>842</v>
      </c>
      <c r="F176" s="335" t="s">
        <v>843</v>
      </c>
      <c r="G176" s="431" t="s">
        <v>844</v>
      </c>
      <c r="H176" s="335" t="s">
        <v>845</v>
      </c>
      <c r="I176" s="337" t="s">
        <v>846</v>
      </c>
    </row>
    <row r="177" spans="2:9" s="580" customFormat="1" ht="14.1" customHeight="1">
      <c r="B177" s="589"/>
      <c r="C177" s="543" t="s">
        <v>7</v>
      </c>
      <c r="D177" s="289" t="s">
        <v>810</v>
      </c>
      <c r="E177" s="581"/>
      <c r="F177" s="581"/>
      <c r="G177" s="299"/>
      <c r="H177" s="299"/>
      <c r="I177" s="300"/>
    </row>
    <row r="178" spans="2:9" s="580" customFormat="1" ht="14.1" customHeight="1">
      <c r="B178" s="589"/>
      <c r="C178" s="298"/>
      <c r="D178" s="289" t="s">
        <v>10</v>
      </c>
      <c r="E178" s="285" t="s">
        <v>16</v>
      </c>
      <c r="F178" s="285" t="s">
        <v>726</v>
      </c>
      <c r="G178" s="286">
        <v>1.65</v>
      </c>
      <c r="H178" s="299"/>
      <c r="I178" s="300"/>
    </row>
    <row r="179" spans="2:9" s="580" customFormat="1" ht="14.1" customHeight="1">
      <c r="B179" s="589"/>
      <c r="C179" s="298"/>
      <c r="D179" s="289" t="s">
        <v>143</v>
      </c>
      <c r="E179" s="285" t="s">
        <v>22</v>
      </c>
      <c r="F179" s="285" t="s">
        <v>726</v>
      </c>
      <c r="G179" s="286">
        <v>0.27500000000000002</v>
      </c>
      <c r="H179" s="299"/>
      <c r="I179" s="300"/>
    </row>
    <row r="180" spans="2:9" s="580" customFormat="1" ht="14.1" customHeight="1">
      <c r="B180" s="589"/>
      <c r="C180" s="298"/>
      <c r="D180" s="289" t="s">
        <v>20</v>
      </c>
      <c r="E180" s="285" t="s">
        <v>21</v>
      </c>
      <c r="F180" s="285" t="s">
        <v>726</v>
      </c>
      <c r="G180" s="286">
        <v>2.8000000000000001E-2</v>
      </c>
      <c r="H180" s="299"/>
      <c r="I180" s="300"/>
    </row>
    <row r="181" spans="2:9" s="580" customFormat="1" ht="14.1" customHeight="1">
      <c r="B181" s="589"/>
      <c r="C181" s="301"/>
      <c r="D181" s="177" t="s">
        <v>11</v>
      </c>
      <c r="E181" s="287" t="s">
        <v>17</v>
      </c>
      <c r="F181" s="287" t="s">
        <v>726</v>
      </c>
      <c r="G181" s="288">
        <v>8.3000000000000004E-2</v>
      </c>
      <c r="H181" s="302"/>
      <c r="I181" s="303"/>
    </row>
    <row r="182" spans="2:9" s="580" customFormat="1" ht="14.1" customHeight="1">
      <c r="B182" s="589"/>
      <c r="C182" s="314"/>
      <c r="D182" s="582"/>
      <c r="E182" s="315"/>
      <c r="F182" s="583"/>
      <c r="G182" s="1155" t="s">
        <v>727</v>
      </c>
      <c r="H182" s="1156"/>
      <c r="I182" s="584"/>
    </row>
    <row r="183" spans="2:9" s="580" customFormat="1" ht="14.1" customHeight="1">
      <c r="B183" s="589"/>
      <c r="C183" s="292" t="s">
        <v>8</v>
      </c>
      <c r="D183" s="656" t="s">
        <v>811</v>
      </c>
      <c r="E183" s="585"/>
      <c r="F183" s="585"/>
      <c r="G183" s="296"/>
      <c r="H183" s="296"/>
      <c r="I183" s="297"/>
    </row>
    <row r="184" spans="2:9" s="580" customFormat="1" ht="14.1" customHeight="1">
      <c r="B184" s="589"/>
      <c r="C184" s="298"/>
      <c r="D184" s="289" t="s">
        <v>806</v>
      </c>
      <c r="E184" s="581"/>
      <c r="F184" s="285" t="s">
        <v>56</v>
      </c>
      <c r="G184" s="286">
        <v>406</v>
      </c>
      <c r="H184" s="299"/>
      <c r="I184" s="300"/>
    </row>
    <row r="185" spans="2:9" s="580" customFormat="1" ht="14.1" customHeight="1">
      <c r="B185" s="589"/>
      <c r="C185" s="298"/>
      <c r="D185" s="289" t="s">
        <v>144</v>
      </c>
      <c r="E185" s="581"/>
      <c r="F185" s="285" t="s">
        <v>56</v>
      </c>
      <c r="G185" s="655">
        <v>684</v>
      </c>
      <c r="H185" s="299"/>
      <c r="I185" s="300"/>
    </row>
    <row r="186" spans="2:9" s="580" customFormat="1" ht="14.1" customHeight="1">
      <c r="B186" s="589"/>
      <c r="C186" s="298"/>
      <c r="D186" s="289" t="s">
        <v>807</v>
      </c>
      <c r="E186" s="581"/>
      <c r="F186" s="285" t="s">
        <v>56</v>
      </c>
      <c r="G186" s="655">
        <v>1026</v>
      </c>
      <c r="H186" s="299"/>
      <c r="I186" s="300"/>
    </row>
    <row r="187" spans="2:9" s="580" customFormat="1" ht="14.1" customHeight="1">
      <c r="B187" s="589"/>
      <c r="C187" s="301"/>
      <c r="D187" s="177" t="s">
        <v>274</v>
      </c>
      <c r="E187" s="586"/>
      <c r="F187" s="287" t="s">
        <v>275</v>
      </c>
      <c r="G187" s="626">
        <v>215</v>
      </c>
      <c r="H187" s="302"/>
      <c r="I187" s="303"/>
    </row>
    <row r="188" spans="2:9" s="580" customFormat="1" ht="14.1" customHeight="1">
      <c r="B188" s="589"/>
      <c r="C188" s="609"/>
      <c r="D188" s="316"/>
      <c r="E188" s="593"/>
      <c r="F188" s="593"/>
      <c r="G188" s="1193" t="s">
        <v>728</v>
      </c>
      <c r="H188" s="1193"/>
      <c r="I188" s="584"/>
    </row>
    <row r="189" spans="2:9" s="580" customFormat="1" ht="14.1" customHeight="1">
      <c r="B189" s="589"/>
      <c r="C189" s="292" t="s">
        <v>9</v>
      </c>
      <c r="D189" s="293" t="s">
        <v>815</v>
      </c>
      <c r="E189" s="585"/>
      <c r="F189" s="585"/>
      <c r="G189" s="296"/>
      <c r="H189" s="296"/>
      <c r="I189" s="297"/>
    </row>
    <row r="190" spans="2:9" s="580" customFormat="1" ht="14.1" customHeight="1">
      <c r="B190" s="589"/>
      <c r="C190" s="301"/>
      <c r="D190" s="302"/>
      <c r="E190" s="586"/>
      <c r="F190" s="586"/>
      <c r="G190" s="302"/>
      <c r="H190" s="302"/>
      <c r="I190" s="303"/>
    </row>
    <row r="191" spans="2:9" s="580" customFormat="1" ht="14.1" customHeight="1">
      <c r="B191" s="589"/>
      <c r="C191" s="314"/>
      <c r="D191" s="582"/>
      <c r="E191" s="315"/>
      <c r="F191" s="583"/>
      <c r="G191" s="1163" t="s">
        <v>729</v>
      </c>
      <c r="H191" s="1164"/>
      <c r="I191" s="584"/>
    </row>
    <row r="192" spans="2:9" s="580" customFormat="1" ht="14.1" customHeight="1">
      <c r="B192" s="589"/>
      <c r="C192" s="574" t="s">
        <v>12</v>
      </c>
      <c r="D192" s="1125" t="s">
        <v>730</v>
      </c>
      <c r="E192" s="1160"/>
      <c r="F192" s="1160"/>
      <c r="G192" s="1160"/>
      <c r="H192" s="1126"/>
      <c r="I192" s="305"/>
    </row>
    <row r="193" spans="2:9" s="580" customFormat="1" ht="14.1" customHeight="1">
      <c r="B193" s="589"/>
      <c r="C193" s="290" t="s">
        <v>13</v>
      </c>
      <c r="D193" s="1116" t="s">
        <v>731</v>
      </c>
      <c r="E193" s="1117"/>
      <c r="F193" s="1118"/>
      <c r="G193" s="1113" t="s">
        <v>740</v>
      </c>
      <c r="H193" s="1115"/>
      <c r="I193" s="306"/>
    </row>
    <row r="194" spans="2:9" s="580" customFormat="1" ht="14.1" customHeight="1" thickBot="1">
      <c r="B194" s="589"/>
      <c r="C194" s="291" t="s">
        <v>14</v>
      </c>
      <c r="D194" s="1119" t="s">
        <v>817</v>
      </c>
      <c r="E194" s="1120"/>
      <c r="F194" s="1120"/>
      <c r="G194" s="1120"/>
      <c r="H194" s="1121"/>
      <c r="I194" s="307"/>
    </row>
    <row r="195" spans="2:9" s="580" customFormat="1" ht="14.1" customHeight="1">
      <c r="B195" s="589"/>
      <c r="C195" s="589"/>
      <c r="E195" s="589"/>
      <c r="F195" s="589"/>
      <c r="H195" s="316"/>
      <c r="I195" s="316"/>
    </row>
    <row r="196" spans="2:9" s="646" customFormat="1" ht="19.5" thickBot="1">
      <c r="B196" s="645">
        <v>10</v>
      </c>
      <c r="C196" s="682" t="s">
        <v>1083</v>
      </c>
      <c r="E196" s="645"/>
      <c r="F196" s="645"/>
      <c r="H196" s="684"/>
      <c r="I196" s="684"/>
    </row>
    <row r="197" spans="2:9" s="580" customFormat="1" ht="26.25" thickBot="1">
      <c r="B197" s="589"/>
      <c r="C197" s="334" t="s">
        <v>840</v>
      </c>
      <c r="D197" s="335" t="s">
        <v>841</v>
      </c>
      <c r="E197" s="335" t="s">
        <v>842</v>
      </c>
      <c r="F197" s="335" t="s">
        <v>843</v>
      </c>
      <c r="G197" s="335" t="s">
        <v>844</v>
      </c>
      <c r="H197" s="335" t="s">
        <v>845</v>
      </c>
      <c r="I197" s="337" t="s">
        <v>846</v>
      </c>
    </row>
    <row r="198" spans="2:9" s="580" customFormat="1" ht="14.1" customHeight="1">
      <c r="B198" s="589"/>
      <c r="C198" s="543" t="s">
        <v>7</v>
      </c>
      <c r="D198" s="289" t="s">
        <v>810</v>
      </c>
      <c r="E198" s="581"/>
      <c r="F198" s="581"/>
      <c r="G198" s="299"/>
      <c r="H198" s="299"/>
      <c r="I198" s="300"/>
    </row>
    <row r="199" spans="2:9" s="580" customFormat="1" ht="14.1" customHeight="1">
      <c r="B199" s="589"/>
      <c r="C199" s="298"/>
      <c r="D199" s="289" t="s">
        <v>10</v>
      </c>
      <c r="E199" s="285" t="s">
        <v>16</v>
      </c>
      <c r="F199" s="285" t="s">
        <v>726</v>
      </c>
      <c r="G199" s="286">
        <v>1.65</v>
      </c>
      <c r="H199" s="299"/>
      <c r="I199" s="300"/>
    </row>
    <row r="200" spans="2:9" s="580" customFormat="1" ht="14.1" customHeight="1">
      <c r="B200" s="589"/>
      <c r="C200" s="298"/>
      <c r="D200" s="289" t="s">
        <v>143</v>
      </c>
      <c r="E200" s="285" t="s">
        <v>22</v>
      </c>
      <c r="F200" s="285" t="s">
        <v>726</v>
      </c>
      <c r="G200" s="286">
        <v>0.27500000000000002</v>
      </c>
      <c r="H200" s="299"/>
      <c r="I200" s="300"/>
    </row>
    <row r="201" spans="2:9" s="580" customFormat="1" ht="14.1" customHeight="1">
      <c r="B201" s="589"/>
      <c r="C201" s="298"/>
      <c r="D201" s="289" t="s">
        <v>20</v>
      </c>
      <c r="E201" s="285" t="s">
        <v>21</v>
      </c>
      <c r="F201" s="285" t="s">
        <v>726</v>
      </c>
      <c r="G201" s="286">
        <v>2.8000000000000001E-2</v>
      </c>
      <c r="H201" s="299"/>
      <c r="I201" s="300"/>
    </row>
    <row r="202" spans="2:9" s="580" customFormat="1" ht="14.1" customHeight="1">
      <c r="B202" s="589"/>
      <c r="C202" s="301"/>
      <c r="D202" s="177" t="s">
        <v>11</v>
      </c>
      <c r="E202" s="287" t="s">
        <v>17</v>
      </c>
      <c r="F202" s="287" t="s">
        <v>726</v>
      </c>
      <c r="G202" s="288">
        <v>8.3000000000000004E-2</v>
      </c>
      <c r="H202" s="302"/>
      <c r="I202" s="303"/>
    </row>
    <row r="203" spans="2:9" s="580" customFormat="1" ht="14.1" customHeight="1">
      <c r="B203" s="589"/>
      <c r="C203" s="314"/>
      <c r="D203" s="582"/>
      <c r="E203" s="315"/>
      <c r="F203" s="583"/>
      <c r="G203" s="1155" t="s">
        <v>727</v>
      </c>
      <c r="H203" s="1156"/>
      <c r="I203" s="584"/>
    </row>
    <row r="204" spans="2:9" s="580" customFormat="1" ht="14.1" customHeight="1">
      <c r="B204" s="589"/>
      <c r="C204" s="292" t="s">
        <v>8</v>
      </c>
      <c r="D204" s="656" t="s">
        <v>811</v>
      </c>
      <c r="E204" s="585"/>
      <c r="F204" s="585"/>
      <c r="G204" s="296"/>
      <c r="H204" s="296"/>
      <c r="I204" s="297"/>
    </row>
    <row r="205" spans="2:9" s="580" customFormat="1" ht="14.1" customHeight="1">
      <c r="B205" s="589"/>
      <c r="C205" s="298"/>
      <c r="D205" s="289" t="s">
        <v>806</v>
      </c>
      <c r="E205" s="581"/>
      <c r="F205" s="285" t="s">
        <v>56</v>
      </c>
      <c r="G205" s="286">
        <v>413</v>
      </c>
      <c r="H205" s="299"/>
      <c r="I205" s="300"/>
    </row>
    <row r="206" spans="2:9" s="580" customFormat="1" ht="14.1" customHeight="1">
      <c r="B206" s="589"/>
      <c r="C206" s="298"/>
      <c r="D206" s="289" t="s">
        <v>144</v>
      </c>
      <c r="E206" s="581"/>
      <c r="F206" s="581" t="s">
        <v>750</v>
      </c>
      <c r="G206" s="655">
        <v>681</v>
      </c>
      <c r="H206" s="299"/>
      <c r="I206" s="300"/>
    </row>
    <row r="207" spans="2:9" s="580" customFormat="1" ht="14.1" customHeight="1">
      <c r="B207" s="589"/>
      <c r="C207" s="298"/>
      <c r="D207" s="289" t="s">
        <v>807</v>
      </c>
      <c r="E207" s="581"/>
      <c r="F207" s="581" t="s">
        <v>750</v>
      </c>
      <c r="G207" s="655">
        <v>1021</v>
      </c>
      <c r="H207" s="299"/>
      <c r="I207" s="300"/>
    </row>
    <row r="208" spans="2:9" s="580" customFormat="1" ht="14.1" customHeight="1">
      <c r="B208" s="589"/>
      <c r="C208" s="301"/>
      <c r="D208" s="177" t="s">
        <v>274</v>
      </c>
      <c r="E208" s="586"/>
      <c r="F208" s="287" t="s">
        <v>275</v>
      </c>
      <c r="G208" s="626">
        <v>215</v>
      </c>
      <c r="H208" s="302"/>
      <c r="I208" s="303"/>
    </row>
    <row r="209" spans="2:9" s="580" customFormat="1" ht="14.1" customHeight="1">
      <c r="B209" s="589"/>
      <c r="C209" s="609"/>
      <c r="D209" s="316"/>
      <c r="E209" s="593"/>
      <c r="F209" s="593"/>
      <c r="G209" s="1155" t="s">
        <v>728</v>
      </c>
      <c r="H209" s="1156"/>
      <c r="I209" s="606"/>
    </row>
    <row r="210" spans="2:9" s="580" customFormat="1" ht="14.1" customHeight="1">
      <c r="B210" s="589"/>
      <c r="C210" s="292" t="s">
        <v>9</v>
      </c>
      <c r="D210" s="293" t="s">
        <v>815</v>
      </c>
      <c r="E210" s="585"/>
      <c r="F210" s="585"/>
      <c r="G210" s="296"/>
      <c r="H210" s="591"/>
      <c r="I210" s="297"/>
    </row>
    <row r="211" spans="2:9" s="580" customFormat="1" ht="14.1" customHeight="1">
      <c r="B211" s="589"/>
      <c r="C211" s="301"/>
      <c r="D211" s="302"/>
      <c r="E211" s="586"/>
      <c r="F211" s="586"/>
      <c r="G211" s="302"/>
      <c r="H211" s="592"/>
      <c r="I211" s="303"/>
    </row>
    <row r="212" spans="2:9" s="580" customFormat="1" ht="14.1" customHeight="1">
      <c r="B212" s="589"/>
      <c r="C212" s="609"/>
      <c r="D212" s="316"/>
      <c r="E212" s="593"/>
      <c r="F212" s="593"/>
      <c r="G212" s="1201" t="s">
        <v>729</v>
      </c>
      <c r="H212" s="1202"/>
      <c r="I212" s="584"/>
    </row>
    <row r="213" spans="2:9" s="580" customFormat="1" ht="14.1" customHeight="1">
      <c r="B213" s="589"/>
      <c r="C213" s="676" t="s">
        <v>12</v>
      </c>
      <c r="D213" s="1196" t="s">
        <v>730</v>
      </c>
      <c r="E213" s="1197"/>
      <c r="F213" s="1197"/>
      <c r="G213" s="1197"/>
      <c r="H213" s="1158"/>
      <c r="I213" s="677"/>
    </row>
    <row r="214" spans="2:9" s="580" customFormat="1" ht="14.1" customHeight="1">
      <c r="B214" s="589"/>
      <c r="C214" s="574" t="s">
        <v>13</v>
      </c>
      <c r="D214" s="1198" t="s">
        <v>731</v>
      </c>
      <c r="E214" s="1199"/>
      <c r="F214" s="1200"/>
      <c r="G214" s="1125" t="s">
        <v>740</v>
      </c>
      <c r="H214" s="1126"/>
      <c r="I214" s="306"/>
    </row>
    <row r="215" spans="2:9" s="580" customFormat="1" ht="14.1" customHeight="1" thickBot="1">
      <c r="B215" s="589"/>
      <c r="C215" s="291" t="s">
        <v>14</v>
      </c>
      <c r="D215" s="1119" t="s">
        <v>817</v>
      </c>
      <c r="E215" s="1120"/>
      <c r="F215" s="1120"/>
      <c r="G215" s="1120"/>
      <c r="H215" s="1121"/>
      <c r="I215" s="307"/>
    </row>
    <row r="216" spans="2:9" s="580" customFormat="1" ht="14.1" customHeight="1">
      <c r="B216" s="589"/>
      <c r="C216" s="295"/>
      <c r="D216" s="284"/>
      <c r="E216" s="295"/>
      <c r="F216" s="295"/>
      <c r="G216" s="284"/>
      <c r="H216" s="284"/>
      <c r="I216" s="316"/>
    </row>
    <row r="217" spans="2:9" s="646" customFormat="1" ht="19.5" thickBot="1">
      <c r="B217" s="645">
        <v>11</v>
      </c>
      <c r="C217" s="682" t="s">
        <v>1084</v>
      </c>
      <c r="E217" s="645"/>
      <c r="F217" s="645"/>
      <c r="H217" s="684"/>
      <c r="I217" s="684"/>
    </row>
    <row r="218" spans="2:9" s="580" customFormat="1" ht="26.25" thickBot="1">
      <c r="B218" s="589"/>
      <c r="C218" s="334" t="s">
        <v>840</v>
      </c>
      <c r="D218" s="335" t="s">
        <v>841</v>
      </c>
      <c r="E218" s="335" t="s">
        <v>842</v>
      </c>
      <c r="F218" s="335" t="s">
        <v>843</v>
      </c>
      <c r="G218" s="335" t="s">
        <v>844</v>
      </c>
      <c r="H218" s="335" t="s">
        <v>845</v>
      </c>
      <c r="I218" s="337" t="s">
        <v>846</v>
      </c>
    </row>
    <row r="219" spans="2:9" s="580" customFormat="1" ht="14.1" customHeight="1">
      <c r="B219" s="589"/>
      <c r="C219" s="543" t="s">
        <v>7</v>
      </c>
      <c r="D219" s="289" t="s">
        <v>810</v>
      </c>
      <c r="E219" s="581"/>
      <c r="F219" s="581"/>
      <c r="G219" s="299"/>
      <c r="H219" s="299"/>
      <c r="I219" s="300"/>
    </row>
    <row r="220" spans="2:9" s="580" customFormat="1" ht="14.1" customHeight="1">
      <c r="B220" s="589"/>
      <c r="C220" s="298"/>
      <c r="D220" s="289" t="s">
        <v>10</v>
      </c>
      <c r="E220" s="285" t="s">
        <v>16</v>
      </c>
      <c r="F220" s="285" t="s">
        <v>726</v>
      </c>
      <c r="G220" s="286">
        <v>2.1</v>
      </c>
      <c r="H220" s="299"/>
      <c r="I220" s="300"/>
    </row>
    <row r="221" spans="2:9" s="580" customFormat="1" ht="14.1" customHeight="1">
      <c r="B221" s="589"/>
      <c r="C221" s="298"/>
      <c r="D221" s="289" t="s">
        <v>143</v>
      </c>
      <c r="E221" s="285" t="s">
        <v>22</v>
      </c>
      <c r="F221" s="285" t="s">
        <v>726</v>
      </c>
      <c r="G221" s="286">
        <v>0.35</v>
      </c>
      <c r="H221" s="299"/>
      <c r="I221" s="300"/>
    </row>
    <row r="222" spans="2:9" s="580" customFormat="1" ht="14.1" customHeight="1">
      <c r="B222" s="589"/>
      <c r="C222" s="298"/>
      <c r="D222" s="289" t="s">
        <v>20</v>
      </c>
      <c r="E222" s="285" t="s">
        <v>21</v>
      </c>
      <c r="F222" s="285" t="s">
        <v>726</v>
      </c>
      <c r="G222" s="286">
        <v>3.5000000000000003E-2</v>
      </c>
      <c r="H222" s="299"/>
      <c r="I222" s="300"/>
    </row>
    <row r="223" spans="2:9" s="580" customFormat="1" ht="14.1" customHeight="1">
      <c r="B223" s="589"/>
      <c r="C223" s="301"/>
      <c r="D223" s="177" t="s">
        <v>11</v>
      </c>
      <c r="E223" s="287" t="s">
        <v>17</v>
      </c>
      <c r="F223" s="287" t="s">
        <v>726</v>
      </c>
      <c r="G223" s="288">
        <v>0.105</v>
      </c>
      <c r="H223" s="302"/>
      <c r="I223" s="303"/>
    </row>
    <row r="224" spans="2:9" s="580" customFormat="1" ht="14.1" customHeight="1">
      <c r="B224" s="589"/>
      <c r="C224" s="609"/>
      <c r="D224" s="316"/>
      <c r="E224" s="593"/>
      <c r="F224" s="593"/>
      <c r="G224" s="1155" t="s">
        <v>727</v>
      </c>
      <c r="H224" s="1156"/>
      <c r="I224" s="584"/>
    </row>
    <row r="225" spans="2:9" s="580" customFormat="1" ht="14.1" customHeight="1">
      <c r="B225" s="589"/>
      <c r="C225" s="292" t="s">
        <v>8</v>
      </c>
      <c r="D225" s="656" t="s">
        <v>811</v>
      </c>
      <c r="E225" s="585"/>
      <c r="F225" s="585"/>
      <c r="G225" s="296"/>
      <c r="H225" s="296"/>
      <c r="I225" s="297"/>
    </row>
    <row r="226" spans="2:9" s="580" customFormat="1" ht="14.1" customHeight="1">
      <c r="B226" s="589"/>
      <c r="C226" s="298"/>
      <c r="D226" s="289" t="s">
        <v>806</v>
      </c>
      <c r="E226" s="581"/>
      <c r="F226" s="285" t="s">
        <v>56</v>
      </c>
      <c r="G226" s="286">
        <v>439</v>
      </c>
      <c r="H226" s="299"/>
      <c r="I226" s="300"/>
    </row>
    <row r="227" spans="2:9" s="580" customFormat="1" ht="14.1" customHeight="1">
      <c r="B227" s="589"/>
      <c r="C227" s="298"/>
      <c r="D227" s="289" t="s">
        <v>144</v>
      </c>
      <c r="E227" s="581"/>
      <c r="F227" s="285" t="s">
        <v>56</v>
      </c>
      <c r="G227" s="655">
        <v>670</v>
      </c>
      <c r="H227" s="299"/>
      <c r="I227" s="300"/>
    </row>
    <row r="228" spans="2:9" s="580" customFormat="1" ht="14.1" customHeight="1">
      <c r="B228" s="589"/>
      <c r="C228" s="298"/>
      <c r="D228" s="289" t="s">
        <v>1043</v>
      </c>
      <c r="E228" s="581"/>
      <c r="F228" s="285" t="s">
        <v>56</v>
      </c>
      <c r="G228" s="655">
        <v>1006</v>
      </c>
      <c r="H228" s="299"/>
      <c r="I228" s="300"/>
    </row>
    <row r="229" spans="2:9" s="580" customFormat="1" ht="14.1" customHeight="1">
      <c r="B229" s="589"/>
      <c r="C229" s="301"/>
      <c r="D229" s="177" t="s">
        <v>274</v>
      </c>
      <c r="E229" s="586"/>
      <c r="F229" s="287" t="s">
        <v>275</v>
      </c>
      <c r="G229" s="626">
        <v>215</v>
      </c>
      <c r="H229" s="302"/>
      <c r="I229" s="303"/>
    </row>
    <row r="230" spans="2:9" s="580" customFormat="1" ht="14.1" customHeight="1">
      <c r="B230" s="589"/>
      <c r="C230" s="609"/>
      <c r="D230" s="316"/>
      <c r="E230" s="593"/>
      <c r="F230" s="593"/>
      <c r="G230" s="1157" t="s">
        <v>728</v>
      </c>
      <c r="H230" s="1158"/>
      <c r="I230" s="584"/>
    </row>
    <row r="231" spans="2:9" s="580" customFormat="1" ht="14.1" customHeight="1">
      <c r="B231" s="589"/>
      <c r="C231" s="292" t="s">
        <v>9</v>
      </c>
      <c r="D231" s="293" t="s">
        <v>815</v>
      </c>
      <c r="E231" s="585"/>
      <c r="F231" s="585"/>
      <c r="G231" s="296"/>
      <c r="H231" s="296"/>
      <c r="I231" s="297"/>
    </row>
    <row r="232" spans="2:9" s="580" customFormat="1" ht="14.1" customHeight="1">
      <c r="B232" s="589"/>
      <c r="C232" s="301"/>
      <c r="D232" s="302"/>
      <c r="E232" s="586"/>
      <c r="F232" s="586"/>
      <c r="G232" s="302"/>
      <c r="H232" s="302"/>
      <c r="I232" s="303"/>
    </row>
    <row r="233" spans="2:9" s="580" customFormat="1" ht="14.1" customHeight="1">
      <c r="B233" s="589"/>
      <c r="C233" s="314"/>
      <c r="D233" s="582"/>
      <c r="E233" s="315"/>
      <c r="F233" s="583"/>
      <c r="G233" s="1157" t="s">
        <v>729</v>
      </c>
      <c r="H233" s="1158"/>
      <c r="I233" s="584"/>
    </row>
    <row r="234" spans="2:9" s="580" customFormat="1" ht="14.1" customHeight="1">
      <c r="B234" s="589"/>
      <c r="C234" s="574" t="s">
        <v>12</v>
      </c>
      <c r="D234" s="1125" t="s">
        <v>730</v>
      </c>
      <c r="E234" s="1160"/>
      <c r="F234" s="1160"/>
      <c r="G234" s="1160"/>
      <c r="H234" s="1126"/>
      <c r="I234" s="305"/>
    </row>
    <row r="235" spans="2:9" s="580" customFormat="1" ht="14.1" customHeight="1">
      <c r="B235" s="589"/>
      <c r="C235" s="290" t="s">
        <v>13</v>
      </c>
      <c r="D235" s="1116" t="s">
        <v>731</v>
      </c>
      <c r="E235" s="1117"/>
      <c r="F235" s="1118"/>
      <c r="G235" s="1113" t="s">
        <v>740</v>
      </c>
      <c r="H235" s="1115"/>
      <c r="I235" s="306"/>
    </row>
    <row r="236" spans="2:9" s="580" customFormat="1" ht="14.1" customHeight="1" thickBot="1">
      <c r="B236" s="589"/>
      <c r="C236" s="291" t="s">
        <v>14</v>
      </c>
      <c r="D236" s="1119" t="s">
        <v>817</v>
      </c>
      <c r="E236" s="1120"/>
      <c r="F236" s="1120"/>
      <c r="G236" s="1120"/>
      <c r="H236" s="1121"/>
      <c r="I236" s="307"/>
    </row>
    <row r="237" spans="2:9" s="580" customFormat="1" ht="14.1" customHeight="1">
      <c r="B237" s="589"/>
      <c r="C237" s="589"/>
      <c r="E237" s="589"/>
      <c r="F237" s="589"/>
      <c r="H237" s="316"/>
      <c r="I237" s="316"/>
    </row>
    <row r="238" spans="2:9" s="646" customFormat="1" ht="19.5" thickBot="1">
      <c r="B238" s="645">
        <v>12</v>
      </c>
      <c r="C238" s="682" t="s">
        <v>1085</v>
      </c>
      <c r="E238" s="645"/>
      <c r="F238" s="645"/>
      <c r="H238" s="684"/>
      <c r="I238" s="684"/>
    </row>
    <row r="239" spans="2:9" s="580" customFormat="1" ht="26.25" thickBot="1">
      <c r="B239" s="589"/>
      <c r="C239" s="334" t="s">
        <v>840</v>
      </c>
      <c r="D239" s="335" t="s">
        <v>841</v>
      </c>
      <c r="E239" s="335" t="s">
        <v>842</v>
      </c>
      <c r="F239" s="335" t="s">
        <v>843</v>
      </c>
      <c r="G239" s="335" t="s">
        <v>844</v>
      </c>
      <c r="H239" s="335" t="s">
        <v>845</v>
      </c>
      <c r="I239" s="337" t="s">
        <v>846</v>
      </c>
    </row>
    <row r="240" spans="2:9" s="580" customFormat="1" ht="14.1" customHeight="1">
      <c r="B240" s="589"/>
      <c r="C240" s="543" t="s">
        <v>7</v>
      </c>
      <c r="D240" s="289" t="s">
        <v>810</v>
      </c>
      <c r="E240" s="581"/>
      <c r="F240" s="581"/>
      <c r="G240" s="299"/>
      <c r="H240" s="299"/>
      <c r="I240" s="300"/>
    </row>
    <row r="241" spans="2:9" s="580" customFormat="1" ht="14.1" customHeight="1">
      <c r="B241" s="589"/>
      <c r="C241" s="298"/>
      <c r="D241" s="289" t="s">
        <v>10</v>
      </c>
      <c r="E241" s="285" t="s">
        <v>16</v>
      </c>
      <c r="F241" s="285" t="s">
        <v>726</v>
      </c>
      <c r="G241" s="286">
        <v>2.1</v>
      </c>
      <c r="H241" s="299"/>
      <c r="I241" s="300"/>
    </row>
    <row r="242" spans="2:9" s="580" customFormat="1" ht="14.1" customHeight="1">
      <c r="B242" s="589"/>
      <c r="C242" s="298"/>
      <c r="D242" s="289" t="s">
        <v>143</v>
      </c>
      <c r="E242" s="285" t="s">
        <v>22</v>
      </c>
      <c r="F242" s="285" t="s">
        <v>726</v>
      </c>
      <c r="G242" s="286">
        <v>0.35</v>
      </c>
      <c r="H242" s="299"/>
      <c r="I242" s="300"/>
    </row>
    <row r="243" spans="2:9" s="580" customFormat="1" ht="14.1" customHeight="1">
      <c r="B243" s="589"/>
      <c r="C243" s="298"/>
      <c r="D243" s="289" t="s">
        <v>20</v>
      </c>
      <c r="E243" s="285" t="s">
        <v>21</v>
      </c>
      <c r="F243" s="285" t="s">
        <v>726</v>
      </c>
      <c r="G243" s="286">
        <v>3.5000000000000003E-2</v>
      </c>
      <c r="H243" s="299"/>
      <c r="I243" s="300"/>
    </row>
    <row r="244" spans="2:9" s="580" customFormat="1" ht="14.1" customHeight="1">
      <c r="B244" s="589"/>
      <c r="C244" s="301"/>
      <c r="D244" s="177" t="s">
        <v>11</v>
      </c>
      <c r="E244" s="287" t="s">
        <v>17</v>
      </c>
      <c r="F244" s="287" t="s">
        <v>726</v>
      </c>
      <c r="G244" s="288">
        <v>0.105</v>
      </c>
      <c r="H244" s="302"/>
      <c r="I244" s="303"/>
    </row>
    <row r="245" spans="2:9" s="580" customFormat="1" ht="14.1" customHeight="1">
      <c r="B245" s="589"/>
      <c r="C245" s="609"/>
      <c r="D245" s="316"/>
      <c r="E245" s="593"/>
      <c r="F245" s="593"/>
      <c r="G245" s="1155" t="s">
        <v>727</v>
      </c>
      <c r="H245" s="1156"/>
      <c r="I245" s="584"/>
    </row>
    <row r="246" spans="2:9" s="580" customFormat="1" ht="14.1" customHeight="1">
      <c r="B246" s="589"/>
      <c r="C246" s="292" t="s">
        <v>8</v>
      </c>
      <c r="D246" s="656" t="s">
        <v>811</v>
      </c>
      <c r="E246" s="585"/>
      <c r="F246" s="585"/>
      <c r="G246" s="296"/>
      <c r="H246" s="296"/>
      <c r="I246" s="297"/>
    </row>
    <row r="247" spans="2:9" s="580" customFormat="1" ht="14.1" customHeight="1">
      <c r="B247" s="589"/>
      <c r="C247" s="298"/>
      <c r="D247" s="289" t="s">
        <v>806</v>
      </c>
      <c r="E247" s="581"/>
      <c r="F247" s="285" t="s">
        <v>56</v>
      </c>
      <c r="G247" s="286">
        <v>448</v>
      </c>
      <c r="H247" s="299"/>
      <c r="I247" s="300"/>
    </row>
    <row r="248" spans="2:9" s="580" customFormat="1" ht="14.1" customHeight="1">
      <c r="B248" s="589"/>
      <c r="C248" s="298"/>
      <c r="D248" s="289" t="s">
        <v>144</v>
      </c>
      <c r="E248" s="581"/>
      <c r="F248" s="285" t="s">
        <v>56</v>
      </c>
      <c r="G248" s="655">
        <v>667</v>
      </c>
      <c r="H248" s="299"/>
      <c r="I248" s="300"/>
    </row>
    <row r="249" spans="2:9" s="580" customFormat="1" ht="14.1" customHeight="1">
      <c r="B249" s="589"/>
      <c r="C249" s="298"/>
      <c r="D249" s="289" t="s">
        <v>807</v>
      </c>
      <c r="E249" s="581"/>
      <c r="F249" s="285" t="s">
        <v>56</v>
      </c>
      <c r="G249" s="655">
        <v>1000</v>
      </c>
      <c r="H249" s="299"/>
      <c r="I249" s="300"/>
    </row>
    <row r="250" spans="2:9" s="580" customFormat="1" ht="14.1" customHeight="1">
      <c r="B250" s="589"/>
      <c r="C250" s="301"/>
      <c r="D250" s="177" t="s">
        <v>274</v>
      </c>
      <c r="E250" s="586"/>
      <c r="F250" s="287" t="s">
        <v>275</v>
      </c>
      <c r="G250" s="626">
        <v>215</v>
      </c>
      <c r="H250" s="302"/>
      <c r="I250" s="303"/>
    </row>
    <row r="251" spans="2:9" s="580" customFormat="1" ht="14.1" customHeight="1">
      <c r="B251" s="589"/>
      <c r="C251" s="609"/>
      <c r="D251" s="316"/>
      <c r="E251" s="593"/>
      <c r="F251" s="593"/>
      <c r="G251" s="1157" t="s">
        <v>728</v>
      </c>
      <c r="H251" s="1158"/>
      <c r="I251" s="631"/>
    </row>
    <row r="252" spans="2:9" s="580" customFormat="1" ht="14.1" customHeight="1">
      <c r="B252" s="589"/>
      <c r="C252" s="292" t="s">
        <v>9</v>
      </c>
      <c r="D252" s="293" t="s">
        <v>815</v>
      </c>
      <c r="E252" s="585"/>
      <c r="F252" s="585"/>
      <c r="G252" s="296"/>
      <c r="H252" s="296"/>
      <c r="I252" s="297"/>
    </row>
    <row r="253" spans="2:9" s="580" customFormat="1" ht="14.1" customHeight="1">
      <c r="B253" s="589"/>
      <c r="C253" s="301"/>
      <c r="D253" s="302"/>
      <c r="E253" s="586"/>
      <c r="F253" s="586"/>
      <c r="G253" s="302"/>
      <c r="H253" s="302"/>
      <c r="I253" s="303"/>
    </row>
    <row r="254" spans="2:9" s="580" customFormat="1" ht="14.1" customHeight="1">
      <c r="B254" s="589"/>
      <c r="C254" s="1122"/>
      <c r="D254" s="1123"/>
      <c r="E254" s="1123"/>
      <c r="F254" s="1124"/>
      <c r="G254" s="1125" t="s">
        <v>729</v>
      </c>
      <c r="H254" s="1126"/>
      <c r="I254" s="305"/>
    </row>
    <row r="255" spans="2:9" s="580" customFormat="1" ht="14.1" customHeight="1">
      <c r="B255" s="589"/>
      <c r="C255" s="290" t="s">
        <v>12</v>
      </c>
      <c r="D255" s="1113" t="s">
        <v>730</v>
      </c>
      <c r="E255" s="1114"/>
      <c r="F255" s="1114"/>
      <c r="G255" s="1114"/>
      <c r="H255" s="1115"/>
      <c r="I255" s="306"/>
    </row>
    <row r="256" spans="2:9" s="580" customFormat="1" ht="14.1" customHeight="1">
      <c r="B256" s="589"/>
      <c r="C256" s="290" t="s">
        <v>13</v>
      </c>
      <c r="D256" s="1116" t="s">
        <v>731</v>
      </c>
      <c r="E256" s="1117"/>
      <c r="F256" s="1118"/>
      <c r="G256" s="1113" t="s">
        <v>740</v>
      </c>
      <c r="H256" s="1115"/>
      <c r="I256" s="306"/>
    </row>
    <row r="257" spans="2:9" s="580" customFormat="1" ht="14.1" customHeight="1" thickBot="1">
      <c r="B257" s="589"/>
      <c r="C257" s="291" t="s">
        <v>14</v>
      </c>
      <c r="D257" s="1119" t="s">
        <v>817</v>
      </c>
      <c r="E257" s="1120"/>
      <c r="F257" s="1120"/>
      <c r="G257" s="1120"/>
      <c r="H257" s="1121"/>
      <c r="I257" s="307"/>
    </row>
    <row r="258" spans="2:9" s="580" customFormat="1" ht="14.1" customHeight="1">
      <c r="B258" s="589"/>
      <c r="C258" s="295"/>
      <c r="D258" s="284"/>
      <c r="E258" s="295"/>
      <c r="F258" s="295"/>
      <c r="G258" s="284"/>
      <c r="H258" s="284"/>
      <c r="I258" s="316"/>
    </row>
    <row r="259" spans="2:9" s="578" customFormat="1">
      <c r="B259" s="579"/>
      <c r="C259" s="566" t="s">
        <v>1086</v>
      </c>
      <c r="E259" s="579"/>
      <c r="F259" s="579"/>
      <c r="H259" s="595"/>
      <c r="I259" s="595"/>
    </row>
    <row r="260" spans="2:9" s="578" customFormat="1" ht="13.5" thickBot="1">
      <c r="B260" s="579"/>
      <c r="C260" s="566" t="s">
        <v>1087</v>
      </c>
      <c r="E260" s="579"/>
      <c r="F260" s="579"/>
      <c r="H260" s="595"/>
      <c r="I260" s="595"/>
    </row>
    <row r="261" spans="2:9" s="580" customFormat="1" ht="26.25" thickBot="1">
      <c r="B261" s="589"/>
      <c r="C261" s="334" t="s">
        <v>840</v>
      </c>
      <c r="D261" s="335" t="s">
        <v>841</v>
      </c>
      <c r="E261" s="335" t="s">
        <v>842</v>
      </c>
      <c r="F261" s="335" t="s">
        <v>843</v>
      </c>
      <c r="G261" s="335" t="s">
        <v>844</v>
      </c>
      <c r="H261" s="335" t="s">
        <v>845</v>
      </c>
      <c r="I261" s="337" t="s">
        <v>846</v>
      </c>
    </row>
    <row r="262" spans="2:9" s="580" customFormat="1" ht="14.1" customHeight="1">
      <c r="B262" s="589"/>
      <c r="C262" s="543" t="s">
        <v>7</v>
      </c>
      <c r="D262" s="289" t="s">
        <v>810</v>
      </c>
      <c r="E262" s="581"/>
      <c r="F262" s="581"/>
      <c r="G262" s="299"/>
      <c r="H262" s="299"/>
      <c r="I262" s="300"/>
    </row>
    <row r="263" spans="2:9" s="580" customFormat="1" ht="14.1" customHeight="1">
      <c r="B263" s="589"/>
      <c r="C263" s="298"/>
      <c r="D263" s="289" t="s">
        <v>10</v>
      </c>
      <c r="E263" s="285" t="s">
        <v>16</v>
      </c>
      <c r="F263" s="285" t="s">
        <v>726</v>
      </c>
      <c r="G263" s="286">
        <v>2.1</v>
      </c>
      <c r="H263" s="299"/>
      <c r="I263" s="300"/>
    </row>
    <row r="264" spans="2:9" s="580" customFormat="1" ht="14.1" customHeight="1">
      <c r="B264" s="589"/>
      <c r="C264" s="298"/>
      <c r="D264" s="289" t="s">
        <v>143</v>
      </c>
      <c r="E264" s="285" t="s">
        <v>22</v>
      </c>
      <c r="F264" s="285" t="s">
        <v>726</v>
      </c>
      <c r="G264" s="286">
        <v>0.35</v>
      </c>
      <c r="H264" s="299"/>
      <c r="I264" s="300"/>
    </row>
    <row r="265" spans="2:9" s="580" customFormat="1" ht="14.1" customHeight="1">
      <c r="B265" s="589"/>
      <c r="C265" s="298"/>
      <c r="D265" s="289" t="s">
        <v>20</v>
      </c>
      <c r="E265" s="285" t="s">
        <v>21</v>
      </c>
      <c r="F265" s="285" t="s">
        <v>726</v>
      </c>
      <c r="G265" s="286">
        <v>3.5000000000000003E-2</v>
      </c>
      <c r="H265" s="299"/>
      <c r="I265" s="300"/>
    </row>
    <row r="266" spans="2:9" s="580" customFormat="1" ht="14.1" customHeight="1">
      <c r="B266" s="589"/>
      <c r="C266" s="301"/>
      <c r="D266" s="177" t="s">
        <v>11</v>
      </c>
      <c r="E266" s="287" t="s">
        <v>17</v>
      </c>
      <c r="F266" s="287" t="s">
        <v>726</v>
      </c>
      <c r="G266" s="288">
        <v>0.105</v>
      </c>
      <c r="H266" s="302"/>
      <c r="I266" s="303"/>
    </row>
    <row r="267" spans="2:9" s="580" customFormat="1" ht="14.1" customHeight="1">
      <c r="B267" s="589"/>
      <c r="C267" s="609"/>
      <c r="D267" s="316"/>
      <c r="E267" s="593"/>
      <c r="F267" s="593"/>
      <c r="G267" s="1155" t="s">
        <v>727</v>
      </c>
      <c r="H267" s="1156"/>
      <c r="I267" s="584"/>
    </row>
    <row r="268" spans="2:9" s="580" customFormat="1" ht="14.1" customHeight="1">
      <c r="B268" s="589"/>
      <c r="C268" s="292" t="s">
        <v>8</v>
      </c>
      <c r="D268" s="656" t="s">
        <v>811</v>
      </c>
      <c r="E268" s="585"/>
      <c r="F268" s="585"/>
      <c r="G268" s="296"/>
      <c r="H268" s="296"/>
      <c r="I268" s="297"/>
    </row>
    <row r="269" spans="2:9" s="580" customFormat="1" ht="14.1" customHeight="1">
      <c r="B269" s="589"/>
      <c r="C269" s="298"/>
      <c r="D269" s="289" t="s">
        <v>806</v>
      </c>
      <c r="E269" s="581"/>
      <c r="F269" s="285" t="s">
        <v>56</v>
      </c>
      <c r="G269" s="286">
        <v>448</v>
      </c>
      <c r="H269" s="299"/>
      <c r="I269" s="300"/>
    </row>
    <row r="270" spans="2:9" s="580" customFormat="1" ht="14.1" customHeight="1">
      <c r="B270" s="589"/>
      <c r="C270" s="298"/>
      <c r="D270" s="289" t="s">
        <v>144</v>
      </c>
      <c r="E270" s="581"/>
      <c r="F270" s="285" t="s">
        <v>56</v>
      </c>
      <c r="G270" s="655">
        <v>667</v>
      </c>
      <c r="H270" s="299"/>
      <c r="I270" s="300"/>
    </row>
    <row r="271" spans="2:9" s="580" customFormat="1" ht="14.1" customHeight="1">
      <c r="B271" s="589"/>
      <c r="C271" s="298"/>
      <c r="D271" s="289" t="s">
        <v>1044</v>
      </c>
      <c r="E271" s="581"/>
      <c r="F271" s="285" t="s">
        <v>56</v>
      </c>
      <c r="G271" s="655">
        <v>1000</v>
      </c>
      <c r="H271" s="299"/>
      <c r="I271" s="300"/>
    </row>
    <row r="272" spans="2:9" s="580" customFormat="1" ht="14.1" customHeight="1">
      <c r="B272" s="589"/>
      <c r="C272" s="298"/>
      <c r="D272" s="289" t="s">
        <v>1045</v>
      </c>
      <c r="E272" s="581"/>
      <c r="F272" s="285" t="s">
        <v>275</v>
      </c>
      <c r="G272" s="616">
        <v>4.5</v>
      </c>
      <c r="H272" s="299"/>
      <c r="I272" s="300"/>
    </row>
    <row r="273" spans="2:9" s="580" customFormat="1" ht="14.1" customHeight="1">
      <c r="B273" s="589"/>
      <c r="C273" s="301"/>
      <c r="D273" s="177" t="s">
        <v>274</v>
      </c>
      <c r="E273" s="586"/>
      <c r="F273" s="287" t="s">
        <v>275</v>
      </c>
      <c r="G273" s="626">
        <v>200</v>
      </c>
      <c r="H273" s="302"/>
      <c r="I273" s="303"/>
    </row>
    <row r="274" spans="2:9" s="580" customFormat="1" ht="14.1" customHeight="1">
      <c r="B274" s="589"/>
      <c r="C274" s="609"/>
      <c r="D274" s="316"/>
      <c r="E274" s="593"/>
      <c r="F274" s="593"/>
      <c r="G274" s="1157" t="s">
        <v>728</v>
      </c>
      <c r="H274" s="1158"/>
      <c r="I274" s="584"/>
    </row>
    <row r="275" spans="2:9" s="580" customFormat="1" ht="14.1" customHeight="1">
      <c r="B275" s="589"/>
      <c r="C275" s="292" t="s">
        <v>9</v>
      </c>
      <c r="D275" s="293" t="s">
        <v>815</v>
      </c>
      <c r="E275" s="585"/>
      <c r="F275" s="585"/>
      <c r="G275" s="296"/>
      <c r="H275" s="296"/>
      <c r="I275" s="297"/>
    </row>
    <row r="276" spans="2:9" s="580" customFormat="1" ht="14.1" customHeight="1">
      <c r="B276" s="589"/>
      <c r="C276" s="301"/>
      <c r="D276" s="302"/>
      <c r="E276" s="586"/>
      <c r="F276" s="586"/>
      <c r="G276" s="302"/>
      <c r="H276" s="302"/>
      <c r="I276" s="303"/>
    </row>
    <row r="277" spans="2:9" s="580" customFormat="1" ht="14.1" customHeight="1">
      <c r="B277" s="589"/>
      <c r="C277" s="609"/>
      <c r="D277" s="316"/>
      <c r="E277" s="593"/>
      <c r="F277" s="593"/>
      <c r="G277" s="1194" t="s">
        <v>729</v>
      </c>
      <c r="H277" s="1195"/>
      <c r="I277" s="584"/>
    </row>
    <row r="278" spans="2:9" s="580" customFormat="1" ht="14.1" customHeight="1">
      <c r="B278" s="589"/>
      <c r="C278" s="676" t="s">
        <v>12</v>
      </c>
      <c r="D278" s="1196" t="s">
        <v>730</v>
      </c>
      <c r="E278" s="1197"/>
      <c r="F278" s="1197"/>
      <c r="G278" s="1197"/>
      <c r="H278" s="1158"/>
      <c r="I278" s="677"/>
    </row>
    <row r="279" spans="2:9" s="580" customFormat="1" ht="14.1" customHeight="1">
      <c r="B279" s="589"/>
      <c r="C279" s="574" t="s">
        <v>13</v>
      </c>
      <c r="D279" s="1198" t="s">
        <v>731</v>
      </c>
      <c r="E279" s="1199"/>
      <c r="F279" s="1200"/>
      <c r="G279" s="1125" t="s">
        <v>740</v>
      </c>
      <c r="H279" s="1126"/>
      <c r="I279" s="306"/>
    </row>
    <row r="280" spans="2:9" s="580" customFormat="1" ht="14.1" customHeight="1" thickBot="1">
      <c r="B280" s="589"/>
      <c r="C280" s="291" t="s">
        <v>14</v>
      </c>
      <c r="D280" s="1119" t="s">
        <v>817</v>
      </c>
      <c r="E280" s="1120"/>
      <c r="F280" s="1120"/>
      <c r="G280" s="1120"/>
      <c r="H280" s="1121"/>
      <c r="I280" s="307"/>
    </row>
    <row r="281" spans="2:9" s="580" customFormat="1" ht="14.1" customHeight="1">
      <c r="B281" s="589"/>
      <c r="C281" s="580" t="s">
        <v>1064</v>
      </c>
      <c r="E281" s="589"/>
      <c r="F281" s="589"/>
      <c r="H281" s="316"/>
      <c r="I281" s="316"/>
    </row>
    <row r="282" spans="2:9" s="580" customFormat="1" ht="14.1" customHeight="1">
      <c r="B282" s="589"/>
      <c r="C282" s="657" t="s">
        <v>1065</v>
      </c>
      <c r="E282" s="589"/>
      <c r="F282" s="589"/>
      <c r="H282" s="316"/>
      <c r="I282" s="316"/>
    </row>
    <row r="283" spans="2:9" s="580" customFormat="1" ht="14.1" customHeight="1">
      <c r="B283" s="589"/>
      <c r="E283" s="589"/>
      <c r="F283" s="589"/>
      <c r="H283" s="316"/>
      <c r="I283" s="316"/>
    </row>
    <row r="284" spans="2:9" s="567" customFormat="1" ht="16.5" thickBot="1">
      <c r="B284" s="598">
        <v>13</v>
      </c>
      <c r="C284" s="566" t="s">
        <v>1088</v>
      </c>
      <c r="E284" s="596"/>
      <c r="F284" s="596"/>
      <c r="H284" s="568"/>
      <c r="I284" s="568"/>
    </row>
    <row r="285" spans="2:9" s="580" customFormat="1" ht="26.25" thickBot="1">
      <c r="B285" s="589"/>
      <c r="C285" s="334" t="s">
        <v>840</v>
      </c>
      <c r="D285" s="335" t="s">
        <v>841</v>
      </c>
      <c r="E285" s="335" t="s">
        <v>842</v>
      </c>
      <c r="F285" s="335" t="s">
        <v>843</v>
      </c>
      <c r="G285" s="335" t="s">
        <v>844</v>
      </c>
      <c r="H285" s="431" t="s">
        <v>845</v>
      </c>
      <c r="I285" s="337" t="s">
        <v>846</v>
      </c>
    </row>
    <row r="286" spans="2:9" s="580" customFormat="1" ht="14.1" customHeight="1">
      <c r="B286" s="589"/>
      <c r="C286" s="543" t="s">
        <v>7</v>
      </c>
      <c r="D286" s="289" t="s">
        <v>810</v>
      </c>
      <c r="E286" s="581"/>
      <c r="F286" s="581"/>
      <c r="G286" s="299"/>
      <c r="H286" s="299"/>
      <c r="I286" s="300"/>
    </row>
    <row r="287" spans="2:9" s="580" customFormat="1" ht="14.1" customHeight="1">
      <c r="B287" s="589"/>
      <c r="C287" s="298"/>
      <c r="D287" s="289" t="s">
        <v>10</v>
      </c>
      <c r="E287" s="285" t="s">
        <v>16</v>
      </c>
      <c r="F287" s="285" t="s">
        <v>726</v>
      </c>
      <c r="G287" s="286">
        <v>2.1</v>
      </c>
      <c r="H287" s="299"/>
      <c r="I287" s="300"/>
    </row>
    <row r="288" spans="2:9" s="580" customFormat="1" ht="14.1" customHeight="1">
      <c r="B288" s="589"/>
      <c r="C288" s="298"/>
      <c r="D288" s="289" t="s">
        <v>143</v>
      </c>
      <c r="E288" s="285" t="s">
        <v>22</v>
      </c>
      <c r="F288" s="285" t="s">
        <v>726</v>
      </c>
      <c r="G288" s="286">
        <v>0.35</v>
      </c>
      <c r="H288" s="299"/>
      <c r="I288" s="300"/>
    </row>
    <row r="289" spans="2:9" s="580" customFormat="1" ht="14.1" customHeight="1">
      <c r="B289" s="589"/>
      <c r="C289" s="298"/>
      <c r="D289" s="289" t="s">
        <v>20</v>
      </c>
      <c r="E289" s="285" t="s">
        <v>21</v>
      </c>
      <c r="F289" s="285" t="s">
        <v>726</v>
      </c>
      <c r="G289" s="286">
        <v>3.5000000000000003E-2</v>
      </c>
      <c r="H289" s="299"/>
      <c r="I289" s="300"/>
    </row>
    <row r="290" spans="2:9" s="580" customFormat="1" ht="14.1" customHeight="1">
      <c r="B290" s="589"/>
      <c r="C290" s="301"/>
      <c r="D290" s="177" t="s">
        <v>11</v>
      </c>
      <c r="E290" s="287" t="s">
        <v>17</v>
      </c>
      <c r="F290" s="287" t="s">
        <v>726</v>
      </c>
      <c r="G290" s="288">
        <v>0.105</v>
      </c>
      <c r="H290" s="302"/>
      <c r="I290" s="303"/>
    </row>
    <row r="291" spans="2:9" s="580" customFormat="1" ht="14.1" customHeight="1">
      <c r="B291" s="589"/>
      <c r="C291" s="609"/>
      <c r="D291" s="316"/>
      <c r="E291" s="593"/>
      <c r="F291" s="593"/>
      <c r="G291" s="1155" t="s">
        <v>727</v>
      </c>
      <c r="H291" s="1156"/>
      <c r="I291" s="584"/>
    </row>
    <row r="292" spans="2:9" s="580" customFormat="1" ht="14.1" customHeight="1">
      <c r="B292" s="589"/>
      <c r="C292" s="292" t="s">
        <v>8</v>
      </c>
      <c r="D292" s="656" t="s">
        <v>811</v>
      </c>
      <c r="E292" s="585"/>
      <c r="F292" s="585"/>
      <c r="G292" s="296"/>
      <c r="H292" s="296"/>
      <c r="I292" s="631"/>
    </row>
    <row r="293" spans="2:9" s="580" customFormat="1" ht="14.1" customHeight="1">
      <c r="B293" s="589"/>
      <c r="C293" s="298"/>
      <c r="D293" s="289" t="s">
        <v>806</v>
      </c>
      <c r="E293" s="581"/>
      <c r="F293" s="285" t="s">
        <v>56</v>
      </c>
      <c r="G293" s="286">
        <v>400</v>
      </c>
      <c r="H293" s="299"/>
      <c r="I293" s="631"/>
    </row>
    <row r="294" spans="2:9" s="580" customFormat="1" ht="14.1" customHeight="1">
      <c r="B294" s="589"/>
      <c r="C294" s="298"/>
      <c r="D294" s="289" t="s">
        <v>144</v>
      </c>
      <c r="E294" s="581"/>
      <c r="F294" s="581" t="s">
        <v>750</v>
      </c>
      <c r="G294" s="286">
        <v>0.48</v>
      </c>
      <c r="H294" s="299"/>
      <c r="I294" s="631"/>
    </row>
    <row r="295" spans="2:9" s="580" customFormat="1" ht="14.1" customHeight="1">
      <c r="B295" s="589"/>
      <c r="C295" s="298"/>
      <c r="D295" s="289" t="s">
        <v>1046</v>
      </c>
      <c r="E295" s="581"/>
      <c r="F295" s="581" t="s">
        <v>750</v>
      </c>
      <c r="G295" s="286">
        <v>0.8</v>
      </c>
      <c r="H295" s="299"/>
      <c r="I295" s="631"/>
    </row>
    <row r="296" spans="2:9" s="580" customFormat="1" ht="14.1" customHeight="1">
      <c r="B296" s="589"/>
      <c r="C296" s="301"/>
      <c r="D296" s="177" t="s">
        <v>1047</v>
      </c>
      <c r="E296" s="586"/>
      <c r="F296" s="287" t="s">
        <v>56</v>
      </c>
      <c r="G296" s="288">
        <v>1.2</v>
      </c>
      <c r="H296" s="302"/>
      <c r="I296" s="631"/>
    </row>
    <row r="297" spans="2:9" s="580" customFormat="1" ht="14.1" customHeight="1">
      <c r="B297" s="589"/>
      <c r="C297" s="609"/>
      <c r="D297" s="316"/>
      <c r="E297" s="593"/>
      <c r="F297" s="593"/>
      <c r="G297" s="1155" t="s">
        <v>728</v>
      </c>
      <c r="H297" s="1156"/>
      <c r="I297" s="584"/>
    </row>
    <row r="298" spans="2:9" s="580" customFormat="1" ht="14.1" customHeight="1">
      <c r="B298" s="589"/>
      <c r="C298" s="292" t="s">
        <v>9</v>
      </c>
      <c r="D298" s="293" t="s">
        <v>815</v>
      </c>
      <c r="E298" s="585"/>
      <c r="F298" s="585"/>
      <c r="G298" s="296"/>
      <c r="H298" s="296"/>
      <c r="I298" s="297"/>
    </row>
    <row r="299" spans="2:9" s="580" customFormat="1" ht="14.1" customHeight="1">
      <c r="B299" s="589"/>
      <c r="C299" s="301"/>
      <c r="D299" s="302"/>
      <c r="E299" s="586"/>
      <c r="F299" s="586"/>
      <c r="G299" s="302"/>
      <c r="H299" s="302"/>
      <c r="I299" s="303"/>
    </row>
    <row r="300" spans="2:9" s="580" customFormat="1" ht="14.1" customHeight="1">
      <c r="B300" s="589"/>
      <c r="C300" s="609"/>
      <c r="D300" s="316"/>
      <c r="E300" s="593"/>
      <c r="F300" s="593"/>
      <c r="G300" s="1157" t="s">
        <v>729</v>
      </c>
      <c r="H300" s="1158"/>
      <c r="I300" s="584"/>
    </row>
    <row r="301" spans="2:9" s="580" customFormat="1" ht="14.1" customHeight="1">
      <c r="B301" s="589"/>
      <c r="C301" s="290" t="s">
        <v>12</v>
      </c>
      <c r="D301" s="1113" t="s">
        <v>730</v>
      </c>
      <c r="E301" s="1114"/>
      <c r="F301" s="1114"/>
      <c r="G301" s="1114"/>
      <c r="H301" s="1114"/>
      <c r="I301" s="306"/>
    </row>
    <row r="302" spans="2:9" s="580" customFormat="1" ht="14.1" customHeight="1">
      <c r="B302" s="589"/>
      <c r="C302" s="290" t="s">
        <v>13</v>
      </c>
      <c r="D302" s="1116" t="s">
        <v>731</v>
      </c>
      <c r="E302" s="1117"/>
      <c r="F302" s="1118"/>
      <c r="G302" s="1113" t="s">
        <v>740</v>
      </c>
      <c r="H302" s="1114"/>
      <c r="I302" s="306"/>
    </row>
    <row r="303" spans="2:9" s="580" customFormat="1" ht="14.1" customHeight="1" thickBot="1">
      <c r="B303" s="589"/>
      <c r="C303" s="291" t="s">
        <v>14</v>
      </c>
      <c r="D303" s="1119" t="s">
        <v>817</v>
      </c>
      <c r="E303" s="1120"/>
      <c r="F303" s="1120"/>
      <c r="G303" s="1120"/>
      <c r="H303" s="1120"/>
      <c r="I303" s="307"/>
    </row>
    <row r="304" spans="2:9" s="580" customFormat="1" ht="14.1" customHeight="1">
      <c r="B304" s="589"/>
      <c r="C304" s="295"/>
      <c r="D304" s="284"/>
      <c r="E304" s="295"/>
      <c r="F304" s="295"/>
      <c r="G304" s="284"/>
      <c r="H304" s="284"/>
      <c r="I304" s="316"/>
    </row>
    <row r="305" spans="2:9" s="597" customFormat="1" ht="17.25" thickBot="1">
      <c r="B305" s="598">
        <v>14</v>
      </c>
      <c r="C305" s="572" t="s">
        <v>1089</v>
      </c>
      <c r="E305" s="598"/>
      <c r="F305" s="598"/>
      <c r="H305" s="599"/>
      <c r="I305" s="599"/>
    </row>
    <row r="306" spans="2:9" s="580" customFormat="1" ht="26.25" thickBot="1">
      <c r="B306" s="589"/>
      <c r="C306" s="334" t="s">
        <v>840</v>
      </c>
      <c r="D306" s="431" t="s">
        <v>841</v>
      </c>
      <c r="E306" s="489" t="s">
        <v>842</v>
      </c>
      <c r="F306" s="490" t="s">
        <v>843</v>
      </c>
      <c r="G306" s="335" t="s">
        <v>844</v>
      </c>
      <c r="H306" s="431" t="s">
        <v>845</v>
      </c>
      <c r="I306" s="337" t="s">
        <v>846</v>
      </c>
    </row>
    <row r="307" spans="2:9" s="580" customFormat="1" ht="14.1" customHeight="1">
      <c r="B307" s="589"/>
      <c r="C307" s="543" t="s">
        <v>7</v>
      </c>
      <c r="D307" s="660" t="s">
        <v>810</v>
      </c>
      <c r="E307" s="581"/>
      <c r="F307" s="581"/>
      <c r="G307" s="299"/>
      <c r="H307" s="299"/>
      <c r="I307" s="300"/>
    </row>
    <row r="308" spans="2:9" s="580" customFormat="1" ht="14.1" customHeight="1">
      <c r="B308" s="589"/>
      <c r="C308" s="298"/>
      <c r="D308" s="660" t="s">
        <v>10</v>
      </c>
      <c r="E308" s="285" t="s">
        <v>16</v>
      </c>
      <c r="F308" s="285" t="s">
        <v>726</v>
      </c>
      <c r="G308" s="286">
        <v>0.06</v>
      </c>
      <c r="H308" s="299"/>
      <c r="I308" s="300"/>
    </row>
    <row r="309" spans="2:9" s="580" customFormat="1" ht="14.1" customHeight="1">
      <c r="B309" s="589"/>
      <c r="C309" s="298"/>
      <c r="D309" s="660" t="s">
        <v>1048</v>
      </c>
      <c r="E309" s="285" t="s">
        <v>22</v>
      </c>
      <c r="F309" s="285" t="s">
        <v>726</v>
      </c>
      <c r="G309" s="286">
        <v>0.03</v>
      </c>
      <c r="H309" s="299"/>
      <c r="I309" s="300"/>
    </row>
    <row r="310" spans="2:9" s="580" customFormat="1" ht="14.1" customHeight="1">
      <c r="B310" s="589"/>
      <c r="C310" s="298"/>
      <c r="D310" s="660" t="s">
        <v>942</v>
      </c>
      <c r="E310" s="285" t="s">
        <v>21</v>
      </c>
      <c r="F310" s="285" t="s">
        <v>726</v>
      </c>
      <c r="G310" s="286">
        <v>3.0000000000000001E-3</v>
      </c>
      <c r="H310" s="299"/>
      <c r="I310" s="300"/>
    </row>
    <row r="311" spans="2:9" s="580" customFormat="1" ht="14.1" customHeight="1">
      <c r="B311" s="589"/>
      <c r="C311" s="301"/>
      <c r="D311" s="661" t="s">
        <v>11</v>
      </c>
      <c r="E311" s="287" t="s">
        <v>17</v>
      </c>
      <c r="F311" s="287" t="s">
        <v>726</v>
      </c>
      <c r="G311" s="288">
        <v>3.0000000000000001E-3</v>
      </c>
      <c r="H311" s="302"/>
      <c r="I311" s="303"/>
    </row>
    <row r="312" spans="2:9" s="580" customFormat="1" ht="14.1" customHeight="1">
      <c r="B312" s="589"/>
      <c r="C312" s="609"/>
      <c r="D312" s="316"/>
      <c r="E312" s="593"/>
      <c r="F312" s="593"/>
      <c r="G312" s="1155" t="s">
        <v>727</v>
      </c>
      <c r="H312" s="1156"/>
      <c r="I312" s="584"/>
    </row>
    <row r="313" spans="2:9" s="580" customFormat="1" ht="14.1" customHeight="1">
      <c r="B313" s="589"/>
      <c r="C313" s="292" t="s">
        <v>8</v>
      </c>
      <c r="D313" s="656" t="s">
        <v>811</v>
      </c>
      <c r="E313" s="585"/>
      <c r="F313" s="585"/>
      <c r="G313" s="296"/>
      <c r="H313" s="296"/>
      <c r="I313" s="297"/>
    </row>
    <row r="314" spans="2:9" s="580" customFormat="1" ht="14.1" customHeight="1">
      <c r="B314" s="589"/>
      <c r="C314" s="301"/>
      <c r="D314" s="177" t="s">
        <v>1049</v>
      </c>
      <c r="E314" s="586"/>
      <c r="F314" s="287" t="s">
        <v>1050</v>
      </c>
      <c r="G314" s="288">
        <v>1.05</v>
      </c>
      <c r="H314" s="302"/>
      <c r="I314" s="303"/>
    </row>
    <row r="315" spans="2:9" s="580" customFormat="1" ht="14.1" customHeight="1">
      <c r="B315" s="589"/>
      <c r="C315" s="609"/>
      <c r="D315" s="316"/>
      <c r="E315" s="593"/>
      <c r="F315" s="593"/>
      <c r="G315" s="1193" t="s">
        <v>728</v>
      </c>
      <c r="H315" s="1193"/>
      <c r="I315" s="584"/>
    </row>
    <row r="316" spans="2:9" s="580" customFormat="1" ht="14.1" customHeight="1">
      <c r="B316" s="589"/>
      <c r="C316" s="292" t="s">
        <v>9</v>
      </c>
      <c r="D316" s="293" t="s">
        <v>815</v>
      </c>
      <c r="E316" s="585"/>
      <c r="F316" s="585"/>
      <c r="G316" s="296"/>
      <c r="H316" s="296"/>
      <c r="I316" s="297"/>
    </row>
    <row r="317" spans="2:9" s="580" customFormat="1" ht="14.1" customHeight="1">
      <c r="B317" s="589"/>
      <c r="C317" s="301"/>
      <c r="D317" s="302"/>
      <c r="E317" s="586"/>
      <c r="F317" s="586"/>
      <c r="G317" s="302"/>
      <c r="H317" s="302"/>
      <c r="I317" s="303"/>
    </row>
    <row r="318" spans="2:9" s="580" customFormat="1" ht="14.1" customHeight="1">
      <c r="B318" s="589"/>
      <c r="C318" s="609"/>
      <c r="D318" s="316"/>
      <c r="E318" s="593"/>
      <c r="F318" s="593"/>
      <c r="G318" s="1157" t="s">
        <v>729</v>
      </c>
      <c r="H318" s="1158"/>
      <c r="I318" s="584"/>
    </row>
    <row r="319" spans="2:9" s="580" customFormat="1" ht="14.1" customHeight="1">
      <c r="B319" s="589"/>
      <c r="C319" s="574" t="s">
        <v>12</v>
      </c>
      <c r="D319" s="1125" t="s">
        <v>730</v>
      </c>
      <c r="E319" s="1160"/>
      <c r="F319" s="1160"/>
      <c r="G319" s="1160"/>
      <c r="H319" s="1160"/>
      <c r="I319" s="305"/>
    </row>
    <row r="320" spans="2:9" s="580" customFormat="1" ht="14.1" customHeight="1">
      <c r="B320" s="589"/>
      <c r="C320" s="290" t="s">
        <v>13</v>
      </c>
      <c r="D320" s="1116" t="s">
        <v>731</v>
      </c>
      <c r="E320" s="1117"/>
      <c r="F320" s="1118"/>
      <c r="G320" s="1113" t="s">
        <v>740</v>
      </c>
      <c r="H320" s="1114"/>
      <c r="I320" s="306"/>
    </row>
    <row r="321" spans="2:9" s="580" customFormat="1" ht="14.1" customHeight="1" thickBot="1">
      <c r="B321" s="589"/>
      <c r="C321" s="291" t="s">
        <v>14</v>
      </c>
      <c r="D321" s="1119" t="s">
        <v>817</v>
      </c>
      <c r="E321" s="1120"/>
      <c r="F321" s="1120"/>
      <c r="G321" s="1120"/>
      <c r="H321" s="1120"/>
      <c r="I321" s="307"/>
    </row>
    <row r="322" spans="2:9" s="580" customFormat="1" ht="14.1" customHeight="1">
      <c r="B322" s="589"/>
      <c r="C322" s="589"/>
      <c r="E322" s="589"/>
      <c r="F322" s="589"/>
      <c r="H322" s="316"/>
      <c r="I322" s="316"/>
    </row>
    <row r="323" spans="2:9" s="597" customFormat="1" ht="17.25" thickBot="1">
      <c r="B323" s="598">
        <v>15</v>
      </c>
      <c r="C323" s="572" t="s">
        <v>1090</v>
      </c>
      <c r="E323" s="598"/>
      <c r="F323" s="598"/>
      <c r="H323" s="599"/>
      <c r="I323" s="599"/>
    </row>
    <row r="324" spans="2:9" s="580" customFormat="1" ht="26.25" thickBot="1">
      <c r="B324" s="589"/>
      <c r="C324" s="334" t="s">
        <v>840</v>
      </c>
      <c r="D324" s="335" t="s">
        <v>841</v>
      </c>
      <c r="E324" s="335" t="s">
        <v>842</v>
      </c>
      <c r="F324" s="335" t="s">
        <v>843</v>
      </c>
      <c r="G324" s="335" t="s">
        <v>844</v>
      </c>
      <c r="H324" s="431" t="s">
        <v>845</v>
      </c>
      <c r="I324" s="337" t="s">
        <v>846</v>
      </c>
    </row>
    <row r="325" spans="2:9" s="580" customFormat="1" ht="14.1" customHeight="1">
      <c r="B325" s="589"/>
      <c r="C325" s="543" t="s">
        <v>7</v>
      </c>
      <c r="D325" s="289" t="s">
        <v>810</v>
      </c>
      <c r="E325" s="581"/>
      <c r="F325" s="581"/>
      <c r="G325" s="299"/>
      <c r="H325" s="299"/>
      <c r="I325" s="300"/>
    </row>
    <row r="326" spans="2:9" s="580" customFormat="1" ht="14.1" customHeight="1">
      <c r="B326" s="589"/>
      <c r="C326" s="298"/>
      <c r="D326" s="289" t="s">
        <v>10</v>
      </c>
      <c r="E326" s="285" t="s">
        <v>16</v>
      </c>
      <c r="F326" s="285" t="s">
        <v>726</v>
      </c>
      <c r="G326" s="286">
        <v>7.0000000000000007E-2</v>
      </c>
      <c r="H326" s="299"/>
      <c r="I326" s="300"/>
    </row>
    <row r="327" spans="2:9" s="580" customFormat="1" ht="14.1" customHeight="1">
      <c r="B327" s="589"/>
      <c r="C327" s="298"/>
      <c r="D327" s="289" t="s">
        <v>1048</v>
      </c>
      <c r="E327" s="285" t="s">
        <v>22</v>
      </c>
      <c r="F327" s="285" t="s">
        <v>726</v>
      </c>
      <c r="G327" s="286">
        <v>3.5000000000000003E-2</v>
      </c>
      <c r="H327" s="299"/>
      <c r="I327" s="300"/>
    </row>
    <row r="328" spans="2:9" s="580" customFormat="1" ht="14.1" customHeight="1">
      <c r="B328" s="589"/>
      <c r="C328" s="298"/>
      <c r="D328" s="289" t="s">
        <v>942</v>
      </c>
      <c r="E328" s="285" t="s">
        <v>21</v>
      </c>
      <c r="F328" s="285" t="s">
        <v>726</v>
      </c>
      <c r="G328" s="286">
        <v>4.0000000000000001E-3</v>
      </c>
      <c r="H328" s="299"/>
      <c r="I328" s="300"/>
    </row>
    <row r="329" spans="2:9" s="580" customFormat="1" ht="14.1" customHeight="1">
      <c r="B329" s="589"/>
      <c r="C329" s="301"/>
      <c r="D329" s="177" t="s">
        <v>11</v>
      </c>
      <c r="E329" s="287" t="s">
        <v>17</v>
      </c>
      <c r="F329" s="287" t="s">
        <v>726</v>
      </c>
      <c r="G329" s="288">
        <v>7.0000000000000001E-3</v>
      </c>
      <c r="H329" s="302"/>
      <c r="I329" s="303"/>
    </row>
    <row r="330" spans="2:9" s="580" customFormat="1" ht="14.1" customHeight="1">
      <c r="B330" s="589"/>
      <c r="C330" s="609"/>
      <c r="D330" s="316"/>
      <c r="E330" s="593"/>
      <c r="F330" s="593"/>
      <c r="G330" s="1155" t="s">
        <v>727</v>
      </c>
      <c r="H330" s="1156"/>
      <c r="I330" s="584"/>
    </row>
    <row r="331" spans="2:9" s="580" customFormat="1" ht="14.1" customHeight="1">
      <c r="B331" s="589"/>
      <c r="C331" s="292" t="s">
        <v>8</v>
      </c>
      <c r="D331" s="656" t="s">
        <v>811</v>
      </c>
      <c r="E331" s="585"/>
      <c r="F331" s="585"/>
      <c r="G331" s="296"/>
      <c r="H331" s="296"/>
      <c r="I331" s="297"/>
    </row>
    <row r="332" spans="2:9" s="580" customFormat="1" ht="14.1" customHeight="1">
      <c r="B332" s="589"/>
      <c r="C332" s="301"/>
      <c r="D332" s="177" t="s">
        <v>1051</v>
      </c>
      <c r="E332" s="586"/>
      <c r="F332" s="287" t="s">
        <v>1050</v>
      </c>
      <c r="G332" s="288">
        <v>1.05</v>
      </c>
      <c r="H332" s="302"/>
      <c r="I332" s="303"/>
    </row>
    <row r="333" spans="2:9" s="580" customFormat="1" ht="14.1" customHeight="1">
      <c r="B333" s="589"/>
      <c r="C333" s="609"/>
      <c r="D333" s="316"/>
      <c r="E333" s="593"/>
      <c r="F333" s="593"/>
      <c r="G333" s="1157" t="s">
        <v>728</v>
      </c>
      <c r="H333" s="1158"/>
      <c r="I333" s="584"/>
    </row>
    <row r="334" spans="2:9" s="580" customFormat="1" ht="14.1" customHeight="1">
      <c r="B334" s="589"/>
      <c r="C334" s="292" t="s">
        <v>9</v>
      </c>
      <c r="D334" s="293" t="s">
        <v>815</v>
      </c>
      <c r="E334" s="585"/>
      <c r="F334" s="585"/>
      <c r="G334" s="296"/>
      <c r="H334" s="296"/>
      <c r="I334" s="297"/>
    </row>
    <row r="335" spans="2:9" s="580" customFormat="1" ht="14.1" customHeight="1">
      <c r="B335" s="589"/>
      <c r="C335" s="301"/>
      <c r="D335" s="302"/>
      <c r="E335" s="586"/>
      <c r="F335" s="586"/>
      <c r="G335" s="302"/>
      <c r="H335" s="302"/>
      <c r="I335" s="303"/>
    </row>
    <row r="336" spans="2:9" s="580" customFormat="1" ht="14.1" customHeight="1">
      <c r="B336" s="589"/>
      <c r="C336" s="609"/>
      <c r="D336" s="316"/>
      <c r="E336" s="593"/>
      <c r="F336" s="593"/>
      <c r="G336" s="1157" t="s">
        <v>729</v>
      </c>
      <c r="H336" s="1158"/>
      <c r="I336" s="631"/>
    </row>
    <row r="337" spans="2:9" s="580" customFormat="1" ht="14.1" customHeight="1">
      <c r="B337" s="589"/>
      <c r="C337" s="290" t="s">
        <v>12</v>
      </c>
      <c r="D337" s="1113" t="s">
        <v>730</v>
      </c>
      <c r="E337" s="1114"/>
      <c r="F337" s="1114"/>
      <c r="G337" s="1160"/>
      <c r="H337" s="1160"/>
      <c r="I337" s="306"/>
    </row>
    <row r="338" spans="2:9" s="580" customFormat="1" ht="14.1" customHeight="1">
      <c r="B338" s="589"/>
      <c r="C338" s="290" t="s">
        <v>13</v>
      </c>
      <c r="D338" s="1116" t="s">
        <v>731</v>
      </c>
      <c r="E338" s="1117"/>
      <c r="F338" s="1118"/>
      <c r="G338" s="1113" t="s">
        <v>740</v>
      </c>
      <c r="H338" s="1114"/>
      <c r="I338" s="306"/>
    </row>
    <row r="339" spans="2:9" s="580" customFormat="1" ht="14.1" customHeight="1" thickBot="1">
      <c r="B339" s="589"/>
      <c r="C339" s="291" t="s">
        <v>14</v>
      </c>
      <c r="D339" s="1119" t="s">
        <v>817</v>
      </c>
      <c r="E339" s="1120"/>
      <c r="F339" s="1120"/>
      <c r="G339" s="1120"/>
      <c r="H339" s="1120"/>
      <c r="I339" s="307"/>
    </row>
    <row r="340" spans="2:9" s="580" customFormat="1" ht="14.1" customHeight="1">
      <c r="B340" s="589"/>
      <c r="C340" s="295"/>
      <c r="D340" s="284"/>
      <c r="E340" s="295"/>
      <c r="F340" s="295"/>
      <c r="G340" s="284"/>
      <c r="H340" s="284"/>
      <c r="I340" s="316"/>
    </row>
    <row r="341" spans="2:9" s="597" customFormat="1" ht="17.25" thickBot="1">
      <c r="B341" s="598">
        <v>16</v>
      </c>
      <c r="C341" s="572" t="s">
        <v>1091</v>
      </c>
      <c r="E341" s="598"/>
      <c r="F341" s="598"/>
      <c r="H341" s="599"/>
      <c r="I341" s="599"/>
    </row>
    <row r="342" spans="2:9" s="580" customFormat="1" ht="26.25" thickBot="1">
      <c r="B342" s="589"/>
      <c r="C342" s="334" t="s">
        <v>840</v>
      </c>
      <c r="D342" s="335" t="s">
        <v>841</v>
      </c>
      <c r="E342" s="335" t="s">
        <v>842</v>
      </c>
      <c r="F342" s="335" t="s">
        <v>843</v>
      </c>
      <c r="G342" s="335" t="s">
        <v>844</v>
      </c>
      <c r="H342" s="431" t="s">
        <v>845</v>
      </c>
      <c r="I342" s="337" t="s">
        <v>846</v>
      </c>
    </row>
    <row r="343" spans="2:9" s="580" customFormat="1" ht="14.1" customHeight="1">
      <c r="B343" s="589"/>
      <c r="C343" s="543" t="s">
        <v>7</v>
      </c>
      <c r="D343" s="289" t="s">
        <v>810</v>
      </c>
      <c r="E343" s="581"/>
      <c r="F343" s="581"/>
      <c r="G343" s="299"/>
      <c r="H343" s="299"/>
      <c r="I343" s="300"/>
    </row>
    <row r="344" spans="2:9" s="580" customFormat="1" ht="14.1" customHeight="1">
      <c r="B344" s="589"/>
      <c r="C344" s="298"/>
      <c r="D344" s="289" t="s">
        <v>10</v>
      </c>
      <c r="E344" s="285" t="s">
        <v>16</v>
      </c>
      <c r="F344" s="285" t="s">
        <v>726</v>
      </c>
      <c r="G344" s="286">
        <v>0.08</v>
      </c>
      <c r="H344" s="299"/>
      <c r="I344" s="300"/>
    </row>
    <row r="345" spans="2:9" s="580" customFormat="1" ht="14.1" customHeight="1">
      <c r="B345" s="589"/>
      <c r="C345" s="298"/>
      <c r="D345" s="289" t="s">
        <v>409</v>
      </c>
      <c r="E345" s="285" t="s">
        <v>22</v>
      </c>
      <c r="F345" s="285" t="s">
        <v>726</v>
      </c>
      <c r="G345" s="286">
        <v>0.04</v>
      </c>
      <c r="H345" s="299"/>
      <c r="I345" s="300"/>
    </row>
    <row r="346" spans="2:9" s="580" customFormat="1" ht="14.1" customHeight="1">
      <c r="B346" s="589"/>
      <c r="C346" s="298"/>
      <c r="D346" s="289" t="s">
        <v>942</v>
      </c>
      <c r="E346" s="285" t="s">
        <v>21</v>
      </c>
      <c r="F346" s="285" t="s">
        <v>726</v>
      </c>
      <c r="G346" s="286">
        <v>4.0000000000000001E-3</v>
      </c>
      <c r="H346" s="299"/>
      <c r="I346" s="300"/>
    </row>
    <row r="347" spans="2:9" s="580" customFormat="1" ht="14.1" customHeight="1">
      <c r="B347" s="589"/>
      <c r="C347" s="301"/>
      <c r="D347" s="177" t="s">
        <v>11</v>
      </c>
      <c r="E347" s="287" t="s">
        <v>17</v>
      </c>
      <c r="F347" s="287" t="s">
        <v>726</v>
      </c>
      <c r="G347" s="288">
        <v>4.0000000000000001E-3</v>
      </c>
      <c r="H347" s="302"/>
      <c r="I347" s="303"/>
    </row>
    <row r="348" spans="2:9" s="580" customFormat="1" ht="14.1" customHeight="1">
      <c r="B348" s="589"/>
      <c r="C348" s="609"/>
      <c r="D348" s="316"/>
      <c r="E348" s="593"/>
      <c r="F348" s="593"/>
      <c r="G348" s="1155" t="s">
        <v>727</v>
      </c>
      <c r="H348" s="1156"/>
      <c r="I348" s="584"/>
    </row>
    <row r="349" spans="2:9" s="580" customFormat="1" ht="14.1" customHeight="1">
      <c r="B349" s="589"/>
      <c r="C349" s="292" t="s">
        <v>8</v>
      </c>
      <c r="D349" s="656" t="s">
        <v>811</v>
      </c>
      <c r="E349" s="585"/>
      <c r="F349" s="585"/>
      <c r="G349" s="296"/>
      <c r="H349" s="296"/>
      <c r="I349" s="297"/>
    </row>
    <row r="350" spans="2:9" s="580" customFormat="1" ht="14.1" customHeight="1">
      <c r="B350" s="589"/>
      <c r="C350" s="301"/>
      <c r="D350" s="177" t="s">
        <v>1052</v>
      </c>
      <c r="E350" s="586"/>
      <c r="F350" s="287" t="s">
        <v>1050</v>
      </c>
      <c r="G350" s="288">
        <v>1.05</v>
      </c>
      <c r="H350" s="302"/>
      <c r="I350" s="303"/>
    </row>
    <row r="351" spans="2:9" s="580" customFormat="1" ht="14.1" customHeight="1">
      <c r="B351" s="589"/>
      <c r="C351" s="609"/>
      <c r="D351" s="316"/>
      <c r="E351" s="593"/>
      <c r="F351" s="593"/>
      <c r="G351" s="1157" t="s">
        <v>728</v>
      </c>
      <c r="H351" s="1158"/>
      <c r="I351" s="584"/>
    </row>
    <row r="352" spans="2:9" s="580" customFormat="1" ht="14.1" customHeight="1">
      <c r="B352" s="589"/>
      <c r="C352" s="292" t="s">
        <v>9</v>
      </c>
      <c r="D352" s="293" t="s">
        <v>815</v>
      </c>
      <c r="E352" s="585"/>
      <c r="F352" s="585"/>
      <c r="G352" s="296"/>
      <c r="H352" s="296"/>
      <c r="I352" s="297"/>
    </row>
    <row r="353" spans="2:9" s="580" customFormat="1" ht="14.1" customHeight="1">
      <c r="B353" s="589"/>
      <c r="C353" s="301"/>
      <c r="D353" s="302"/>
      <c r="E353" s="586"/>
      <c r="F353" s="586"/>
      <c r="G353" s="302"/>
      <c r="H353" s="302"/>
      <c r="I353" s="303"/>
    </row>
    <row r="354" spans="2:9" s="580" customFormat="1" ht="14.1" customHeight="1">
      <c r="B354" s="589"/>
      <c r="C354" s="609"/>
      <c r="D354" s="316"/>
      <c r="E354" s="593"/>
      <c r="F354" s="593"/>
      <c r="G354" s="1157" t="s">
        <v>729</v>
      </c>
      <c r="H354" s="1158"/>
      <c r="I354" s="584"/>
    </row>
    <row r="355" spans="2:9" s="580" customFormat="1" ht="14.1" customHeight="1">
      <c r="B355" s="589"/>
      <c r="C355" s="290" t="s">
        <v>12</v>
      </c>
      <c r="D355" s="1113" t="s">
        <v>730</v>
      </c>
      <c r="E355" s="1114"/>
      <c r="F355" s="1114"/>
      <c r="G355" s="1160"/>
      <c r="H355" s="1160"/>
      <c r="I355" s="305"/>
    </row>
    <row r="356" spans="2:9" s="580" customFormat="1" ht="14.1" customHeight="1">
      <c r="B356" s="589"/>
      <c r="C356" s="290" t="s">
        <v>13</v>
      </c>
      <c r="D356" s="1116" t="s">
        <v>731</v>
      </c>
      <c r="E356" s="1117"/>
      <c r="F356" s="1118"/>
      <c r="G356" s="1113" t="s">
        <v>740</v>
      </c>
      <c r="H356" s="1114"/>
      <c r="I356" s="306"/>
    </row>
    <row r="357" spans="2:9" s="580" customFormat="1" ht="14.1" customHeight="1" thickBot="1">
      <c r="B357" s="589"/>
      <c r="C357" s="291" t="s">
        <v>14</v>
      </c>
      <c r="D357" s="1119" t="s">
        <v>817</v>
      </c>
      <c r="E357" s="1120"/>
      <c r="F357" s="1120"/>
      <c r="G357" s="1120"/>
      <c r="H357" s="1120"/>
      <c r="I357" s="307"/>
    </row>
    <row r="358" spans="2:9" s="580" customFormat="1" ht="14.1" customHeight="1">
      <c r="B358" s="589"/>
      <c r="C358" s="589"/>
      <c r="E358" s="589"/>
      <c r="F358" s="589"/>
      <c r="H358" s="316"/>
      <c r="I358" s="316"/>
    </row>
    <row r="359" spans="2:9" s="597" customFormat="1" ht="13.5" thickBot="1">
      <c r="B359" s="598">
        <v>17</v>
      </c>
      <c r="C359" s="572" t="s">
        <v>1071</v>
      </c>
      <c r="E359" s="598"/>
      <c r="F359" s="598"/>
      <c r="H359" s="599"/>
      <c r="I359" s="599"/>
    </row>
    <row r="360" spans="2:9" s="580" customFormat="1" ht="26.25" thickBot="1">
      <c r="B360" s="589"/>
      <c r="C360" s="334" t="s">
        <v>840</v>
      </c>
      <c r="D360" s="335" t="s">
        <v>841</v>
      </c>
      <c r="E360" s="335" t="s">
        <v>842</v>
      </c>
      <c r="F360" s="335" t="s">
        <v>843</v>
      </c>
      <c r="G360" s="335" t="s">
        <v>844</v>
      </c>
      <c r="H360" s="431" t="s">
        <v>845</v>
      </c>
      <c r="I360" s="337" t="s">
        <v>846</v>
      </c>
    </row>
    <row r="361" spans="2:9" s="580" customFormat="1" ht="14.1" customHeight="1">
      <c r="B361" s="589"/>
      <c r="C361" s="543" t="s">
        <v>7</v>
      </c>
      <c r="D361" s="289" t="s">
        <v>810</v>
      </c>
      <c r="E361" s="581"/>
      <c r="F361" s="581"/>
      <c r="G361" s="299"/>
      <c r="H361" s="299"/>
      <c r="I361" s="300"/>
    </row>
    <row r="362" spans="2:9" s="580" customFormat="1" ht="14.1" customHeight="1">
      <c r="B362" s="589"/>
      <c r="C362" s="298"/>
      <c r="D362" s="289" t="s">
        <v>10</v>
      </c>
      <c r="E362" s="285" t="s">
        <v>16</v>
      </c>
      <c r="F362" s="285" t="s">
        <v>726</v>
      </c>
      <c r="G362" s="286">
        <v>7.0000000000000007E-2</v>
      </c>
      <c r="H362" s="299"/>
      <c r="I362" s="300"/>
    </row>
    <row r="363" spans="2:9" s="580" customFormat="1" ht="14.1" customHeight="1">
      <c r="B363" s="589"/>
      <c r="C363" s="298"/>
      <c r="D363" s="289" t="s">
        <v>148</v>
      </c>
      <c r="E363" s="285" t="s">
        <v>22</v>
      </c>
      <c r="F363" s="285" t="s">
        <v>726</v>
      </c>
      <c r="G363" s="286">
        <v>7.0000000000000007E-2</v>
      </c>
      <c r="H363" s="299"/>
      <c r="I363" s="300"/>
    </row>
    <row r="364" spans="2:9" s="580" customFormat="1" ht="14.1" customHeight="1">
      <c r="B364" s="589"/>
      <c r="C364" s="298"/>
      <c r="D364" s="289" t="s">
        <v>20</v>
      </c>
      <c r="E364" s="285" t="s">
        <v>21</v>
      </c>
      <c r="F364" s="285" t="s">
        <v>726</v>
      </c>
      <c r="G364" s="286">
        <v>7.0000000000000001E-3</v>
      </c>
      <c r="H364" s="299"/>
      <c r="I364" s="300"/>
    </row>
    <row r="365" spans="2:9" s="580" customFormat="1" ht="14.1" customHeight="1">
      <c r="B365" s="589"/>
      <c r="C365" s="301"/>
      <c r="D365" s="177" t="s">
        <v>11</v>
      </c>
      <c r="E365" s="287" t="s">
        <v>17</v>
      </c>
      <c r="F365" s="287" t="s">
        <v>726</v>
      </c>
      <c r="G365" s="288">
        <v>4.0000000000000001E-3</v>
      </c>
      <c r="H365" s="302"/>
      <c r="I365" s="303"/>
    </row>
    <row r="366" spans="2:9" s="580" customFormat="1" ht="14.1" customHeight="1">
      <c r="B366" s="589"/>
      <c r="C366" s="609"/>
      <c r="D366" s="316"/>
      <c r="E366" s="593"/>
      <c r="F366" s="593"/>
      <c r="G366" s="1155" t="s">
        <v>727</v>
      </c>
      <c r="H366" s="1156"/>
      <c r="I366" s="584"/>
    </row>
    <row r="367" spans="2:9" s="580" customFormat="1" ht="14.1" customHeight="1">
      <c r="B367" s="589"/>
      <c r="C367" s="292" t="s">
        <v>8</v>
      </c>
      <c r="D367" s="656" t="s">
        <v>811</v>
      </c>
      <c r="E367" s="585"/>
      <c r="F367" s="585"/>
      <c r="G367" s="296"/>
      <c r="H367" s="296"/>
      <c r="I367" s="297"/>
    </row>
    <row r="368" spans="2:9" s="580" customFormat="1" ht="14.1" customHeight="1">
      <c r="B368" s="589"/>
      <c r="C368" s="298"/>
      <c r="D368" s="289" t="s">
        <v>1053</v>
      </c>
      <c r="E368" s="581"/>
      <c r="F368" s="285" t="s">
        <v>56</v>
      </c>
      <c r="G368" s="286">
        <v>10.5</v>
      </c>
      <c r="H368" s="299"/>
      <c r="I368" s="300"/>
    </row>
    <row r="369" spans="2:9" s="580" customFormat="1" ht="14.1" customHeight="1">
      <c r="B369" s="589"/>
      <c r="C369" s="301"/>
      <c r="D369" s="177" t="s">
        <v>214</v>
      </c>
      <c r="E369" s="586"/>
      <c r="F369" s="287" t="s">
        <v>56</v>
      </c>
      <c r="G369" s="288">
        <v>0.15</v>
      </c>
      <c r="H369" s="302"/>
      <c r="I369" s="303"/>
    </row>
    <row r="370" spans="2:9" s="580" customFormat="1" ht="14.1" customHeight="1">
      <c r="B370" s="589"/>
      <c r="C370" s="609"/>
      <c r="D370" s="316"/>
      <c r="E370" s="593"/>
      <c r="F370" s="593"/>
      <c r="G370" s="1159" t="s">
        <v>728</v>
      </c>
      <c r="H370" s="1159"/>
      <c r="I370" s="631"/>
    </row>
    <row r="371" spans="2:9" s="580" customFormat="1" ht="14.1" customHeight="1">
      <c r="B371" s="589"/>
      <c r="C371" s="292" t="s">
        <v>9</v>
      </c>
      <c r="D371" s="293" t="s">
        <v>815</v>
      </c>
      <c r="E371" s="585"/>
      <c r="F371" s="585"/>
      <c r="G371" s="296"/>
      <c r="H371" s="296"/>
      <c r="I371" s="297"/>
    </row>
    <row r="372" spans="2:9" s="580" customFormat="1" ht="14.1" customHeight="1">
      <c r="B372" s="589"/>
      <c r="C372" s="301"/>
      <c r="D372" s="302"/>
      <c r="E372" s="586"/>
      <c r="F372" s="586"/>
      <c r="G372" s="302"/>
      <c r="H372" s="302"/>
      <c r="I372" s="303"/>
    </row>
    <row r="373" spans="2:9" s="580" customFormat="1" ht="14.1" customHeight="1">
      <c r="B373" s="589"/>
      <c r="C373" s="609"/>
      <c r="D373" s="316"/>
      <c r="E373" s="593"/>
      <c r="F373" s="593"/>
      <c r="G373" s="1157" t="s">
        <v>729</v>
      </c>
      <c r="H373" s="1158"/>
      <c r="I373" s="584"/>
    </row>
    <row r="374" spans="2:9" s="580" customFormat="1" ht="14.1" customHeight="1">
      <c r="B374" s="589"/>
      <c r="C374" s="290" t="s">
        <v>12</v>
      </c>
      <c r="D374" s="1113" t="s">
        <v>730</v>
      </c>
      <c r="E374" s="1114"/>
      <c r="F374" s="1114"/>
      <c r="G374" s="1160"/>
      <c r="H374" s="1160"/>
      <c r="I374" s="305"/>
    </row>
    <row r="375" spans="2:9" s="580" customFormat="1" ht="14.1" customHeight="1">
      <c r="B375" s="589"/>
      <c r="C375" s="290" t="s">
        <v>13</v>
      </c>
      <c r="D375" s="1116" t="s">
        <v>731</v>
      </c>
      <c r="E375" s="1117"/>
      <c r="F375" s="1118"/>
      <c r="G375" s="1113" t="s">
        <v>740</v>
      </c>
      <c r="H375" s="1114"/>
      <c r="I375" s="306"/>
    </row>
    <row r="376" spans="2:9" s="580" customFormat="1" ht="14.1" customHeight="1" thickBot="1">
      <c r="B376" s="589"/>
      <c r="C376" s="291" t="s">
        <v>14</v>
      </c>
      <c r="D376" s="1119" t="s">
        <v>817</v>
      </c>
      <c r="E376" s="1120"/>
      <c r="F376" s="1120"/>
      <c r="G376" s="1120"/>
      <c r="H376" s="1120"/>
      <c r="I376" s="307"/>
    </row>
    <row r="377" spans="2:9" s="580" customFormat="1" ht="14.1" customHeight="1">
      <c r="B377" s="589"/>
      <c r="C377" s="295"/>
      <c r="D377" s="284"/>
      <c r="E377" s="295"/>
      <c r="F377" s="295"/>
      <c r="G377" s="284"/>
      <c r="H377" s="284"/>
      <c r="I377" s="316"/>
    </row>
    <row r="378" spans="2:9" s="597" customFormat="1" ht="14.25" thickBot="1">
      <c r="B378" s="598">
        <v>18</v>
      </c>
      <c r="C378" s="572" t="s">
        <v>1092</v>
      </c>
      <c r="E378" s="598"/>
      <c r="F378" s="598"/>
      <c r="H378" s="599"/>
      <c r="I378" s="599"/>
    </row>
    <row r="379" spans="2:9" s="580" customFormat="1" ht="26.25" thickBot="1">
      <c r="B379" s="589"/>
      <c r="C379" s="334" t="s">
        <v>840</v>
      </c>
      <c r="D379" s="335" t="s">
        <v>841</v>
      </c>
      <c r="E379" s="335" t="s">
        <v>842</v>
      </c>
      <c r="F379" s="335" t="s">
        <v>843</v>
      </c>
      <c r="G379" s="335" t="s">
        <v>844</v>
      </c>
      <c r="H379" s="431" t="s">
        <v>845</v>
      </c>
      <c r="I379" s="337" t="s">
        <v>846</v>
      </c>
    </row>
    <row r="380" spans="2:9" s="580" customFormat="1" ht="14.1" customHeight="1">
      <c r="B380" s="589"/>
      <c r="C380" s="543" t="s">
        <v>7</v>
      </c>
      <c r="D380" s="289" t="s">
        <v>810</v>
      </c>
      <c r="E380" s="581"/>
      <c r="F380" s="581"/>
      <c r="G380" s="299"/>
      <c r="H380" s="299"/>
      <c r="I380" s="300"/>
    </row>
    <row r="381" spans="2:9" s="580" customFormat="1" ht="14.1" customHeight="1">
      <c r="B381" s="589"/>
      <c r="C381" s="298"/>
      <c r="D381" s="289" t="s">
        <v>10</v>
      </c>
      <c r="E381" s="285" t="s">
        <v>16</v>
      </c>
      <c r="F381" s="285" t="s">
        <v>726</v>
      </c>
      <c r="G381" s="286">
        <v>0.05</v>
      </c>
      <c r="H381" s="299"/>
      <c r="I381" s="300"/>
    </row>
    <row r="382" spans="2:9" s="580" customFormat="1" ht="14.1" customHeight="1">
      <c r="B382" s="589"/>
      <c r="C382" s="298"/>
      <c r="D382" s="289" t="s">
        <v>148</v>
      </c>
      <c r="E382" s="285" t="s">
        <v>22</v>
      </c>
      <c r="F382" s="285" t="s">
        <v>726</v>
      </c>
      <c r="G382" s="286">
        <v>0.05</v>
      </c>
      <c r="H382" s="299"/>
      <c r="I382" s="300"/>
    </row>
    <row r="383" spans="2:9" s="580" customFormat="1" ht="14.1" customHeight="1">
      <c r="B383" s="589"/>
      <c r="C383" s="298"/>
      <c r="D383" s="289" t="s">
        <v>20</v>
      </c>
      <c r="E383" s="285" t="s">
        <v>21</v>
      </c>
      <c r="F383" s="285" t="s">
        <v>726</v>
      </c>
      <c r="G383" s="286">
        <v>5.0000000000000001E-3</v>
      </c>
      <c r="H383" s="299"/>
      <c r="I383" s="300"/>
    </row>
    <row r="384" spans="2:9" s="580" customFormat="1" ht="14.1" customHeight="1">
      <c r="B384" s="589"/>
      <c r="C384" s="301"/>
      <c r="D384" s="177" t="s">
        <v>11</v>
      </c>
      <c r="E384" s="287" t="s">
        <v>17</v>
      </c>
      <c r="F384" s="287" t="s">
        <v>726</v>
      </c>
      <c r="G384" s="288">
        <v>3.0000000000000001E-3</v>
      </c>
      <c r="H384" s="302"/>
      <c r="I384" s="303"/>
    </row>
    <row r="385" spans="2:9" s="580" customFormat="1" ht="14.1" customHeight="1">
      <c r="B385" s="589"/>
      <c r="C385" s="609"/>
      <c r="D385" s="316"/>
      <c r="E385" s="593"/>
      <c r="F385" s="593"/>
      <c r="G385" s="1155" t="s">
        <v>727</v>
      </c>
      <c r="H385" s="1156"/>
      <c r="I385" s="584"/>
    </row>
    <row r="386" spans="2:9" s="580" customFormat="1" ht="14.1" customHeight="1">
      <c r="B386" s="589"/>
      <c r="C386" s="292" t="s">
        <v>8</v>
      </c>
      <c r="D386" s="662" t="s">
        <v>811</v>
      </c>
      <c r="E386" s="585"/>
      <c r="F386" s="585"/>
      <c r="G386" s="296"/>
      <c r="H386" s="296"/>
      <c r="I386" s="297"/>
    </row>
    <row r="387" spans="2:9" s="580" customFormat="1" ht="14.1" customHeight="1">
      <c r="B387" s="589"/>
      <c r="C387" s="298"/>
      <c r="D387" s="289" t="s">
        <v>1053</v>
      </c>
      <c r="E387" s="581"/>
      <c r="F387" s="285" t="s">
        <v>56</v>
      </c>
      <c r="G387" s="286">
        <v>10.5</v>
      </c>
      <c r="H387" s="299"/>
      <c r="I387" s="300"/>
    </row>
    <row r="388" spans="2:9" s="580" customFormat="1" ht="14.1" customHeight="1">
      <c r="B388" s="589"/>
      <c r="C388" s="301"/>
      <c r="D388" s="177" t="s">
        <v>214</v>
      </c>
      <c r="E388" s="586"/>
      <c r="F388" s="287" t="s">
        <v>56</v>
      </c>
      <c r="G388" s="288">
        <v>0.1</v>
      </c>
      <c r="H388" s="302"/>
      <c r="I388" s="303"/>
    </row>
    <row r="389" spans="2:9" s="580" customFormat="1" ht="14.1" customHeight="1">
      <c r="B389" s="589"/>
      <c r="C389" s="609"/>
      <c r="D389" s="316"/>
      <c r="E389" s="593"/>
      <c r="F389" s="593"/>
      <c r="G389" s="1157" t="s">
        <v>728</v>
      </c>
      <c r="H389" s="1158"/>
      <c r="I389" s="584"/>
    </row>
    <row r="390" spans="2:9" s="580" customFormat="1" ht="14.1" customHeight="1">
      <c r="B390" s="589"/>
      <c r="C390" s="292" t="s">
        <v>9</v>
      </c>
      <c r="D390" s="293" t="s">
        <v>815</v>
      </c>
      <c r="E390" s="585"/>
      <c r="F390" s="585"/>
      <c r="G390" s="296"/>
      <c r="H390" s="296"/>
      <c r="I390" s="297"/>
    </row>
    <row r="391" spans="2:9" s="580" customFormat="1" ht="14.1" customHeight="1">
      <c r="B391" s="589"/>
      <c r="C391" s="301"/>
      <c r="D391" s="302"/>
      <c r="E391" s="586"/>
      <c r="F391" s="586"/>
      <c r="G391" s="302"/>
      <c r="H391" s="302"/>
      <c r="I391" s="303"/>
    </row>
    <row r="392" spans="2:9" s="580" customFormat="1" ht="14.1" customHeight="1">
      <c r="B392" s="589"/>
      <c r="C392" s="609"/>
      <c r="D392" s="316"/>
      <c r="E392" s="593"/>
      <c r="F392" s="593"/>
      <c r="G392" s="1157" t="s">
        <v>729</v>
      </c>
      <c r="H392" s="1158"/>
      <c r="I392" s="584"/>
    </row>
    <row r="393" spans="2:9" s="580" customFormat="1" ht="14.1" customHeight="1">
      <c r="B393" s="589"/>
      <c r="C393" s="632"/>
      <c r="D393" s="630"/>
      <c r="E393" s="629"/>
      <c r="F393" s="629"/>
      <c r="G393" s="630"/>
      <c r="H393" s="588"/>
      <c r="I393" s="305"/>
    </row>
    <row r="394" spans="2:9" s="580" customFormat="1" ht="14.1" customHeight="1">
      <c r="B394" s="589"/>
      <c r="C394" s="290" t="s">
        <v>12</v>
      </c>
      <c r="D394" s="1113" t="s">
        <v>730</v>
      </c>
      <c r="E394" s="1114"/>
      <c r="F394" s="1114"/>
      <c r="G394" s="1114"/>
      <c r="H394" s="1114"/>
      <c r="I394" s="306"/>
    </row>
    <row r="395" spans="2:9" s="580" customFormat="1" ht="14.1" customHeight="1">
      <c r="B395" s="589"/>
      <c r="C395" s="290" t="s">
        <v>13</v>
      </c>
      <c r="D395" s="1116" t="s">
        <v>731</v>
      </c>
      <c r="E395" s="1117"/>
      <c r="F395" s="1118"/>
      <c r="G395" s="1113" t="s">
        <v>740</v>
      </c>
      <c r="H395" s="1114"/>
      <c r="I395" s="306"/>
    </row>
    <row r="396" spans="2:9" s="580" customFormat="1" ht="14.1" customHeight="1" thickBot="1">
      <c r="B396" s="589"/>
      <c r="C396" s="291" t="s">
        <v>14</v>
      </c>
      <c r="D396" s="1119" t="s">
        <v>817</v>
      </c>
      <c r="E396" s="1120"/>
      <c r="F396" s="1120"/>
      <c r="G396" s="1120"/>
      <c r="H396" s="1120"/>
      <c r="I396" s="307"/>
    </row>
    <row r="397" spans="2:9" s="580" customFormat="1" ht="14.1" customHeight="1">
      <c r="B397" s="589"/>
      <c r="C397" s="589"/>
      <c r="E397" s="589"/>
      <c r="F397" s="589"/>
      <c r="H397" s="316"/>
      <c r="I397" s="316"/>
    </row>
    <row r="398" spans="2:9" s="597" customFormat="1" ht="14.25" thickBot="1">
      <c r="B398" s="598">
        <v>19</v>
      </c>
      <c r="C398" s="572" t="s">
        <v>1093</v>
      </c>
      <c r="E398" s="598"/>
      <c r="F398" s="598"/>
      <c r="H398" s="599"/>
      <c r="I398" s="599"/>
    </row>
    <row r="399" spans="2:9" s="580" customFormat="1" ht="26.25" thickBot="1">
      <c r="B399" s="589"/>
      <c r="C399" s="334" t="s">
        <v>840</v>
      </c>
      <c r="D399" s="335" t="s">
        <v>841</v>
      </c>
      <c r="E399" s="335" t="s">
        <v>842</v>
      </c>
      <c r="F399" s="335" t="s">
        <v>843</v>
      </c>
      <c r="G399" s="335" t="s">
        <v>844</v>
      </c>
      <c r="H399" s="431" t="s">
        <v>845</v>
      </c>
      <c r="I399" s="337" t="s">
        <v>846</v>
      </c>
    </row>
    <row r="400" spans="2:9" s="580" customFormat="1" ht="14.1" customHeight="1">
      <c r="B400" s="589"/>
      <c r="C400" s="543" t="s">
        <v>7</v>
      </c>
      <c r="D400" s="289" t="s">
        <v>810</v>
      </c>
      <c r="E400" s="581"/>
      <c r="F400" s="581"/>
      <c r="G400" s="299"/>
      <c r="H400" s="299"/>
      <c r="I400" s="300"/>
    </row>
    <row r="401" spans="2:9" s="580" customFormat="1" ht="14.1" customHeight="1">
      <c r="B401" s="589"/>
      <c r="C401" s="298"/>
      <c r="D401" s="289" t="s">
        <v>10</v>
      </c>
      <c r="E401" s="285" t="s">
        <v>16</v>
      </c>
      <c r="F401" s="285" t="s">
        <v>726</v>
      </c>
      <c r="G401" s="286">
        <v>2.5000000000000001E-2</v>
      </c>
      <c r="H401" s="299"/>
      <c r="I401" s="300"/>
    </row>
    <row r="402" spans="2:9" s="580" customFormat="1" ht="14.1" customHeight="1">
      <c r="B402" s="589"/>
      <c r="C402" s="298"/>
      <c r="D402" s="289" t="s">
        <v>148</v>
      </c>
      <c r="E402" s="285" t="s">
        <v>22</v>
      </c>
      <c r="F402" s="285" t="s">
        <v>726</v>
      </c>
      <c r="G402" s="286">
        <v>2.5000000000000001E-2</v>
      </c>
      <c r="H402" s="299"/>
      <c r="I402" s="300"/>
    </row>
    <row r="403" spans="2:9" s="580" customFormat="1" ht="14.1" customHeight="1">
      <c r="B403" s="589"/>
      <c r="C403" s="298"/>
      <c r="D403" s="289" t="s">
        <v>20</v>
      </c>
      <c r="E403" s="285" t="s">
        <v>21</v>
      </c>
      <c r="F403" s="285" t="s">
        <v>726</v>
      </c>
      <c r="G403" s="286">
        <v>2.5000000000000001E-2</v>
      </c>
      <c r="H403" s="299"/>
      <c r="I403" s="300"/>
    </row>
    <row r="404" spans="2:9" s="580" customFormat="1" ht="14.1" customHeight="1">
      <c r="B404" s="589"/>
      <c r="C404" s="301"/>
      <c r="D404" s="177" t="s">
        <v>11</v>
      </c>
      <c r="E404" s="287" t="s">
        <v>17</v>
      </c>
      <c r="F404" s="287" t="s">
        <v>726</v>
      </c>
      <c r="G404" s="288">
        <v>1E-3</v>
      </c>
      <c r="H404" s="302"/>
      <c r="I404" s="303"/>
    </row>
    <row r="405" spans="2:9" s="580" customFormat="1" ht="14.1" customHeight="1">
      <c r="B405" s="589"/>
      <c r="C405" s="609"/>
      <c r="D405" s="316"/>
      <c r="E405" s="593"/>
      <c r="F405" s="593"/>
      <c r="G405" s="1155" t="s">
        <v>727</v>
      </c>
      <c r="H405" s="1156"/>
      <c r="I405" s="584"/>
    </row>
    <row r="406" spans="2:9" s="580" customFormat="1" ht="14.1" customHeight="1">
      <c r="B406" s="589"/>
      <c r="C406" s="292" t="s">
        <v>8</v>
      </c>
      <c r="D406" s="662" t="s">
        <v>811</v>
      </c>
      <c r="E406" s="585"/>
      <c r="F406" s="585"/>
      <c r="G406" s="296"/>
      <c r="H406" s="296"/>
      <c r="I406" s="297"/>
    </row>
    <row r="407" spans="2:9" s="580" customFormat="1" ht="14.1" customHeight="1">
      <c r="B407" s="589"/>
      <c r="C407" s="298"/>
      <c r="D407" s="663" t="s">
        <v>1054</v>
      </c>
      <c r="E407" s="581"/>
      <c r="F407" s="285" t="s">
        <v>56</v>
      </c>
      <c r="G407" s="286">
        <v>10.199999999999999</v>
      </c>
      <c r="H407" s="299"/>
      <c r="I407" s="300"/>
    </row>
    <row r="408" spans="2:9" s="580" customFormat="1" ht="14.1" customHeight="1">
      <c r="B408" s="589"/>
      <c r="C408" s="301"/>
      <c r="D408" s="664" t="s">
        <v>214</v>
      </c>
      <c r="E408" s="586"/>
      <c r="F408" s="287" t="s">
        <v>56</v>
      </c>
      <c r="G408" s="288">
        <v>0.05</v>
      </c>
      <c r="H408" s="302"/>
      <c r="I408" s="303"/>
    </row>
    <row r="409" spans="2:9" s="580" customFormat="1" ht="14.1" customHeight="1">
      <c r="B409" s="589"/>
      <c r="C409" s="609"/>
      <c r="D409" s="316"/>
      <c r="E409" s="593"/>
      <c r="F409" s="593"/>
      <c r="G409" s="1157" t="s">
        <v>728</v>
      </c>
      <c r="H409" s="1158"/>
      <c r="I409" s="584"/>
    </row>
    <row r="410" spans="2:9" s="580" customFormat="1" ht="14.1" customHeight="1">
      <c r="B410" s="589"/>
      <c r="C410" s="292" t="s">
        <v>9</v>
      </c>
      <c r="D410" s="293" t="s">
        <v>815</v>
      </c>
      <c r="E410" s="585"/>
      <c r="F410" s="585"/>
      <c r="G410" s="296"/>
      <c r="H410" s="296"/>
      <c r="I410" s="297"/>
    </row>
    <row r="411" spans="2:9" s="580" customFormat="1" ht="14.1" customHeight="1">
      <c r="B411" s="589"/>
      <c r="C411" s="301"/>
      <c r="D411" s="302"/>
      <c r="E411" s="586"/>
      <c r="F411" s="586"/>
      <c r="G411" s="302"/>
      <c r="H411" s="302"/>
      <c r="I411" s="303"/>
    </row>
    <row r="412" spans="2:9" s="580" customFormat="1" ht="14.1" customHeight="1">
      <c r="B412" s="589"/>
      <c r="C412" s="609"/>
      <c r="D412" s="316"/>
      <c r="E412" s="593"/>
      <c r="F412" s="593"/>
      <c r="G412" s="1157" t="s">
        <v>729</v>
      </c>
      <c r="H412" s="1158"/>
      <c r="I412" s="584"/>
    </row>
    <row r="413" spans="2:9" s="580" customFormat="1" ht="14.1" customHeight="1">
      <c r="B413" s="589"/>
      <c r="C413" s="290" t="s">
        <v>12</v>
      </c>
      <c r="D413" s="1113" t="s">
        <v>730</v>
      </c>
      <c r="E413" s="1114"/>
      <c r="F413" s="1114"/>
      <c r="G413" s="1114"/>
      <c r="H413" s="1114"/>
      <c r="I413" s="306"/>
    </row>
    <row r="414" spans="2:9" s="580" customFormat="1" ht="14.1" customHeight="1">
      <c r="B414" s="589"/>
      <c r="C414" s="290" t="s">
        <v>13</v>
      </c>
      <c r="D414" s="1116" t="s">
        <v>731</v>
      </c>
      <c r="E414" s="1117"/>
      <c r="F414" s="1118"/>
      <c r="G414" s="1113" t="s">
        <v>740</v>
      </c>
      <c r="H414" s="1114"/>
      <c r="I414" s="306"/>
    </row>
    <row r="415" spans="2:9" s="580" customFormat="1" ht="14.1" customHeight="1" thickBot="1">
      <c r="B415" s="589"/>
      <c r="C415" s="291" t="s">
        <v>14</v>
      </c>
      <c r="D415" s="1119" t="s">
        <v>817</v>
      </c>
      <c r="E415" s="1120"/>
      <c r="F415" s="1120"/>
      <c r="G415" s="1120"/>
      <c r="H415" s="1120"/>
      <c r="I415" s="307"/>
    </row>
    <row r="416" spans="2:9" s="580" customFormat="1" ht="14.1" customHeight="1">
      <c r="B416" s="589"/>
      <c r="C416" s="295"/>
      <c r="D416" s="284"/>
      <c r="E416" s="295"/>
      <c r="F416" s="295"/>
      <c r="G416" s="284"/>
      <c r="H416" s="284"/>
      <c r="I416" s="316"/>
    </row>
    <row r="417" spans="2:9" s="597" customFormat="1" ht="16.5" thickBot="1">
      <c r="B417" s="598">
        <v>20</v>
      </c>
      <c r="C417" s="572" t="s">
        <v>1094</v>
      </c>
      <c r="E417" s="598"/>
      <c r="F417" s="598"/>
      <c r="H417" s="599"/>
      <c r="I417" s="599"/>
    </row>
    <row r="418" spans="2:9" s="580" customFormat="1" ht="26.25" thickBot="1">
      <c r="B418" s="589"/>
      <c r="C418" s="334" t="s">
        <v>840</v>
      </c>
      <c r="D418" s="335" t="s">
        <v>841</v>
      </c>
      <c r="E418" s="335" t="s">
        <v>842</v>
      </c>
      <c r="F418" s="335" t="s">
        <v>843</v>
      </c>
      <c r="G418" s="335" t="s">
        <v>844</v>
      </c>
      <c r="H418" s="431" t="s">
        <v>845</v>
      </c>
      <c r="I418" s="337" t="s">
        <v>846</v>
      </c>
    </row>
    <row r="419" spans="2:9" s="580" customFormat="1" ht="14.1" customHeight="1">
      <c r="B419" s="589"/>
      <c r="C419" s="491" t="s">
        <v>7</v>
      </c>
      <c r="D419" s="365" t="s">
        <v>810</v>
      </c>
      <c r="E419" s="383"/>
      <c r="F419" s="383"/>
      <c r="G419" s="382"/>
      <c r="H419" s="382"/>
      <c r="I419" s="384"/>
    </row>
    <row r="420" spans="2:9" s="580" customFormat="1" ht="14.1" customHeight="1">
      <c r="B420" s="589"/>
      <c r="C420" s="385"/>
      <c r="D420" s="365" t="s">
        <v>10</v>
      </c>
      <c r="E420" s="351" t="s">
        <v>16</v>
      </c>
      <c r="F420" s="351" t="s">
        <v>726</v>
      </c>
      <c r="G420" s="352">
        <v>0.52</v>
      </c>
      <c r="H420" s="382"/>
      <c r="I420" s="384"/>
    </row>
    <row r="421" spans="2:9" s="580" customFormat="1" ht="14.1" customHeight="1">
      <c r="B421" s="589"/>
      <c r="C421" s="385"/>
      <c r="D421" s="365" t="s">
        <v>26</v>
      </c>
      <c r="E421" s="351" t="s">
        <v>22</v>
      </c>
      <c r="F421" s="351" t="s">
        <v>726</v>
      </c>
      <c r="G421" s="352">
        <v>0.26</v>
      </c>
      <c r="H421" s="382"/>
      <c r="I421" s="384"/>
    </row>
    <row r="422" spans="2:9" s="580" customFormat="1" ht="14.1" customHeight="1">
      <c r="B422" s="589"/>
      <c r="C422" s="385"/>
      <c r="D422" s="365" t="s">
        <v>20</v>
      </c>
      <c r="E422" s="351" t="s">
        <v>21</v>
      </c>
      <c r="F422" s="351" t="s">
        <v>726</v>
      </c>
      <c r="G422" s="352">
        <v>2.5999999999999999E-2</v>
      </c>
      <c r="H422" s="382"/>
      <c r="I422" s="384"/>
    </row>
    <row r="423" spans="2:9" s="580" customFormat="1" ht="14.1" customHeight="1">
      <c r="B423" s="589"/>
      <c r="C423" s="386"/>
      <c r="D423" s="387" t="s">
        <v>11</v>
      </c>
      <c r="E423" s="354" t="s">
        <v>17</v>
      </c>
      <c r="F423" s="354" t="s">
        <v>726</v>
      </c>
      <c r="G423" s="355">
        <v>2.5999999999999999E-2</v>
      </c>
      <c r="H423" s="388"/>
      <c r="I423" s="389"/>
    </row>
    <row r="424" spans="2:9" s="580" customFormat="1" ht="14.1" customHeight="1">
      <c r="B424" s="589"/>
      <c r="C424" s="443"/>
      <c r="D424" s="440"/>
      <c r="E424" s="635"/>
      <c r="F424" s="635"/>
      <c r="G424" s="1027" t="s">
        <v>727</v>
      </c>
      <c r="H424" s="1028"/>
      <c r="I424" s="435"/>
    </row>
    <row r="425" spans="2:9" s="580" customFormat="1" ht="14.1" customHeight="1">
      <c r="B425" s="589"/>
      <c r="C425" s="457" t="s">
        <v>8</v>
      </c>
      <c r="D425" s="458" t="s">
        <v>811</v>
      </c>
      <c r="E425" s="394"/>
      <c r="F425" s="394"/>
      <c r="G425" s="393"/>
      <c r="H425" s="393"/>
      <c r="I425" s="436"/>
    </row>
    <row r="426" spans="2:9" s="580" customFormat="1" ht="14.1" customHeight="1">
      <c r="B426" s="589"/>
      <c r="C426" s="385"/>
      <c r="D426" s="365" t="s">
        <v>291</v>
      </c>
      <c r="E426" s="383"/>
      <c r="F426" s="383" t="s">
        <v>750</v>
      </c>
      <c r="G426" s="352">
        <v>0.04</v>
      </c>
      <c r="H426" s="382"/>
      <c r="I426" s="384"/>
    </row>
    <row r="427" spans="2:9" s="580" customFormat="1" ht="14.1" customHeight="1">
      <c r="B427" s="589"/>
      <c r="C427" s="385"/>
      <c r="D427" s="365" t="s">
        <v>1055</v>
      </c>
      <c r="E427" s="383"/>
      <c r="F427" s="351" t="s">
        <v>56</v>
      </c>
      <c r="G427" s="352">
        <v>0.3</v>
      </c>
      <c r="H427" s="382"/>
      <c r="I427" s="384"/>
    </row>
    <row r="428" spans="2:9" s="580" customFormat="1" ht="14.1" customHeight="1">
      <c r="B428" s="589"/>
      <c r="C428" s="386"/>
      <c r="D428" s="387" t="s">
        <v>292</v>
      </c>
      <c r="E428" s="459"/>
      <c r="F428" s="354" t="s">
        <v>275</v>
      </c>
      <c r="G428" s="355">
        <v>0.1</v>
      </c>
      <c r="H428" s="388"/>
      <c r="I428" s="389"/>
    </row>
    <row r="429" spans="2:9" s="580" customFormat="1" ht="14.1" customHeight="1">
      <c r="B429" s="589"/>
      <c r="C429" s="443"/>
      <c r="D429" s="440"/>
      <c r="E429" s="635"/>
      <c r="F429" s="635"/>
      <c r="G429" s="1027" t="s">
        <v>728</v>
      </c>
      <c r="H429" s="1028"/>
      <c r="I429" s="435"/>
    </row>
    <row r="430" spans="2:9" s="580" customFormat="1" ht="14.1" customHeight="1">
      <c r="B430" s="589"/>
      <c r="C430" s="457" t="s">
        <v>9</v>
      </c>
      <c r="D430" s="458" t="s">
        <v>815</v>
      </c>
      <c r="E430" s="394"/>
      <c r="F430" s="394"/>
      <c r="G430" s="393"/>
      <c r="H430" s="393"/>
      <c r="I430" s="436"/>
    </row>
    <row r="431" spans="2:9" s="580" customFormat="1" ht="14.1" customHeight="1">
      <c r="B431" s="589"/>
      <c r="C431" s="386"/>
      <c r="D431" s="388"/>
      <c r="E431" s="459"/>
      <c r="F431" s="459"/>
      <c r="G431" s="388"/>
      <c r="H431" s="388"/>
      <c r="I431" s="389"/>
    </row>
    <row r="432" spans="2:9" s="580" customFormat="1" ht="14.1" customHeight="1">
      <c r="B432" s="589"/>
      <c r="C432" s="443"/>
      <c r="D432" s="440"/>
      <c r="E432" s="635"/>
      <c r="F432" s="635"/>
      <c r="G432" s="1043" t="s">
        <v>729</v>
      </c>
      <c r="H432" s="1043"/>
      <c r="I432" s="435"/>
    </row>
    <row r="433" spans="2:9" s="580" customFormat="1" ht="14.1" customHeight="1">
      <c r="B433" s="589"/>
      <c r="C433" s="377" t="s">
        <v>12</v>
      </c>
      <c r="D433" s="1039" t="s">
        <v>730</v>
      </c>
      <c r="E433" s="1035"/>
      <c r="F433" s="1035"/>
      <c r="G433" s="1035"/>
      <c r="H433" s="1035"/>
      <c r="I433" s="403"/>
    </row>
    <row r="434" spans="2:9" s="580" customFormat="1" ht="14.1" customHeight="1">
      <c r="B434" s="589"/>
      <c r="C434" s="377" t="s">
        <v>13</v>
      </c>
      <c r="D434" s="1036" t="s">
        <v>731</v>
      </c>
      <c r="E434" s="1037"/>
      <c r="F434" s="1038"/>
      <c r="G434" s="1039" t="s">
        <v>740</v>
      </c>
      <c r="H434" s="1035"/>
      <c r="I434" s="403"/>
    </row>
    <row r="435" spans="2:9" s="580" customFormat="1" ht="14.1" customHeight="1" thickBot="1">
      <c r="B435" s="589"/>
      <c r="C435" s="456" t="s">
        <v>14</v>
      </c>
      <c r="D435" s="1029" t="s">
        <v>817</v>
      </c>
      <c r="E435" s="1030"/>
      <c r="F435" s="1030"/>
      <c r="G435" s="1030"/>
      <c r="H435" s="1030"/>
      <c r="I435" s="404"/>
    </row>
    <row r="436" spans="2:9" s="580" customFormat="1" ht="14.1" customHeight="1">
      <c r="B436" s="589"/>
      <c r="C436" s="589"/>
      <c r="E436" s="589"/>
      <c r="F436" s="589"/>
      <c r="H436" s="316"/>
      <c r="I436" s="316"/>
    </row>
    <row r="437" spans="2:9" s="597" customFormat="1" ht="17.25" thickBot="1">
      <c r="B437" s="598">
        <v>21</v>
      </c>
      <c r="C437" s="572" t="s">
        <v>1095</v>
      </c>
      <c r="E437" s="598"/>
      <c r="F437" s="598"/>
      <c r="H437" s="599"/>
      <c r="I437" s="599"/>
    </row>
    <row r="438" spans="2:9" s="580" customFormat="1" ht="26.25" thickBot="1">
      <c r="B438" s="589"/>
      <c r="C438" s="334" t="s">
        <v>840</v>
      </c>
      <c r="D438" s="335" t="s">
        <v>841</v>
      </c>
      <c r="E438" s="335" t="s">
        <v>842</v>
      </c>
      <c r="F438" s="335" t="s">
        <v>843</v>
      </c>
      <c r="G438" s="335" t="s">
        <v>844</v>
      </c>
      <c r="H438" s="431" t="s">
        <v>845</v>
      </c>
      <c r="I438" s="337" t="s">
        <v>846</v>
      </c>
    </row>
    <row r="439" spans="2:9" s="580" customFormat="1" ht="14.1" customHeight="1">
      <c r="B439" s="589"/>
      <c r="C439" s="543" t="s">
        <v>7</v>
      </c>
      <c r="D439" s="289" t="s">
        <v>810</v>
      </c>
      <c r="E439" s="581"/>
      <c r="F439" s="581"/>
      <c r="G439" s="299"/>
      <c r="H439" s="299"/>
      <c r="I439" s="300"/>
    </row>
    <row r="440" spans="2:9" s="580" customFormat="1" ht="14.1" customHeight="1">
      <c r="B440" s="589"/>
      <c r="C440" s="298"/>
      <c r="D440" s="289" t="s">
        <v>10</v>
      </c>
      <c r="E440" s="285" t="s">
        <v>16</v>
      </c>
      <c r="F440" s="285" t="s">
        <v>726</v>
      </c>
      <c r="G440" s="286">
        <v>0.52</v>
      </c>
      <c r="H440" s="299"/>
      <c r="I440" s="300"/>
    </row>
    <row r="441" spans="2:9" s="580" customFormat="1" ht="14.1" customHeight="1">
      <c r="B441" s="589"/>
      <c r="C441" s="298"/>
      <c r="D441" s="289" t="s">
        <v>26</v>
      </c>
      <c r="E441" s="285" t="s">
        <v>22</v>
      </c>
      <c r="F441" s="285" t="s">
        <v>726</v>
      </c>
      <c r="G441" s="286">
        <v>0.26</v>
      </c>
      <c r="H441" s="299"/>
      <c r="I441" s="300"/>
    </row>
    <row r="442" spans="2:9" s="580" customFormat="1" ht="14.1" customHeight="1">
      <c r="B442" s="589"/>
      <c r="C442" s="298"/>
      <c r="D442" s="289" t="s">
        <v>20</v>
      </c>
      <c r="E442" s="285" t="s">
        <v>21</v>
      </c>
      <c r="F442" s="285" t="s">
        <v>726</v>
      </c>
      <c r="G442" s="286">
        <v>2.5999999999999999E-2</v>
      </c>
      <c r="H442" s="299"/>
      <c r="I442" s="300"/>
    </row>
    <row r="443" spans="2:9" s="580" customFormat="1" ht="14.1" customHeight="1">
      <c r="B443" s="589"/>
      <c r="C443" s="301"/>
      <c r="D443" s="177" t="s">
        <v>11</v>
      </c>
      <c r="E443" s="287" t="s">
        <v>17</v>
      </c>
      <c r="F443" s="287" t="s">
        <v>726</v>
      </c>
      <c r="G443" s="288">
        <v>2.5999999999999999E-2</v>
      </c>
      <c r="H443" s="302"/>
      <c r="I443" s="303"/>
    </row>
    <row r="444" spans="2:9" s="580" customFormat="1" ht="14.1" customHeight="1">
      <c r="B444" s="589"/>
      <c r="C444" s="609"/>
      <c r="D444" s="316"/>
      <c r="E444" s="593"/>
      <c r="F444" s="593"/>
      <c r="G444" s="1155" t="s">
        <v>727</v>
      </c>
      <c r="H444" s="1156"/>
      <c r="I444" s="584"/>
    </row>
    <row r="445" spans="2:9" s="580" customFormat="1" ht="14.1" customHeight="1">
      <c r="B445" s="589"/>
      <c r="C445" s="292" t="s">
        <v>8</v>
      </c>
      <c r="D445" s="293" t="s">
        <v>811</v>
      </c>
      <c r="E445" s="585"/>
      <c r="F445" s="585"/>
      <c r="G445" s="296"/>
      <c r="H445" s="296"/>
      <c r="I445" s="297"/>
    </row>
    <row r="446" spans="2:9" s="580" customFormat="1" ht="14.1" customHeight="1">
      <c r="B446" s="589"/>
      <c r="C446" s="298"/>
      <c r="D446" s="289" t="s">
        <v>291</v>
      </c>
      <c r="E446" s="581"/>
      <c r="F446" s="581" t="s">
        <v>750</v>
      </c>
      <c r="G446" s="286">
        <v>4.4999999999999998E-2</v>
      </c>
      <c r="H446" s="299"/>
      <c r="I446" s="300"/>
    </row>
    <row r="447" spans="2:9" s="580" customFormat="1" ht="14.1" customHeight="1">
      <c r="B447" s="589"/>
      <c r="C447" s="298"/>
      <c r="D447" s="289" t="s">
        <v>1056</v>
      </c>
      <c r="E447" s="581"/>
      <c r="F447" s="285" t="s">
        <v>56</v>
      </c>
      <c r="G447" s="286">
        <v>0.3</v>
      </c>
      <c r="H447" s="299"/>
      <c r="I447" s="300"/>
    </row>
    <row r="448" spans="2:9" s="580" customFormat="1" ht="14.1" customHeight="1">
      <c r="B448" s="589"/>
      <c r="C448" s="301"/>
      <c r="D448" s="177" t="s">
        <v>292</v>
      </c>
      <c r="E448" s="586"/>
      <c r="F448" s="287" t="s">
        <v>275</v>
      </c>
      <c r="G448" s="288">
        <v>0.1</v>
      </c>
      <c r="H448" s="302"/>
      <c r="I448" s="303"/>
    </row>
    <row r="449" spans="2:9" s="580" customFormat="1" ht="14.1" customHeight="1">
      <c r="B449" s="589"/>
      <c r="C449" s="609"/>
      <c r="D449" s="316"/>
      <c r="E449" s="593"/>
      <c r="F449" s="593"/>
      <c r="G449" s="1157" t="s">
        <v>728</v>
      </c>
      <c r="H449" s="1158"/>
      <c r="I449" s="584"/>
    </row>
    <row r="450" spans="2:9" s="580" customFormat="1" ht="14.1" customHeight="1">
      <c r="B450" s="589"/>
      <c r="C450" s="292" t="s">
        <v>9</v>
      </c>
      <c r="D450" s="293" t="s">
        <v>815</v>
      </c>
      <c r="E450" s="585"/>
      <c r="F450" s="585"/>
      <c r="G450" s="296"/>
      <c r="H450" s="296"/>
      <c r="I450" s="297"/>
    </row>
    <row r="451" spans="2:9" s="580" customFormat="1" ht="14.1" customHeight="1">
      <c r="B451" s="589"/>
      <c r="C451" s="301"/>
      <c r="D451" s="302"/>
      <c r="E451" s="586"/>
      <c r="F451" s="586"/>
      <c r="G451" s="302"/>
      <c r="H451" s="302"/>
      <c r="I451" s="303"/>
    </row>
    <row r="452" spans="2:9" s="580" customFormat="1" ht="14.1" customHeight="1">
      <c r="B452" s="589"/>
      <c r="C452" s="609"/>
      <c r="D452" s="316"/>
      <c r="E452" s="593"/>
      <c r="F452" s="593"/>
      <c r="G452" s="1159" t="s">
        <v>729</v>
      </c>
      <c r="H452" s="1159"/>
      <c r="I452" s="584"/>
    </row>
    <row r="453" spans="2:9" s="580" customFormat="1" ht="14.1" customHeight="1">
      <c r="B453" s="589"/>
      <c r="C453" s="290" t="s">
        <v>12</v>
      </c>
      <c r="D453" s="1113" t="s">
        <v>730</v>
      </c>
      <c r="E453" s="1114"/>
      <c r="F453" s="1114"/>
      <c r="G453" s="1114"/>
      <c r="H453" s="1114"/>
      <c r="I453" s="305"/>
    </row>
    <row r="454" spans="2:9" s="580" customFormat="1" ht="14.1" customHeight="1">
      <c r="B454" s="589"/>
      <c r="C454" s="290" t="s">
        <v>13</v>
      </c>
      <c r="D454" s="1116" t="s">
        <v>731</v>
      </c>
      <c r="E454" s="1117"/>
      <c r="F454" s="1118"/>
      <c r="G454" s="1113" t="s">
        <v>740</v>
      </c>
      <c r="H454" s="1114"/>
      <c r="I454" s="306"/>
    </row>
    <row r="455" spans="2:9" s="580" customFormat="1" ht="14.1" customHeight="1" thickBot="1">
      <c r="B455" s="589"/>
      <c r="C455" s="291" t="s">
        <v>14</v>
      </c>
      <c r="D455" s="1119" t="s">
        <v>817</v>
      </c>
      <c r="E455" s="1120"/>
      <c r="F455" s="1120"/>
      <c r="G455" s="1120"/>
      <c r="H455" s="1120"/>
      <c r="I455" s="307"/>
    </row>
    <row r="456" spans="2:9" s="580" customFormat="1" ht="14.1" customHeight="1">
      <c r="B456" s="589"/>
      <c r="C456" s="295"/>
      <c r="D456" s="284"/>
      <c r="E456" s="295"/>
      <c r="F456" s="295"/>
      <c r="G456" s="284"/>
      <c r="H456" s="284"/>
      <c r="I456" s="316"/>
    </row>
    <row r="457" spans="2:9" s="597" customFormat="1" ht="16.5" thickBot="1">
      <c r="B457" s="598">
        <v>22</v>
      </c>
      <c r="C457" s="572" t="s">
        <v>1096</v>
      </c>
      <c r="E457" s="598"/>
      <c r="F457" s="598"/>
      <c r="H457" s="599"/>
      <c r="I457" s="599"/>
    </row>
    <row r="458" spans="2:9" s="580" customFormat="1" ht="26.25" thickBot="1">
      <c r="B458" s="589"/>
      <c r="C458" s="334" t="s">
        <v>840</v>
      </c>
      <c r="D458" s="335" t="s">
        <v>841</v>
      </c>
      <c r="E458" s="335" t="s">
        <v>842</v>
      </c>
      <c r="F458" s="335" t="s">
        <v>843</v>
      </c>
      <c r="G458" s="335" t="s">
        <v>844</v>
      </c>
      <c r="H458" s="431" t="s">
        <v>845</v>
      </c>
      <c r="I458" s="337" t="s">
        <v>846</v>
      </c>
    </row>
    <row r="459" spans="2:9" s="580" customFormat="1" ht="14.1" customHeight="1">
      <c r="B459" s="589"/>
      <c r="C459" s="543" t="s">
        <v>7</v>
      </c>
      <c r="D459" s="289" t="s">
        <v>810</v>
      </c>
      <c r="E459" s="581"/>
      <c r="F459" s="581"/>
      <c r="G459" s="299"/>
      <c r="H459" s="299"/>
      <c r="I459" s="300"/>
    </row>
    <row r="460" spans="2:9" s="580" customFormat="1" ht="14.1" customHeight="1">
      <c r="B460" s="589"/>
      <c r="C460" s="298"/>
      <c r="D460" s="289" t="s">
        <v>10</v>
      </c>
      <c r="E460" s="285" t="s">
        <v>16</v>
      </c>
      <c r="F460" s="285" t="s">
        <v>726</v>
      </c>
      <c r="G460" s="286">
        <v>0.66</v>
      </c>
      <c r="H460" s="299"/>
      <c r="I460" s="300"/>
    </row>
    <row r="461" spans="2:9" s="580" customFormat="1" ht="14.1" customHeight="1">
      <c r="B461" s="589"/>
      <c r="C461" s="298"/>
      <c r="D461" s="289" t="s">
        <v>26</v>
      </c>
      <c r="E461" s="285" t="s">
        <v>22</v>
      </c>
      <c r="F461" s="285" t="s">
        <v>726</v>
      </c>
      <c r="G461" s="286">
        <v>0.33</v>
      </c>
      <c r="H461" s="299"/>
      <c r="I461" s="300"/>
    </row>
    <row r="462" spans="2:9" s="580" customFormat="1" ht="14.1" customHeight="1">
      <c r="B462" s="589"/>
      <c r="C462" s="298"/>
      <c r="D462" s="289" t="s">
        <v>20</v>
      </c>
      <c r="E462" s="285" t="s">
        <v>21</v>
      </c>
      <c r="F462" s="285" t="s">
        <v>726</v>
      </c>
      <c r="G462" s="286">
        <v>3.3000000000000002E-2</v>
      </c>
      <c r="H462" s="299"/>
      <c r="I462" s="300"/>
    </row>
    <row r="463" spans="2:9" s="580" customFormat="1" ht="14.1" customHeight="1">
      <c r="B463" s="589"/>
      <c r="C463" s="301"/>
      <c r="D463" s="177" t="s">
        <v>11</v>
      </c>
      <c r="E463" s="287" t="s">
        <v>17</v>
      </c>
      <c r="F463" s="287" t="s">
        <v>726</v>
      </c>
      <c r="G463" s="288">
        <v>3.3000000000000002E-2</v>
      </c>
      <c r="H463" s="302"/>
      <c r="I463" s="303"/>
    </row>
    <row r="464" spans="2:9" s="580" customFormat="1" ht="14.1" customHeight="1">
      <c r="B464" s="589"/>
      <c r="C464" s="609"/>
      <c r="D464" s="316"/>
      <c r="E464" s="593"/>
      <c r="F464" s="593"/>
      <c r="G464" s="1155" t="s">
        <v>727</v>
      </c>
      <c r="H464" s="1156"/>
      <c r="I464" s="584"/>
    </row>
    <row r="465" spans="2:9" s="580" customFormat="1" ht="14.1" customHeight="1">
      <c r="B465" s="589"/>
      <c r="C465" s="292" t="s">
        <v>8</v>
      </c>
      <c r="D465" s="662" t="s">
        <v>811</v>
      </c>
      <c r="E465" s="585"/>
      <c r="F465" s="585"/>
      <c r="G465" s="296"/>
      <c r="H465" s="296"/>
      <c r="I465" s="297"/>
    </row>
    <row r="466" spans="2:9" s="580" customFormat="1" ht="14.1" customHeight="1">
      <c r="B466" s="589"/>
      <c r="C466" s="298"/>
      <c r="D466" s="289" t="s">
        <v>291</v>
      </c>
      <c r="E466" s="581"/>
      <c r="F466" s="581" t="s">
        <v>750</v>
      </c>
      <c r="G466" s="286">
        <v>0.04</v>
      </c>
      <c r="H466" s="299"/>
      <c r="I466" s="300"/>
    </row>
    <row r="467" spans="2:9" s="580" customFormat="1" ht="14.1" customHeight="1">
      <c r="B467" s="589"/>
      <c r="C467" s="298"/>
      <c r="D467" s="289" t="s">
        <v>1057</v>
      </c>
      <c r="E467" s="581"/>
      <c r="F467" s="285" t="s">
        <v>56</v>
      </c>
      <c r="G467" s="286">
        <v>0.4</v>
      </c>
      <c r="H467" s="299"/>
      <c r="I467" s="300"/>
    </row>
    <row r="468" spans="2:9" s="580" customFormat="1" ht="14.1" customHeight="1">
      <c r="B468" s="589"/>
      <c r="C468" s="298"/>
      <c r="D468" s="289" t="s">
        <v>292</v>
      </c>
      <c r="E468" s="581"/>
      <c r="F468" s="285" t="s">
        <v>275</v>
      </c>
      <c r="G468" s="286">
        <v>0.2</v>
      </c>
      <c r="H468" s="299"/>
      <c r="I468" s="300"/>
    </row>
    <row r="469" spans="2:9" s="580" customFormat="1" ht="14.1" customHeight="1">
      <c r="B469" s="589"/>
      <c r="C469" s="298"/>
      <c r="D469" s="289" t="s">
        <v>1058</v>
      </c>
      <c r="E469" s="581"/>
      <c r="F469" s="581" t="s">
        <v>750</v>
      </c>
      <c r="G469" s="286">
        <v>1.4999999999999999E-2</v>
      </c>
      <c r="H469" s="299"/>
      <c r="I469" s="300"/>
    </row>
    <row r="470" spans="2:9" s="580" customFormat="1" ht="14.1" customHeight="1">
      <c r="B470" s="589"/>
      <c r="C470" s="298"/>
      <c r="D470" s="299" t="s">
        <v>1059</v>
      </c>
      <c r="E470" s="581"/>
      <c r="F470" s="285" t="s">
        <v>822</v>
      </c>
      <c r="G470" s="286">
        <v>0.35</v>
      </c>
      <c r="H470" s="299"/>
      <c r="I470" s="300"/>
    </row>
    <row r="471" spans="2:9" s="580" customFormat="1" ht="14.1" customHeight="1">
      <c r="B471" s="589"/>
      <c r="C471" s="301"/>
      <c r="D471" s="302" t="s">
        <v>1066</v>
      </c>
      <c r="E471" s="586"/>
      <c r="F471" s="287" t="s">
        <v>733</v>
      </c>
      <c r="G471" s="288">
        <v>2</v>
      </c>
      <c r="H471" s="302"/>
      <c r="I471" s="303"/>
    </row>
    <row r="472" spans="2:9" s="580" customFormat="1" ht="14.1" customHeight="1">
      <c r="B472" s="589"/>
      <c r="C472" s="609"/>
      <c r="D472" s="316"/>
      <c r="E472" s="593"/>
      <c r="F472" s="593"/>
      <c r="G472" s="1157" t="s">
        <v>728</v>
      </c>
      <c r="H472" s="1158"/>
      <c r="I472" s="584"/>
    </row>
    <row r="473" spans="2:9" s="580" customFormat="1" ht="14.1" customHeight="1">
      <c r="B473" s="589"/>
      <c r="C473" s="292" t="s">
        <v>9</v>
      </c>
      <c r="D473" s="293" t="s">
        <v>815</v>
      </c>
      <c r="E473" s="585"/>
      <c r="F473" s="585"/>
      <c r="G473" s="296"/>
      <c r="H473" s="296"/>
      <c r="I473" s="297"/>
    </row>
    <row r="474" spans="2:9" s="580" customFormat="1" ht="14.1" customHeight="1">
      <c r="B474" s="589"/>
      <c r="C474" s="301"/>
      <c r="D474" s="302"/>
      <c r="E474" s="586"/>
      <c r="F474" s="586"/>
      <c r="G474" s="302"/>
      <c r="H474" s="302"/>
      <c r="I474" s="303"/>
    </row>
    <row r="475" spans="2:9" s="580" customFormat="1" ht="14.1" customHeight="1">
      <c r="B475" s="589"/>
      <c r="C475" s="609"/>
      <c r="D475" s="316"/>
      <c r="E475" s="593"/>
      <c r="F475" s="593"/>
      <c r="G475" s="1159" t="s">
        <v>729</v>
      </c>
      <c r="H475" s="1159"/>
      <c r="I475" s="631"/>
    </row>
    <row r="476" spans="2:9" s="580" customFormat="1" ht="14.1" customHeight="1">
      <c r="B476" s="589"/>
      <c r="C476" s="290" t="s">
        <v>12</v>
      </c>
      <c r="D476" s="1113" t="s">
        <v>730</v>
      </c>
      <c r="E476" s="1114"/>
      <c r="F476" s="1114"/>
      <c r="G476" s="1114"/>
      <c r="H476" s="1114"/>
      <c r="I476" s="306"/>
    </row>
    <row r="477" spans="2:9" s="580" customFormat="1" ht="14.1" customHeight="1">
      <c r="B477" s="589"/>
      <c r="C477" s="290" t="s">
        <v>13</v>
      </c>
      <c r="D477" s="1116" t="s">
        <v>731</v>
      </c>
      <c r="E477" s="1117"/>
      <c r="F477" s="1118"/>
      <c r="G477" s="1113" t="s">
        <v>740</v>
      </c>
      <c r="H477" s="1114"/>
      <c r="I477" s="306"/>
    </row>
    <row r="478" spans="2:9" s="580" customFormat="1" ht="14.1" customHeight="1" thickBot="1">
      <c r="B478" s="589"/>
      <c r="C478" s="291" t="s">
        <v>14</v>
      </c>
      <c r="D478" s="1119" t="s">
        <v>817</v>
      </c>
      <c r="E478" s="1120"/>
      <c r="F478" s="1120"/>
      <c r="G478" s="1120"/>
      <c r="H478" s="1120"/>
      <c r="I478" s="307"/>
    </row>
    <row r="479" spans="2:9" s="580" customFormat="1" ht="14.1" customHeight="1">
      <c r="B479" s="589"/>
      <c r="C479" s="589"/>
      <c r="E479" s="589"/>
      <c r="F479" s="589"/>
      <c r="H479" s="316"/>
      <c r="I479" s="316"/>
    </row>
    <row r="480" spans="2:9" s="597" customFormat="1" ht="16.5" thickBot="1">
      <c r="B480" s="598">
        <v>23</v>
      </c>
      <c r="C480" s="572" t="s">
        <v>1097</v>
      </c>
      <c r="E480" s="598"/>
      <c r="F480" s="598"/>
      <c r="H480" s="599"/>
      <c r="I480" s="599"/>
    </row>
    <row r="481" spans="2:9" s="580" customFormat="1" ht="26.25" thickBot="1">
      <c r="B481" s="589"/>
      <c r="C481" s="334" t="s">
        <v>840</v>
      </c>
      <c r="D481" s="335" t="s">
        <v>841</v>
      </c>
      <c r="E481" s="335" t="s">
        <v>842</v>
      </c>
      <c r="F481" s="335" t="s">
        <v>843</v>
      </c>
      <c r="G481" s="335" t="s">
        <v>844</v>
      </c>
      <c r="H481" s="431" t="s">
        <v>845</v>
      </c>
      <c r="I481" s="337" t="s">
        <v>846</v>
      </c>
    </row>
    <row r="482" spans="2:9" s="580" customFormat="1">
      <c r="B482" s="589"/>
      <c r="C482" s="543" t="s">
        <v>7</v>
      </c>
      <c r="D482" s="289" t="s">
        <v>810</v>
      </c>
      <c r="E482" s="581"/>
      <c r="F482" s="581"/>
      <c r="G482" s="299"/>
      <c r="H482" s="299"/>
      <c r="I482" s="300"/>
    </row>
    <row r="483" spans="2:9" s="580" customFormat="1">
      <c r="B483" s="589"/>
      <c r="C483" s="298"/>
      <c r="D483" s="289" t="s">
        <v>10</v>
      </c>
      <c r="E483" s="285" t="s">
        <v>16</v>
      </c>
      <c r="F483" s="285" t="s">
        <v>726</v>
      </c>
      <c r="G483" s="286">
        <v>0.66</v>
      </c>
      <c r="H483" s="299"/>
      <c r="I483" s="300"/>
    </row>
    <row r="484" spans="2:9" s="580" customFormat="1">
      <c r="B484" s="589"/>
      <c r="C484" s="298"/>
      <c r="D484" s="289" t="s">
        <v>26</v>
      </c>
      <c r="E484" s="285" t="s">
        <v>22</v>
      </c>
      <c r="F484" s="285" t="s">
        <v>726</v>
      </c>
      <c r="G484" s="286">
        <v>0.33</v>
      </c>
      <c r="H484" s="299"/>
      <c r="I484" s="300"/>
    </row>
    <row r="485" spans="2:9" s="580" customFormat="1">
      <c r="B485" s="589"/>
      <c r="C485" s="298"/>
      <c r="D485" s="289" t="s">
        <v>20</v>
      </c>
      <c r="E485" s="285" t="s">
        <v>21</v>
      </c>
      <c r="F485" s="285" t="s">
        <v>726</v>
      </c>
      <c r="G485" s="286">
        <v>3.3000000000000002E-2</v>
      </c>
      <c r="H485" s="299"/>
      <c r="I485" s="300"/>
    </row>
    <row r="486" spans="2:9" s="580" customFormat="1">
      <c r="B486" s="589"/>
      <c r="C486" s="301"/>
      <c r="D486" s="177" t="s">
        <v>11</v>
      </c>
      <c r="E486" s="287" t="s">
        <v>17</v>
      </c>
      <c r="F486" s="287" t="s">
        <v>726</v>
      </c>
      <c r="G486" s="288">
        <v>3.3000000000000002E-2</v>
      </c>
      <c r="H486" s="302"/>
      <c r="I486" s="303"/>
    </row>
    <row r="487" spans="2:9" s="580" customFormat="1">
      <c r="B487" s="589"/>
      <c r="C487" s="609"/>
      <c r="D487" s="316"/>
      <c r="E487" s="593"/>
      <c r="F487" s="593"/>
      <c r="G487" s="1155" t="s">
        <v>727</v>
      </c>
      <c r="H487" s="1156"/>
      <c r="I487" s="584"/>
    </row>
    <row r="488" spans="2:9" s="580" customFormat="1">
      <c r="B488" s="589"/>
      <c r="C488" s="292" t="s">
        <v>8</v>
      </c>
      <c r="D488" s="662" t="s">
        <v>811</v>
      </c>
      <c r="E488" s="585"/>
      <c r="F488" s="585"/>
      <c r="G488" s="296"/>
      <c r="H488" s="296"/>
      <c r="I488" s="297"/>
    </row>
    <row r="489" spans="2:9" s="580" customFormat="1" ht="14.25">
      <c r="B489" s="589"/>
      <c r="C489" s="298"/>
      <c r="D489" s="289" t="s">
        <v>291</v>
      </c>
      <c r="E489" s="581"/>
      <c r="F489" s="581" t="s">
        <v>750</v>
      </c>
      <c r="G489" s="286">
        <v>0.04</v>
      </c>
      <c r="H489" s="299"/>
      <c r="I489" s="300"/>
    </row>
    <row r="490" spans="2:9" s="580" customFormat="1">
      <c r="B490" s="589"/>
      <c r="C490" s="298"/>
      <c r="D490" s="289" t="s">
        <v>1057</v>
      </c>
      <c r="E490" s="581"/>
      <c r="F490" s="285" t="s">
        <v>56</v>
      </c>
      <c r="G490" s="286">
        <v>0.4</v>
      </c>
      <c r="H490" s="299"/>
      <c r="I490" s="300"/>
    </row>
    <row r="491" spans="2:9" s="580" customFormat="1">
      <c r="B491" s="589"/>
      <c r="C491" s="298"/>
      <c r="D491" s="289" t="s">
        <v>292</v>
      </c>
      <c r="E491" s="581"/>
      <c r="F491" s="285" t="s">
        <v>275</v>
      </c>
      <c r="G491" s="286">
        <v>0.2</v>
      </c>
      <c r="H491" s="299"/>
      <c r="I491" s="300"/>
    </row>
    <row r="492" spans="2:9" s="580" customFormat="1" ht="14.25">
      <c r="B492" s="589"/>
      <c r="C492" s="298"/>
      <c r="D492" s="289" t="s">
        <v>1058</v>
      </c>
      <c r="E492" s="581"/>
      <c r="F492" s="581" t="s">
        <v>750</v>
      </c>
      <c r="G492" s="286">
        <v>1.7999999999999999E-2</v>
      </c>
      <c r="H492" s="299"/>
      <c r="I492" s="300"/>
    </row>
    <row r="493" spans="2:9" s="580" customFormat="1">
      <c r="B493" s="589"/>
      <c r="C493" s="298"/>
      <c r="D493" s="299" t="s">
        <v>1059</v>
      </c>
      <c r="E493" s="581"/>
      <c r="F493" s="285" t="s">
        <v>822</v>
      </c>
      <c r="G493" s="286">
        <v>0.35</v>
      </c>
      <c r="H493" s="299"/>
      <c r="I493" s="300"/>
    </row>
    <row r="494" spans="2:9" s="580" customFormat="1" ht="25.5">
      <c r="B494" s="589"/>
      <c r="C494" s="301"/>
      <c r="D494" s="177" t="s">
        <v>1067</v>
      </c>
      <c r="E494" s="586"/>
      <c r="F494" s="287" t="s">
        <v>733</v>
      </c>
      <c r="G494" s="288">
        <v>2</v>
      </c>
      <c r="H494" s="302"/>
      <c r="I494" s="303"/>
    </row>
    <row r="495" spans="2:9" s="580" customFormat="1">
      <c r="B495" s="589"/>
      <c r="C495" s="609"/>
      <c r="D495" s="316"/>
      <c r="E495" s="593"/>
      <c r="F495" s="593"/>
      <c r="G495" s="1157" t="s">
        <v>728</v>
      </c>
      <c r="H495" s="1158"/>
      <c r="I495" s="584"/>
    </row>
    <row r="496" spans="2:9" s="580" customFormat="1">
      <c r="B496" s="589"/>
      <c r="C496" s="603" t="s">
        <v>9</v>
      </c>
      <c r="D496" s="577" t="s">
        <v>815</v>
      </c>
      <c r="E496" s="594"/>
      <c r="F496" s="594"/>
      <c r="G496" s="587"/>
      <c r="H496" s="587"/>
      <c r="I496" s="584"/>
    </row>
    <row r="497" spans="2:9" s="580" customFormat="1">
      <c r="B497" s="589"/>
      <c r="C497" s="1122"/>
      <c r="D497" s="1123"/>
      <c r="E497" s="1123"/>
      <c r="F497" s="1124"/>
      <c r="G497" s="1125" t="s">
        <v>729</v>
      </c>
      <c r="H497" s="1160"/>
      <c r="I497" s="305"/>
    </row>
    <row r="498" spans="2:9" s="580" customFormat="1">
      <c r="B498" s="589"/>
      <c r="C498" s="290" t="s">
        <v>12</v>
      </c>
      <c r="D498" s="1113" t="s">
        <v>730</v>
      </c>
      <c r="E498" s="1114"/>
      <c r="F498" s="1114"/>
      <c r="G498" s="1114"/>
      <c r="H498" s="1114"/>
      <c r="I498" s="306"/>
    </row>
    <row r="499" spans="2:9" s="580" customFormat="1">
      <c r="B499" s="589"/>
      <c r="C499" s="290" t="s">
        <v>13</v>
      </c>
      <c r="D499" s="1116" t="s">
        <v>731</v>
      </c>
      <c r="E499" s="1117"/>
      <c r="F499" s="1118"/>
      <c r="G499" s="1113" t="s">
        <v>740</v>
      </c>
      <c r="H499" s="1114"/>
      <c r="I499" s="306"/>
    </row>
    <row r="500" spans="2:9" s="580" customFormat="1" ht="13.5" thickBot="1">
      <c r="B500" s="589"/>
      <c r="C500" s="291" t="s">
        <v>14</v>
      </c>
      <c r="D500" s="1119" t="s">
        <v>817</v>
      </c>
      <c r="E500" s="1120"/>
      <c r="F500" s="1120"/>
      <c r="G500" s="1120"/>
      <c r="H500" s="1120"/>
      <c r="I500" s="307"/>
    </row>
    <row r="501" spans="2:9" s="580" customFormat="1" ht="13.5" customHeight="1">
      <c r="B501" s="589"/>
      <c r="C501" s="295"/>
      <c r="D501" s="284"/>
      <c r="E501" s="295"/>
      <c r="F501" s="295"/>
      <c r="G501" s="284"/>
      <c r="H501" s="284"/>
      <c r="I501" s="316"/>
    </row>
    <row r="502" spans="2:9" s="597" customFormat="1" ht="16.5" thickBot="1">
      <c r="B502" s="598">
        <v>24</v>
      </c>
      <c r="C502" s="572" t="s">
        <v>1098</v>
      </c>
      <c r="E502" s="598"/>
      <c r="F502" s="598"/>
      <c r="H502" s="599"/>
      <c r="I502" s="599"/>
    </row>
    <row r="503" spans="2:9" s="580" customFormat="1" ht="26.25" thickBot="1">
      <c r="B503" s="589"/>
      <c r="C503" s="334" t="s">
        <v>840</v>
      </c>
      <c r="D503" s="335" t="s">
        <v>841</v>
      </c>
      <c r="E503" s="335" t="s">
        <v>842</v>
      </c>
      <c r="F503" s="335" t="s">
        <v>843</v>
      </c>
      <c r="G503" s="335" t="s">
        <v>844</v>
      </c>
      <c r="H503" s="431" t="s">
        <v>845</v>
      </c>
      <c r="I503" s="337" t="s">
        <v>846</v>
      </c>
    </row>
    <row r="504" spans="2:9" s="580" customFormat="1">
      <c r="B504" s="589"/>
      <c r="C504" s="543" t="s">
        <v>7</v>
      </c>
      <c r="D504" s="289" t="s">
        <v>810</v>
      </c>
      <c r="E504" s="581"/>
      <c r="F504" s="581"/>
      <c r="G504" s="299"/>
      <c r="H504" s="299"/>
      <c r="I504" s="300"/>
    </row>
    <row r="505" spans="2:9" s="580" customFormat="1">
      <c r="B505" s="589"/>
      <c r="C505" s="298"/>
      <c r="D505" s="289" t="s">
        <v>10</v>
      </c>
      <c r="E505" s="285" t="s">
        <v>16</v>
      </c>
      <c r="F505" s="285" t="s">
        <v>726</v>
      </c>
      <c r="G505" s="286">
        <v>0.66</v>
      </c>
      <c r="H505" s="299"/>
      <c r="I505" s="300"/>
    </row>
    <row r="506" spans="2:9" s="580" customFormat="1">
      <c r="B506" s="589"/>
      <c r="C506" s="298"/>
      <c r="D506" s="289" t="s">
        <v>26</v>
      </c>
      <c r="E506" s="285" t="s">
        <v>22</v>
      </c>
      <c r="F506" s="285" t="s">
        <v>726</v>
      </c>
      <c r="G506" s="286">
        <v>0.33</v>
      </c>
      <c r="H506" s="299"/>
      <c r="I506" s="300"/>
    </row>
    <row r="507" spans="2:9" s="580" customFormat="1">
      <c r="B507" s="589"/>
      <c r="C507" s="298"/>
      <c r="D507" s="289" t="s">
        <v>20</v>
      </c>
      <c r="E507" s="285" t="s">
        <v>21</v>
      </c>
      <c r="F507" s="285" t="s">
        <v>726</v>
      </c>
      <c r="G507" s="286">
        <v>3.3000000000000002E-2</v>
      </c>
      <c r="H507" s="299"/>
      <c r="I507" s="300"/>
    </row>
    <row r="508" spans="2:9" s="580" customFormat="1">
      <c r="B508" s="589"/>
      <c r="C508" s="301"/>
      <c r="D508" s="177" t="s">
        <v>11</v>
      </c>
      <c r="E508" s="287" t="s">
        <v>17</v>
      </c>
      <c r="F508" s="287" t="s">
        <v>726</v>
      </c>
      <c r="G508" s="288">
        <v>3.3000000000000002E-2</v>
      </c>
      <c r="H508" s="302"/>
      <c r="I508" s="303"/>
    </row>
    <row r="509" spans="2:9" s="580" customFormat="1">
      <c r="B509" s="589"/>
      <c r="C509" s="609"/>
      <c r="D509" s="316"/>
      <c r="E509" s="593"/>
      <c r="F509" s="593"/>
      <c r="G509" s="1155" t="s">
        <v>727</v>
      </c>
      <c r="H509" s="1156"/>
      <c r="I509" s="584"/>
    </row>
    <row r="510" spans="2:9" s="580" customFormat="1">
      <c r="B510" s="589"/>
      <c r="C510" s="292" t="s">
        <v>8</v>
      </c>
      <c r="D510" s="662" t="s">
        <v>811</v>
      </c>
      <c r="E510" s="585"/>
      <c r="F510" s="585"/>
      <c r="G510" s="296"/>
      <c r="H510" s="296"/>
      <c r="I510" s="297"/>
    </row>
    <row r="511" spans="2:9" s="580" customFormat="1" ht="14.25">
      <c r="B511" s="589"/>
      <c r="C511" s="298"/>
      <c r="D511" s="289" t="s">
        <v>291</v>
      </c>
      <c r="E511" s="581"/>
      <c r="F511" s="581" t="s">
        <v>750</v>
      </c>
      <c r="G511" s="286">
        <v>0.04</v>
      </c>
      <c r="H511" s="299"/>
      <c r="I511" s="300"/>
    </row>
    <row r="512" spans="2:9" s="580" customFormat="1">
      <c r="B512" s="589"/>
      <c r="C512" s="298"/>
      <c r="D512" s="289" t="s">
        <v>1057</v>
      </c>
      <c r="E512" s="581"/>
      <c r="F512" s="285" t="s">
        <v>56</v>
      </c>
      <c r="G512" s="286">
        <v>0.4</v>
      </c>
      <c r="H512" s="299"/>
      <c r="I512" s="300"/>
    </row>
    <row r="513" spans="2:9" s="580" customFormat="1">
      <c r="B513" s="589"/>
      <c r="C513" s="298"/>
      <c r="D513" s="289" t="s">
        <v>292</v>
      </c>
      <c r="E513" s="581"/>
      <c r="F513" s="285" t="s">
        <v>275</v>
      </c>
      <c r="G513" s="286">
        <v>0.2</v>
      </c>
      <c r="H513" s="299"/>
      <c r="I513" s="300"/>
    </row>
    <row r="514" spans="2:9" s="580" customFormat="1" ht="14.25">
      <c r="B514" s="589"/>
      <c r="C514" s="298"/>
      <c r="D514" s="289" t="s">
        <v>1058</v>
      </c>
      <c r="E514" s="581"/>
      <c r="F514" s="581" t="s">
        <v>750</v>
      </c>
      <c r="G514" s="286">
        <v>1.4999999999999999E-2</v>
      </c>
      <c r="H514" s="299"/>
      <c r="I514" s="300"/>
    </row>
    <row r="515" spans="2:9" s="580" customFormat="1">
      <c r="B515" s="589"/>
      <c r="C515" s="298"/>
      <c r="D515" s="299" t="s">
        <v>1059</v>
      </c>
      <c r="E515" s="581"/>
      <c r="F515" s="285" t="s">
        <v>822</v>
      </c>
      <c r="G515" s="286">
        <v>0.35</v>
      </c>
      <c r="H515" s="299"/>
      <c r="I515" s="300"/>
    </row>
    <row r="516" spans="2:9" s="580" customFormat="1" ht="25.5">
      <c r="B516" s="589"/>
      <c r="C516" s="301"/>
      <c r="D516" s="177" t="s">
        <v>1060</v>
      </c>
      <c r="E516" s="586"/>
      <c r="F516" s="287" t="s">
        <v>733</v>
      </c>
      <c r="G516" s="288">
        <v>6</v>
      </c>
      <c r="H516" s="302"/>
      <c r="I516" s="303"/>
    </row>
    <row r="517" spans="2:9" s="580" customFormat="1">
      <c r="B517" s="589"/>
      <c r="C517" s="609"/>
      <c r="D517" s="316"/>
      <c r="E517" s="593"/>
      <c r="F517" s="593"/>
      <c r="G517" s="1157" t="s">
        <v>728</v>
      </c>
      <c r="H517" s="1158"/>
      <c r="I517" s="584"/>
    </row>
    <row r="518" spans="2:9" s="580" customFormat="1">
      <c r="B518" s="589"/>
      <c r="C518" s="292" t="s">
        <v>9</v>
      </c>
      <c r="D518" s="293" t="s">
        <v>815</v>
      </c>
      <c r="E518" s="585"/>
      <c r="F518" s="585"/>
      <c r="G518" s="296"/>
      <c r="H518" s="296"/>
      <c r="I518" s="297"/>
    </row>
    <row r="519" spans="2:9" s="580" customFormat="1">
      <c r="B519" s="589"/>
      <c r="C519" s="301"/>
      <c r="D519" s="302"/>
      <c r="E519" s="586"/>
      <c r="F519" s="586"/>
      <c r="G519" s="302"/>
      <c r="H519" s="302"/>
      <c r="I519" s="303"/>
    </row>
    <row r="520" spans="2:9" s="580" customFormat="1">
      <c r="B520" s="589"/>
      <c r="C520" s="678"/>
      <c r="D520" s="587"/>
      <c r="E520" s="594"/>
      <c r="F520" s="594"/>
      <c r="G520" s="1157" t="s">
        <v>729</v>
      </c>
      <c r="H520" s="1158"/>
      <c r="I520" s="584"/>
    </row>
    <row r="521" spans="2:9" s="580" customFormat="1">
      <c r="B521" s="589"/>
      <c r="C521" s="574" t="s">
        <v>12</v>
      </c>
      <c r="D521" s="1125" t="s">
        <v>730</v>
      </c>
      <c r="E521" s="1160"/>
      <c r="F521" s="1160"/>
      <c r="G521" s="1160"/>
      <c r="H521" s="1160"/>
      <c r="I521" s="305"/>
    </row>
    <row r="522" spans="2:9" s="580" customFormat="1">
      <c r="B522" s="589"/>
      <c r="C522" s="290" t="s">
        <v>13</v>
      </c>
      <c r="D522" s="1116" t="s">
        <v>731</v>
      </c>
      <c r="E522" s="1117"/>
      <c r="F522" s="1118"/>
      <c r="G522" s="1113" t="s">
        <v>740</v>
      </c>
      <c r="H522" s="1114"/>
      <c r="I522" s="306"/>
    </row>
    <row r="523" spans="2:9" s="580" customFormat="1" ht="13.5" thickBot="1">
      <c r="B523" s="589"/>
      <c r="C523" s="291" t="s">
        <v>14</v>
      </c>
      <c r="D523" s="1119" t="s">
        <v>817</v>
      </c>
      <c r="E523" s="1120"/>
      <c r="F523" s="1120"/>
      <c r="G523" s="1120"/>
      <c r="H523" s="1120"/>
      <c r="I523" s="307"/>
    </row>
    <row r="524" spans="2:9" s="580" customFormat="1">
      <c r="B524" s="589"/>
      <c r="C524" s="953"/>
      <c r="D524" s="952"/>
      <c r="E524" s="952"/>
      <c r="F524" s="952"/>
      <c r="G524" s="952"/>
      <c r="H524" s="952"/>
      <c r="I524" s="316"/>
    </row>
    <row r="525" spans="2:9" s="597" customFormat="1" ht="16.5" thickBot="1">
      <c r="B525" s="598">
        <v>25</v>
      </c>
      <c r="C525" s="572" t="s">
        <v>1099</v>
      </c>
      <c r="E525" s="598"/>
      <c r="F525" s="598"/>
      <c r="H525" s="599"/>
      <c r="I525" s="599"/>
    </row>
    <row r="526" spans="2:9" s="580" customFormat="1" ht="26.25" thickBot="1">
      <c r="B526" s="589"/>
      <c r="C526" s="334" t="s">
        <v>840</v>
      </c>
      <c r="D526" s="431" t="s">
        <v>841</v>
      </c>
      <c r="E526" s="489" t="s">
        <v>842</v>
      </c>
      <c r="F526" s="489" t="s">
        <v>843</v>
      </c>
      <c r="G526" s="489" t="s">
        <v>844</v>
      </c>
      <c r="H526" s="489" t="s">
        <v>845</v>
      </c>
      <c r="I526" s="496" t="s">
        <v>846</v>
      </c>
    </row>
    <row r="527" spans="2:9" s="580" customFormat="1">
      <c r="B527" s="589"/>
      <c r="C527" s="543" t="s">
        <v>7</v>
      </c>
      <c r="D527" s="660" t="s">
        <v>810</v>
      </c>
      <c r="E527" s="581"/>
      <c r="F527" s="581"/>
      <c r="G527" s="299"/>
      <c r="H527" s="299"/>
      <c r="I527" s="300"/>
    </row>
    <row r="528" spans="2:9" s="580" customFormat="1">
      <c r="B528" s="589"/>
      <c r="C528" s="298"/>
      <c r="D528" s="660" t="s">
        <v>10</v>
      </c>
      <c r="E528" s="285" t="s">
        <v>16</v>
      </c>
      <c r="F528" s="285" t="s">
        <v>726</v>
      </c>
      <c r="G528" s="286">
        <v>0.66</v>
      </c>
      <c r="H528" s="299"/>
      <c r="I528" s="300"/>
    </row>
    <row r="529" spans="2:9" s="580" customFormat="1">
      <c r="B529" s="589"/>
      <c r="C529" s="298"/>
      <c r="D529" s="660" t="s">
        <v>26</v>
      </c>
      <c r="E529" s="285" t="s">
        <v>22</v>
      </c>
      <c r="F529" s="285" t="s">
        <v>726</v>
      </c>
      <c r="G529" s="286">
        <v>0.33</v>
      </c>
      <c r="H529" s="299"/>
      <c r="I529" s="300"/>
    </row>
    <row r="530" spans="2:9" s="580" customFormat="1">
      <c r="B530" s="589"/>
      <c r="C530" s="298"/>
      <c r="D530" s="660" t="s">
        <v>20</v>
      </c>
      <c r="E530" s="285" t="s">
        <v>21</v>
      </c>
      <c r="F530" s="285" t="s">
        <v>726</v>
      </c>
      <c r="G530" s="286">
        <v>3.3000000000000002E-2</v>
      </c>
      <c r="H530" s="299"/>
      <c r="I530" s="300"/>
    </row>
    <row r="531" spans="2:9" s="580" customFormat="1">
      <c r="B531" s="589"/>
      <c r="C531" s="301"/>
      <c r="D531" s="661" t="s">
        <v>11</v>
      </c>
      <c r="E531" s="287" t="s">
        <v>17</v>
      </c>
      <c r="F531" s="287" t="s">
        <v>726</v>
      </c>
      <c r="G531" s="288">
        <v>3.3000000000000002E-2</v>
      </c>
      <c r="H531" s="302"/>
      <c r="I531" s="303"/>
    </row>
    <row r="532" spans="2:9" s="580" customFormat="1">
      <c r="B532" s="589"/>
      <c r="C532" s="609"/>
      <c r="D532" s="316"/>
      <c r="E532" s="593"/>
      <c r="F532" s="593"/>
      <c r="G532" s="1155" t="s">
        <v>727</v>
      </c>
      <c r="H532" s="1156"/>
      <c r="I532" s="584"/>
    </row>
    <row r="533" spans="2:9" s="580" customFormat="1">
      <c r="B533" s="589"/>
      <c r="C533" s="292" t="s">
        <v>8</v>
      </c>
      <c r="D533" s="662" t="s">
        <v>811</v>
      </c>
      <c r="E533" s="585"/>
      <c r="F533" s="585"/>
      <c r="G533" s="296"/>
      <c r="H533" s="296"/>
      <c r="I533" s="297"/>
    </row>
    <row r="534" spans="2:9" s="580" customFormat="1" ht="14.25">
      <c r="B534" s="589"/>
      <c r="C534" s="298"/>
      <c r="D534" s="289" t="s">
        <v>291</v>
      </c>
      <c r="E534" s="581"/>
      <c r="F534" s="581" t="s">
        <v>750</v>
      </c>
      <c r="G534" s="286">
        <v>0.03</v>
      </c>
      <c r="H534" s="299"/>
      <c r="I534" s="300"/>
    </row>
    <row r="535" spans="2:9" s="580" customFormat="1">
      <c r="B535" s="589"/>
      <c r="C535" s="298"/>
      <c r="D535" s="289" t="s">
        <v>1057</v>
      </c>
      <c r="E535" s="581"/>
      <c r="F535" s="285" t="s">
        <v>56</v>
      </c>
      <c r="G535" s="286">
        <v>0.4</v>
      </c>
      <c r="H535" s="299"/>
      <c r="I535" s="300"/>
    </row>
    <row r="536" spans="2:9" s="580" customFormat="1">
      <c r="B536" s="589"/>
      <c r="C536" s="298"/>
      <c r="D536" s="289" t="s">
        <v>292</v>
      </c>
      <c r="E536" s="581"/>
      <c r="F536" s="285" t="s">
        <v>275</v>
      </c>
      <c r="G536" s="286">
        <v>0.2</v>
      </c>
      <c r="H536" s="299"/>
      <c r="I536" s="300"/>
    </row>
    <row r="537" spans="2:9" s="580" customFormat="1" ht="14.25">
      <c r="B537" s="589"/>
      <c r="C537" s="298"/>
      <c r="D537" s="289" t="s">
        <v>1058</v>
      </c>
      <c r="E537" s="581"/>
      <c r="F537" s="581" t="s">
        <v>750</v>
      </c>
      <c r="G537" s="286">
        <v>0.02</v>
      </c>
      <c r="H537" s="299"/>
      <c r="I537" s="300"/>
    </row>
    <row r="538" spans="2:9" s="580" customFormat="1">
      <c r="B538" s="589"/>
      <c r="C538" s="298"/>
      <c r="D538" s="299" t="s">
        <v>1059</v>
      </c>
      <c r="E538" s="581"/>
      <c r="F538" s="285" t="s">
        <v>822</v>
      </c>
      <c r="G538" s="286">
        <v>0.35</v>
      </c>
      <c r="H538" s="299"/>
      <c r="I538" s="300"/>
    </row>
    <row r="539" spans="2:9" s="580" customFormat="1" ht="25.5">
      <c r="B539" s="589"/>
      <c r="C539" s="298"/>
      <c r="D539" s="299" t="s">
        <v>1068</v>
      </c>
      <c r="E539" s="581"/>
      <c r="F539" s="285" t="s">
        <v>733</v>
      </c>
      <c r="G539" s="286">
        <v>3</v>
      </c>
      <c r="H539" s="299"/>
      <c r="I539" s="300"/>
    </row>
    <row r="540" spans="2:9" s="580" customFormat="1">
      <c r="B540" s="589"/>
      <c r="C540" s="301"/>
      <c r="D540" s="302" t="s">
        <v>1061</v>
      </c>
      <c r="E540" s="586"/>
      <c r="F540" s="287" t="s">
        <v>215</v>
      </c>
      <c r="G540" s="288">
        <v>4</v>
      </c>
      <c r="H540" s="302"/>
      <c r="I540" s="303"/>
    </row>
    <row r="541" spans="2:9" s="580" customFormat="1">
      <c r="B541" s="589"/>
      <c r="C541" s="1137"/>
      <c r="D541" s="1138"/>
      <c r="E541" s="1138"/>
      <c r="F541" s="1139"/>
      <c r="G541" s="1192" t="s">
        <v>728</v>
      </c>
      <c r="H541" s="1159"/>
      <c r="I541" s="319"/>
    </row>
    <row r="542" spans="2:9" s="580" customFormat="1">
      <c r="B542" s="589"/>
      <c r="C542" s="292" t="s">
        <v>9</v>
      </c>
      <c r="D542" s="293" t="s">
        <v>815</v>
      </c>
      <c r="E542" s="585"/>
      <c r="F542" s="585"/>
      <c r="G542" s="296"/>
      <c r="H542" s="296"/>
      <c r="I542" s="297"/>
    </row>
    <row r="543" spans="2:9" s="580" customFormat="1" ht="8.25" customHeight="1">
      <c r="B543" s="589"/>
      <c r="C543" s="301"/>
      <c r="D543" s="302"/>
      <c r="E543" s="586"/>
      <c r="F543" s="586"/>
      <c r="G543" s="302"/>
      <c r="H543" s="302"/>
      <c r="I543" s="303"/>
    </row>
    <row r="544" spans="2:9" s="580" customFormat="1">
      <c r="B544" s="589"/>
      <c r="C544" s="1122"/>
      <c r="D544" s="1123"/>
      <c r="E544" s="1123"/>
      <c r="F544" s="1124"/>
      <c r="G544" s="1125" t="s">
        <v>729</v>
      </c>
      <c r="H544" s="1160"/>
      <c r="I544" s="305"/>
    </row>
    <row r="545" spans="2:9" s="580" customFormat="1">
      <c r="B545" s="589"/>
      <c r="C545" s="290" t="s">
        <v>12</v>
      </c>
      <c r="D545" s="1113" t="s">
        <v>730</v>
      </c>
      <c r="E545" s="1114"/>
      <c r="F545" s="1114"/>
      <c r="G545" s="1114"/>
      <c r="H545" s="1114"/>
      <c r="I545" s="306"/>
    </row>
    <row r="546" spans="2:9" s="580" customFormat="1">
      <c r="B546" s="589"/>
      <c r="C546" s="290" t="s">
        <v>13</v>
      </c>
      <c r="D546" s="1116" t="s">
        <v>731</v>
      </c>
      <c r="E546" s="1117"/>
      <c r="F546" s="1118"/>
      <c r="G546" s="1113" t="s">
        <v>740</v>
      </c>
      <c r="H546" s="1114"/>
      <c r="I546" s="306"/>
    </row>
    <row r="547" spans="2:9" s="580" customFormat="1" ht="13.5" thickBot="1">
      <c r="B547" s="589"/>
      <c r="C547" s="291" t="s">
        <v>14</v>
      </c>
      <c r="D547" s="1119" t="s">
        <v>817</v>
      </c>
      <c r="E547" s="1120"/>
      <c r="F547" s="1120"/>
      <c r="G547" s="1120"/>
      <c r="H547" s="1120"/>
      <c r="I547" s="307"/>
    </row>
    <row r="548" spans="2:9" s="580" customFormat="1">
      <c r="B548" s="589"/>
      <c r="C548" s="953"/>
      <c r="D548" s="952"/>
      <c r="E548" s="952"/>
      <c r="F548" s="952"/>
      <c r="G548" s="952"/>
      <c r="H548" s="952"/>
      <c r="I548" s="316"/>
    </row>
    <row r="549" spans="2:9" s="597" customFormat="1" ht="16.5" thickBot="1">
      <c r="B549" s="598">
        <v>26</v>
      </c>
      <c r="C549" s="572" t="s">
        <v>1100</v>
      </c>
      <c r="E549" s="598"/>
      <c r="F549" s="598"/>
      <c r="H549" s="599"/>
      <c r="I549" s="599"/>
    </row>
    <row r="550" spans="2:9" s="580" customFormat="1" ht="26.25" thickBot="1">
      <c r="B550" s="589"/>
      <c r="C550" s="334" t="s">
        <v>840</v>
      </c>
      <c r="D550" s="335" t="s">
        <v>841</v>
      </c>
      <c r="E550" s="431" t="s">
        <v>842</v>
      </c>
      <c r="F550" s="489"/>
      <c r="G550" s="490" t="s">
        <v>844</v>
      </c>
      <c r="H550" s="431" t="s">
        <v>845</v>
      </c>
      <c r="I550" s="337" t="s">
        <v>846</v>
      </c>
    </row>
    <row r="551" spans="2:9" s="580" customFormat="1">
      <c r="B551" s="589"/>
      <c r="C551" s="543" t="s">
        <v>7</v>
      </c>
      <c r="D551" s="289" t="s">
        <v>810</v>
      </c>
      <c r="E551" s="680"/>
      <c r="F551" s="581"/>
      <c r="G551" s="299"/>
      <c r="H551" s="299"/>
      <c r="I551" s="300"/>
    </row>
    <row r="552" spans="2:9" s="580" customFormat="1">
      <c r="B552" s="589"/>
      <c r="C552" s="298"/>
      <c r="D552" s="289" t="s">
        <v>10</v>
      </c>
      <c r="E552" s="658" t="s">
        <v>16</v>
      </c>
      <c r="F552" s="285" t="s">
        <v>726</v>
      </c>
      <c r="G552" s="286">
        <v>0.66</v>
      </c>
      <c r="H552" s="299"/>
      <c r="I552" s="300"/>
    </row>
    <row r="553" spans="2:9" s="580" customFormat="1">
      <c r="B553" s="589"/>
      <c r="C553" s="298"/>
      <c r="D553" s="289" t="s">
        <v>26</v>
      </c>
      <c r="E553" s="658" t="s">
        <v>22</v>
      </c>
      <c r="F553" s="285" t="s">
        <v>726</v>
      </c>
      <c r="G553" s="286">
        <v>0.33</v>
      </c>
      <c r="H553" s="299"/>
      <c r="I553" s="300"/>
    </row>
    <row r="554" spans="2:9" s="580" customFormat="1">
      <c r="B554" s="589"/>
      <c r="C554" s="298"/>
      <c r="D554" s="289" t="s">
        <v>20</v>
      </c>
      <c r="E554" s="658" t="s">
        <v>21</v>
      </c>
      <c r="F554" s="285" t="s">
        <v>726</v>
      </c>
      <c r="G554" s="286">
        <v>3.3000000000000002E-2</v>
      </c>
      <c r="H554" s="299"/>
      <c r="I554" s="300"/>
    </row>
    <row r="555" spans="2:9" s="580" customFormat="1">
      <c r="B555" s="589"/>
      <c r="C555" s="301"/>
      <c r="D555" s="177" t="s">
        <v>11</v>
      </c>
      <c r="E555" s="659" t="s">
        <v>17</v>
      </c>
      <c r="F555" s="287" t="s">
        <v>726</v>
      </c>
      <c r="G555" s="288">
        <v>3.3000000000000002E-2</v>
      </c>
      <c r="H555" s="302"/>
      <c r="I555" s="303"/>
    </row>
    <row r="556" spans="2:9" s="580" customFormat="1">
      <c r="B556" s="589"/>
      <c r="C556" s="609"/>
      <c r="D556" s="316"/>
      <c r="E556" s="593"/>
      <c r="F556" s="593"/>
      <c r="G556" s="1155" t="s">
        <v>727</v>
      </c>
      <c r="H556" s="1156"/>
      <c r="I556" s="584"/>
    </row>
    <row r="557" spans="2:9" s="580" customFormat="1">
      <c r="B557" s="589"/>
      <c r="C557" s="292" t="s">
        <v>8</v>
      </c>
      <c r="D557" s="662" t="s">
        <v>811</v>
      </c>
      <c r="E557" s="585"/>
      <c r="F557" s="585"/>
      <c r="G557" s="296"/>
      <c r="H557" s="296"/>
      <c r="I557" s="297"/>
    </row>
    <row r="558" spans="2:9" s="580" customFormat="1" ht="14.25">
      <c r="B558" s="589"/>
      <c r="C558" s="298"/>
      <c r="D558" s="289" t="s">
        <v>291</v>
      </c>
      <c r="E558" s="581"/>
      <c r="F558" s="581" t="s">
        <v>750</v>
      </c>
      <c r="G558" s="286">
        <v>0.03</v>
      </c>
      <c r="H558" s="299"/>
      <c r="I558" s="300"/>
    </row>
    <row r="559" spans="2:9" s="580" customFormat="1">
      <c r="B559" s="589"/>
      <c r="C559" s="298"/>
      <c r="D559" s="289" t="s">
        <v>1057</v>
      </c>
      <c r="E559" s="581"/>
      <c r="F559" s="285" t="s">
        <v>56</v>
      </c>
      <c r="G559" s="286">
        <v>0.4</v>
      </c>
      <c r="H559" s="299"/>
      <c r="I559" s="300"/>
    </row>
    <row r="560" spans="2:9" s="580" customFormat="1">
      <c r="B560" s="589"/>
      <c r="C560" s="298"/>
      <c r="D560" s="289" t="s">
        <v>292</v>
      </c>
      <c r="E560" s="581"/>
      <c r="F560" s="285" t="s">
        <v>275</v>
      </c>
      <c r="G560" s="286">
        <v>0.15</v>
      </c>
      <c r="H560" s="299"/>
      <c r="I560" s="300"/>
    </row>
    <row r="561" spans="2:9" s="580" customFormat="1" ht="14.25">
      <c r="B561" s="589"/>
      <c r="C561" s="298"/>
      <c r="D561" s="289" t="s">
        <v>1058</v>
      </c>
      <c r="E561" s="581"/>
      <c r="F561" s="581" t="s">
        <v>750</v>
      </c>
      <c r="G561" s="286">
        <v>1.4999999999999999E-2</v>
      </c>
      <c r="H561" s="299"/>
      <c r="I561" s="300"/>
    </row>
    <row r="562" spans="2:9" s="580" customFormat="1">
      <c r="B562" s="589"/>
      <c r="C562" s="298"/>
      <c r="D562" s="299" t="s">
        <v>1059</v>
      </c>
      <c r="E562" s="581"/>
      <c r="F562" s="285" t="s">
        <v>822</v>
      </c>
      <c r="G562" s="286">
        <v>0.35</v>
      </c>
      <c r="H562" s="299"/>
      <c r="I562" s="300"/>
    </row>
    <row r="563" spans="2:9" s="580" customFormat="1" ht="25.5">
      <c r="B563" s="589"/>
      <c r="C563" s="301"/>
      <c r="D563" s="302" t="s">
        <v>1069</v>
      </c>
      <c r="E563" s="586"/>
      <c r="F563" s="287" t="s">
        <v>733</v>
      </c>
      <c r="G563" s="288">
        <v>2</v>
      </c>
      <c r="H563" s="302"/>
      <c r="I563" s="303"/>
    </row>
    <row r="564" spans="2:9" s="580" customFormat="1">
      <c r="B564" s="589"/>
      <c r="C564" s="314"/>
      <c r="D564" s="582"/>
      <c r="E564" s="315"/>
      <c r="F564" s="583"/>
      <c r="G564" s="1157" t="s">
        <v>728</v>
      </c>
      <c r="H564" s="1158"/>
      <c r="I564" s="584"/>
    </row>
    <row r="565" spans="2:9" s="580" customFormat="1">
      <c r="B565" s="589"/>
      <c r="C565" s="292" t="s">
        <v>9</v>
      </c>
      <c r="D565" s="293" t="s">
        <v>815</v>
      </c>
      <c r="E565" s="585"/>
      <c r="F565" s="585"/>
      <c r="G565" s="296"/>
      <c r="H565" s="296"/>
      <c r="I565" s="297"/>
    </row>
    <row r="566" spans="2:9" s="580" customFormat="1" ht="9" customHeight="1">
      <c r="B566" s="589"/>
      <c r="C566" s="301"/>
      <c r="D566" s="302"/>
      <c r="E566" s="586"/>
      <c r="F566" s="586"/>
      <c r="G566" s="302"/>
      <c r="H566" s="302"/>
      <c r="I566" s="303"/>
    </row>
    <row r="567" spans="2:9" s="580" customFormat="1">
      <c r="B567" s="589"/>
      <c r="C567" s="1122"/>
      <c r="D567" s="1123"/>
      <c r="E567" s="1123"/>
      <c r="F567" s="1124"/>
      <c r="G567" s="1125" t="s">
        <v>729</v>
      </c>
      <c r="H567" s="1160"/>
      <c r="I567" s="305"/>
    </row>
    <row r="568" spans="2:9" s="580" customFormat="1">
      <c r="B568" s="589"/>
      <c r="C568" s="290" t="s">
        <v>12</v>
      </c>
      <c r="D568" s="1113" t="s">
        <v>730</v>
      </c>
      <c r="E568" s="1114"/>
      <c r="F568" s="1114"/>
      <c r="G568" s="1114"/>
      <c r="H568" s="1114"/>
      <c r="I568" s="306"/>
    </row>
    <row r="569" spans="2:9" s="580" customFormat="1">
      <c r="B569" s="589"/>
      <c r="C569" s="290" t="s">
        <v>13</v>
      </c>
      <c r="D569" s="1116" t="s">
        <v>731</v>
      </c>
      <c r="E569" s="1117"/>
      <c r="F569" s="1118"/>
      <c r="G569" s="1113" t="s">
        <v>740</v>
      </c>
      <c r="H569" s="1114"/>
      <c r="I569" s="306"/>
    </row>
    <row r="570" spans="2:9" s="580" customFormat="1" ht="13.5" thickBot="1">
      <c r="B570" s="589"/>
      <c r="C570" s="291" t="s">
        <v>14</v>
      </c>
      <c r="D570" s="1119" t="s">
        <v>817</v>
      </c>
      <c r="E570" s="1120"/>
      <c r="F570" s="1120"/>
      <c r="G570" s="1120"/>
      <c r="H570" s="1120"/>
      <c r="I570" s="307"/>
    </row>
    <row r="571" spans="2:9" s="580" customFormat="1">
      <c r="B571" s="589"/>
      <c r="C571" s="953"/>
      <c r="D571" s="952"/>
      <c r="E571" s="952"/>
      <c r="F571" s="952"/>
      <c r="G571" s="952"/>
      <c r="H571" s="952"/>
      <c r="I571" s="316"/>
    </row>
    <row r="572" spans="2:9" s="597" customFormat="1" ht="16.5" thickBot="1">
      <c r="B572" s="598">
        <v>27</v>
      </c>
      <c r="C572" s="572" t="s">
        <v>1101</v>
      </c>
      <c r="E572" s="598"/>
      <c r="F572" s="598"/>
      <c r="H572" s="599"/>
      <c r="I572" s="599"/>
    </row>
    <row r="573" spans="2:9" s="580" customFormat="1" ht="26.25" thickBot="1">
      <c r="B573" s="589"/>
      <c r="C573" s="334" t="s">
        <v>840</v>
      </c>
      <c r="D573" s="335" t="s">
        <v>841</v>
      </c>
      <c r="E573" s="335" t="s">
        <v>842</v>
      </c>
      <c r="F573" s="335" t="s">
        <v>843</v>
      </c>
      <c r="G573" s="335" t="s">
        <v>844</v>
      </c>
      <c r="H573" s="431" t="s">
        <v>845</v>
      </c>
      <c r="I573" s="337" t="s">
        <v>846</v>
      </c>
    </row>
    <row r="574" spans="2:9" s="580" customFormat="1">
      <c r="B574" s="589"/>
      <c r="C574" s="491" t="s">
        <v>7</v>
      </c>
      <c r="D574" s="365" t="s">
        <v>810</v>
      </c>
      <c r="E574" s="383"/>
      <c r="F574" s="383"/>
      <c r="G574" s="382"/>
      <c r="H574" s="382"/>
      <c r="I574" s="384"/>
    </row>
    <row r="575" spans="2:9" s="580" customFormat="1">
      <c r="B575" s="589"/>
      <c r="C575" s="385"/>
      <c r="D575" s="365" t="s">
        <v>10</v>
      </c>
      <c r="E575" s="351" t="s">
        <v>16</v>
      </c>
      <c r="F575" s="351" t="s">
        <v>726</v>
      </c>
      <c r="G575" s="352">
        <v>0.15</v>
      </c>
      <c r="H575" s="382"/>
      <c r="I575" s="384"/>
    </row>
    <row r="576" spans="2:9" s="580" customFormat="1">
      <c r="B576" s="589"/>
      <c r="C576" s="385"/>
      <c r="D576" s="365" t="s">
        <v>26</v>
      </c>
      <c r="E576" s="351" t="s">
        <v>22</v>
      </c>
      <c r="F576" s="351" t="s">
        <v>726</v>
      </c>
      <c r="G576" s="352">
        <v>0.05</v>
      </c>
      <c r="H576" s="382"/>
      <c r="I576" s="384"/>
    </row>
    <row r="577" spans="2:9" s="580" customFormat="1">
      <c r="B577" s="589"/>
      <c r="C577" s="385"/>
      <c r="D577" s="365" t="s">
        <v>20</v>
      </c>
      <c r="E577" s="351" t="s">
        <v>21</v>
      </c>
      <c r="F577" s="351" t="s">
        <v>726</v>
      </c>
      <c r="G577" s="352">
        <v>5.0000000000000001E-3</v>
      </c>
      <c r="H577" s="382"/>
      <c r="I577" s="384"/>
    </row>
    <row r="578" spans="2:9" s="580" customFormat="1">
      <c r="B578" s="589"/>
      <c r="C578" s="386"/>
      <c r="D578" s="387" t="s">
        <v>11</v>
      </c>
      <c r="E578" s="354" t="s">
        <v>17</v>
      </c>
      <c r="F578" s="354" t="s">
        <v>726</v>
      </c>
      <c r="G578" s="355">
        <v>8.0000000000000002E-3</v>
      </c>
      <c r="H578" s="388"/>
      <c r="I578" s="389"/>
    </row>
    <row r="579" spans="2:9" s="580" customFormat="1">
      <c r="B579" s="589"/>
      <c r="C579" s="443"/>
      <c r="D579" s="440"/>
      <c r="E579" s="635"/>
      <c r="F579" s="635"/>
      <c r="G579" s="1027" t="s">
        <v>727</v>
      </c>
      <c r="H579" s="1028"/>
      <c r="I579" s="435"/>
    </row>
    <row r="580" spans="2:9" s="580" customFormat="1">
      <c r="B580" s="589"/>
      <c r="C580" s="457" t="s">
        <v>8</v>
      </c>
      <c r="D580" s="458" t="s">
        <v>811</v>
      </c>
      <c r="E580" s="394"/>
      <c r="F580" s="394"/>
      <c r="G580" s="393"/>
      <c r="H580" s="393"/>
      <c r="I580" s="436"/>
    </row>
    <row r="581" spans="2:9" s="580" customFormat="1" ht="14.25">
      <c r="B581" s="589"/>
      <c r="C581" s="385"/>
      <c r="D581" s="365" t="s">
        <v>1062</v>
      </c>
      <c r="E581" s="383"/>
      <c r="F581" s="383" t="s">
        <v>750</v>
      </c>
      <c r="G581" s="681">
        <v>2.64E-2</v>
      </c>
      <c r="H581" s="382"/>
      <c r="I581" s="384"/>
    </row>
    <row r="582" spans="2:9" s="580" customFormat="1">
      <c r="B582" s="589"/>
      <c r="C582" s="385"/>
      <c r="D582" s="365" t="s">
        <v>1057</v>
      </c>
      <c r="E582" s="383"/>
      <c r="F582" s="351" t="s">
        <v>56</v>
      </c>
      <c r="G582" s="352">
        <v>0.6</v>
      </c>
      <c r="H582" s="382"/>
      <c r="I582" s="384"/>
    </row>
    <row r="583" spans="2:9" s="580" customFormat="1">
      <c r="B583" s="589"/>
      <c r="C583" s="386"/>
      <c r="D583" s="388" t="s">
        <v>1070</v>
      </c>
      <c r="E583" s="459"/>
      <c r="F583" s="354" t="s">
        <v>733</v>
      </c>
      <c r="G583" s="355">
        <v>0.5</v>
      </c>
      <c r="H583" s="388"/>
      <c r="I583" s="389"/>
    </row>
    <row r="584" spans="2:9" s="580" customFormat="1">
      <c r="B584" s="589"/>
      <c r="C584" s="443"/>
      <c r="D584" s="440"/>
      <c r="E584" s="635"/>
      <c r="F584" s="635"/>
      <c r="G584" s="1027" t="s">
        <v>728</v>
      </c>
      <c r="H584" s="1028"/>
      <c r="I584" s="435"/>
    </row>
    <row r="585" spans="2:9" s="580" customFormat="1">
      <c r="B585" s="589"/>
      <c r="C585" s="457" t="s">
        <v>9</v>
      </c>
      <c r="D585" s="458" t="s">
        <v>815</v>
      </c>
      <c r="E585" s="394"/>
      <c r="F585" s="394"/>
      <c r="G585" s="393"/>
      <c r="H585" s="393"/>
      <c r="I585" s="436"/>
    </row>
    <row r="586" spans="2:9" s="580" customFormat="1">
      <c r="B586" s="589"/>
      <c r="C586" s="386"/>
      <c r="D586" s="388"/>
      <c r="E586" s="459"/>
      <c r="F586" s="459"/>
      <c r="G586" s="388"/>
      <c r="H586" s="388"/>
      <c r="I586" s="389"/>
    </row>
    <row r="587" spans="2:9" s="580" customFormat="1">
      <c r="B587" s="589"/>
      <c r="C587" s="443"/>
      <c r="D587" s="440"/>
      <c r="E587" s="635"/>
      <c r="F587" s="635"/>
      <c r="G587" s="1027" t="s">
        <v>729</v>
      </c>
      <c r="H587" s="1028"/>
      <c r="I587" s="395"/>
    </row>
    <row r="588" spans="2:9" s="580" customFormat="1">
      <c r="B588" s="589"/>
      <c r="C588" s="377" t="s">
        <v>12</v>
      </c>
      <c r="D588" s="1039" t="s">
        <v>730</v>
      </c>
      <c r="E588" s="1035"/>
      <c r="F588" s="1035"/>
      <c r="G588" s="1034"/>
      <c r="H588" s="1034"/>
      <c r="I588" s="403"/>
    </row>
    <row r="589" spans="2:9" s="580" customFormat="1">
      <c r="B589" s="589"/>
      <c r="C589" s="377" t="s">
        <v>13</v>
      </c>
      <c r="D589" s="1036" t="s">
        <v>731</v>
      </c>
      <c r="E589" s="1037"/>
      <c r="F589" s="1038"/>
      <c r="G589" s="1039" t="s">
        <v>740</v>
      </c>
      <c r="H589" s="1035"/>
      <c r="I589" s="403"/>
    </row>
    <row r="590" spans="2:9" s="580" customFormat="1" ht="13.5" thickBot="1">
      <c r="B590" s="589"/>
      <c r="C590" s="456" t="s">
        <v>14</v>
      </c>
      <c r="D590" s="1029" t="s">
        <v>817</v>
      </c>
      <c r="E590" s="1030"/>
      <c r="F590" s="1030"/>
      <c r="G590" s="1030"/>
      <c r="H590" s="1030"/>
      <c r="I590" s="404"/>
    </row>
    <row r="591" spans="2:9" s="580" customFormat="1">
      <c r="B591" s="589"/>
      <c r="C591" s="957"/>
      <c r="D591" s="951"/>
      <c r="E591" s="951"/>
      <c r="F591" s="951"/>
      <c r="G591" s="951"/>
      <c r="H591" s="951"/>
      <c r="I591" s="440"/>
    </row>
    <row r="592" spans="2:9" s="597" customFormat="1" ht="13.5" thickBot="1">
      <c r="B592" s="598">
        <v>28</v>
      </c>
      <c r="C592" s="572" t="s">
        <v>1072</v>
      </c>
      <c r="E592" s="598"/>
      <c r="F592" s="598"/>
      <c r="H592" s="599"/>
      <c r="I592" s="599"/>
    </row>
    <row r="593" spans="2:9" s="580" customFormat="1" ht="26.25" thickBot="1">
      <c r="B593" s="589"/>
      <c r="C593" s="334" t="s">
        <v>840</v>
      </c>
      <c r="D593" s="335" t="s">
        <v>841</v>
      </c>
      <c r="E593" s="335" t="s">
        <v>842</v>
      </c>
      <c r="F593" s="335" t="s">
        <v>843</v>
      </c>
      <c r="G593" s="335" t="s">
        <v>844</v>
      </c>
      <c r="H593" s="431" t="s">
        <v>845</v>
      </c>
      <c r="I593" s="337" t="s">
        <v>846</v>
      </c>
    </row>
    <row r="594" spans="2:9" s="580" customFormat="1">
      <c r="B594" s="589"/>
      <c r="C594" s="543" t="s">
        <v>7</v>
      </c>
      <c r="D594" s="289" t="s">
        <v>810</v>
      </c>
      <c r="E594" s="581"/>
      <c r="F594" s="581"/>
      <c r="G594" s="675"/>
      <c r="H594" s="299"/>
      <c r="I594" s="300"/>
    </row>
    <row r="595" spans="2:9" s="580" customFormat="1">
      <c r="B595" s="589"/>
      <c r="C595" s="298"/>
      <c r="D595" s="289" t="s">
        <v>10</v>
      </c>
      <c r="E595" s="285" t="s">
        <v>16</v>
      </c>
      <c r="F595" s="285" t="s">
        <v>726</v>
      </c>
      <c r="G595" s="665">
        <v>0.18</v>
      </c>
      <c r="H595" s="299"/>
      <c r="I595" s="300"/>
    </row>
    <row r="596" spans="2:9" s="580" customFormat="1">
      <c r="B596" s="589"/>
      <c r="C596" s="298"/>
      <c r="D596" s="289" t="s">
        <v>143</v>
      </c>
      <c r="E596" s="285" t="s">
        <v>22</v>
      </c>
      <c r="F596" s="285" t="s">
        <v>726</v>
      </c>
      <c r="G596" s="665">
        <v>0.02</v>
      </c>
      <c r="H596" s="299"/>
      <c r="I596" s="300"/>
    </row>
    <row r="597" spans="2:9" s="580" customFormat="1">
      <c r="B597" s="589"/>
      <c r="C597" s="298"/>
      <c r="D597" s="289" t="s">
        <v>26</v>
      </c>
      <c r="E597" s="285" t="s">
        <v>22</v>
      </c>
      <c r="F597" s="285" t="s">
        <v>726</v>
      </c>
      <c r="G597" s="665">
        <v>0.02</v>
      </c>
      <c r="H597" s="299"/>
      <c r="I597" s="300"/>
    </row>
    <row r="598" spans="2:9" s="580" customFormat="1">
      <c r="B598" s="589"/>
      <c r="C598" s="298"/>
      <c r="D598" s="289" t="s">
        <v>148</v>
      </c>
      <c r="E598" s="285" t="s">
        <v>22</v>
      </c>
      <c r="F598" s="285" t="s">
        <v>726</v>
      </c>
      <c r="G598" s="665">
        <v>0.02</v>
      </c>
      <c r="H598" s="299"/>
      <c r="I598" s="300"/>
    </row>
    <row r="599" spans="2:9" s="580" customFormat="1">
      <c r="B599" s="589"/>
      <c r="C599" s="298"/>
      <c r="D599" s="289" t="s">
        <v>20</v>
      </c>
      <c r="E599" s="285" t="s">
        <v>21</v>
      </c>
      <c r="F599" s="285" t="s">
        <v>726</v>
      </c>
      <c r="G599" s="665">
        <v>6.0000000000000001E-3</v>
      </c>
      <c r="H599" s="299"/>
      <c r="I599" s="300"/>
    </row>
    <row r="600" spans="2:9" s="580" customFormat="1">
      <c r="B600" s="589"/>
      <c r="C600" s="301"/>
      <c r="D600" s="177" t="s">
        <v>11</v>
      </c>
      <c r="E600" s="287" t="s">
        <v>17</v>
      </c>
      <c r="F600" s="287" t="s">
        <v>726</v>
      </c>
      <c r="G600" s="666">
        <v>8.9999999999999993E-3</v>
      </c>
      <c r="H600" s="302"/>
      <c r="I600" s="303"/>
    </row>
    <row r="601" spans="2:9" s="580" customFormat="1">
      <c r="B601" s="589"/>
      <c r="C601" s="609"/>
      <c r="D601" s="316"/>
      <c r="E601" s="593"/>
      <c r="F601" s="593"/>
      <c r="G601" s="1163" t="s">
        <v>727</v>
      </c>
      <c r="H601" s="1164"/>
      <c r="I601" s="584"/>
    </row>
    <row r="602" spans="2:9" s="580" customFormat="1">
      <c r="B602" s="589"/>
      <c r="C602" s="292" t="s">
        <v>8</v>
      </c>
      <c r="D602" s="662" t="s">
        <v>811</v>
      </c>
      <c r="E602" s="585"/>
      <c r="F602" s="585"/>
      <c r="G602" s="296"/>
      <c r="H602" s="296"/>
      <c r="I602" s="297"/>
    </row>
    <row r="603" spans="2:9" s="580" customFormat="1" ht="14.25">
      <c r="B603" s="589"/>
      <c r="C603" s="298"/>
      <c r="D603" s="289" t="s">
        <v>291</v>
      </c>
      <c r="E603" s="581"/>
      <c r="F603" s="581" t="s">
        <v>750</v>
      </c>
      <c r="G603" s="286">
        <v>2E-3</v>
      </c>
      <c r="H603" s="299"/>
      <c r="I603" s="300"/>
    </row>
    <row r="604" spans="2:9" s="580" customFormat="1">
      <c r="B604" s="589"/>
      <c r="C604" s="298"/>
      <c r="D604" s="289" t="s">
        <v>1057</v>
      </c>
      <c r="E604" s="581"/>
      <c r="F604" s="285" t="s">
        <v>56</v>
      </c>
      <c r="G604" s="286">
        <v>0.01</v>
      </c>
      <c r="H604" s="299"/>
      <c r="I604" s="300"/>
    </row>
    <row r="605" spans="2:9" s="580" customFormat="1">
      <c r="B605" s="589"/>
      <c r="C605" s="298"/>
      <c r="D605" s="289" t="s">
        <v>292</v>
      </c>
      <c r="E605" s="581"/>
      <c r="F605" s="285" t="s">
        <v>275</v>
      </c>
      <c r="G605" s="299"/>
      <c r="H605" s="299"/>
      <c r="I605" s="300"/>
    </row>
    <row r="606" spans="2:9" s="580" customFormat="1">
      <c r="B606" s="589"/>
      <c r="C606" s="298"/>
      <c r="D606" s="289" t="s">
        <v>293</v>
      </c>
      <c r="E606" s="581"/>
      <c r="F606" s="285" t="s">
        <v>56</v>
      </c>
      <c r="G606" s="286">
        <v>3</v>
      </c>
      <c r="H606" s="299"/>
      <c r="I606" s="300"/>
    </row>
    <row r="607" spans="2:9" s="580" customFormat="1">
      <c r="B607" s="589"/>
      <c r="C607" s="298"/>
      <c r="D607" s="289" t="s">
        <v>214</v>
      </c>
      <c r="E607" s="581"/>
      <c r="F607" s="285" t="s">
        <v>56</v>
      </c>
      <c r="G607" s="286">
        <v>0.45</v>
      </c>
      <c r="H607" s="299"/>
      <c r="I607" s="300"/>
    </row>
    <row r="608" spans="2:9" s="580" customFormat="1">
      <c r="B608" s="589"/>
      <c r="C608" s="298"/>
      <c r="D608" s="289" t="s">
        <v>806</v>
      </c>
      <c r="E608" s="581"/>
      <c r="F608" s="285" t="s">
        <v>56</v>
      </c>
      <c r="G608" s="286">
        <v>4</v>
      </c>
      <c r="H608" s="299"/>
      <c r="I608" s="300"/>
    </row>
    <row r="609" spans="2:9" s="580" customFormat="1" ht="14.25">
      <c r="B609" s="589"/>
      <c r="C609" s="298"/>
      <c r="D609" s="289" t="s">
        <v>1063</v>
      </c>
      <c r="E609" s="581"/>
      <c r="F609" s="581" t="s">
        <v>750</v>
      </c>
      <c r="G609" s="286">
        <v>6.0000000000000001E-3</v>
      </c>
      <c r="H609" s="299"/>
      <c r="I609" s="300"/>
    </row>
    <row r="610" spans="2:9" s="580" customFormat="1" ht="14.25">
      <c r="B610" s="589"/>
      <c r="C610" s="301"/>
      <c r="D610" s="177" t="s">
        <v>138</v>
      </c>
      <c r="E610" s="586"/>
      <c r="F610" s="586" t="s">
        <v>750</v>
      </c>
      <c r="G610" s="288">
        <v>8.9999999999999993E-3</v>
      </c>
      <c r="H610" s="302"/>
      <c r="I610" s="303"/>
    </row>
    <row r="611" spans="2:9" s="580" customFormat="1">
      <c r="B611" s="589"/>
      <c r="C611" s="609"/>
      <c r="D611" s="316"/>
      <c r="E611" s="593"/>
      <c r="F611" s="593"/>
      <c r="G611" s="1157" t="s">
        <v>728</v>
      </c>
      <c r="H611" s="1158"/>
      <c r="I611" s="584"/>
    </row>
    <row r="612" spans="2:9" s="580" customFormat="1">
      <c r="B612" s="589"/>
      <c r="C612" s="292" t="s">
        <v>9</v>
      </c>
      <c r="D612" s="293" t="s">
        <v>815</v>
      </c>
      <c r="E612" s="585"/>
      <c r="F612" s="585"/>
      <c r="G612" s="296"/>
      <c r="H612" s="296"/>
      <c r="I612" s="297"/>
    </row>
    <row r="613" spans="2:9" s="580" customFormat="1">
      <c r="B613" s="589"/>
      <c r="C613" s="944"/>
      <c r="D613" s="945"/>
      <c r="E613" s="946"/>
      <c r="F613" s="946"/>
      <c r="G613" s="1196" t="s">
        <v>729</v>
      </c>
      <c r="H613" s="1158"/>
      <c r="I613" s="587"/>
    </row>
    <row r="614" spans="2:9" s="580" customFormat="1">
      <c r="B614" s="589"/>
      <c r="C614" s="574" t="s">
        <v>12</v>
      </c>
      <c r="D614" s="1125" t="s">
        <v>730</v>
      </c>
      <c r="E614" s="1160"/>
      <c r="F614" s="1160"/>
      <c r="G614" s="1160"/>
      <c r="H614" s="1160"/>
      <c r="I614" s="305"/>
    </row>
    <row r="615" spans="2:9" s="580" customFormat="1">
      <c r="B615" s="589"/>
      <c r="C615" s="290" t="s">
        <v>13</v>
      </c>
      <c r="D615" s="1116" t="s">
        <v>816</v>
      </c>
      <c r="E615" s="1117"/>
      <c r="F615" s="1118"/>
      <c r="G615" s="1113" t="s">
        <v>740</v>
      </c>
      <c r="H615" s="1114"/>
      <c r="I615" s="306"/>
    </row>
    <row r="616" spans="2:9" s="580" customFormat="1" ht="13.5" thickBot="1">
      <c r="B616" s="589"/>
      <c r="C616" s="291" t="s">
        <v>14</v>
      </c>
      <c r="D616" s="1119" t="s">
        <v>817</v>
      </c>
      <c r="E616" s="1120"/>
      <c r="F616" s="1120"/>
      <c r="G616" s="1120"/>
      <c r="H616" s="1120"/>
      <c r="I616" s="307"/>
    </row>
    <row r="617" spans="2:9" s="580" customFormat="1">
      <c r="B617" s="589"/>
      <c r="C617" s="953"/>
      <c r="D617" s="952"/>
      <c r="E617" s="952"/>
      <c r="F617" s="952"/>
      <c r="G617" s="952"/>
      <c r="H617" s="952"/>
      <c r="I617" s="316"/>
    </row>
    <row r="618" spans="2:9" s="597" customFormat="1" ht="13.5" thickBot="1">
      <c r="B618" s="598">
        <v>29</v>
      </c>
      <c r="C618" s="572" t="s">
        <v>1073</v>
      </c>
      <c r="E618" s="598"/>
      <c r="F618" s="598"/>
      <c r="H618" s="599"/>
      <c r="I618" s="599"/>
    </row>
    <row r="619" spans="2:9" s="580" customFormat="1" ht="26.25" thickBot="1">
      <c r="B619" s="589"/>
      <c r="C619" s="334" t="s">
        <v>840</v>
      </c>
      <c r="D619" s="335" t="s">
        <v>841</v>
      </c>
      <c r="E619" s="335" t="s">
        <v>842</v>
      </c>
      <c r="F619" s="335" t="s">
        <v>843</v>
      </c>
      <c r="G619" s="335" t="s">
        <v>844</v>
      </c>
      <c r="H619" s="431" t="s">
        <v>845</v>
      </c>
      <c r="I619" s="337" t="s">
        <v>846</v>
      </c>
    </row>
    <row r="620" spans="2:9" s="580" customFormat="1" ht="14.1" customHeight="1">
      <c r="B620" s="589"/>
      <c r="C620" s="543" t="s">
        <v>7</v>
      </c>
      <c r="D620" s="289" t="s">
        <v>810</v>
      </c>
      <c r="E620" s="581"/>
      <c r="F620" s="581"/>
      <c r="G620" s="299"/>
      <c r="H620" s="299"/>
      <c r="I620" s="300"/>
    </row>
    <row r="621" spans="2:9" s="580" customFormat="1" ht="14.1" customHeight="1">
      <c r="B621" s="589"/>
      <c r="C621" s="298"/>
      <c r="D621" s="289" t="s">
        <v>10</v>
      </c>
      <c r="E621" s="285" t="s">
        <v>16</v>
      </c>
      <c r="F621" s="285" t="s">
        <v>726</v>
      </c>
      <c r="G621" s="286">
        <v>0.29699999999999999</v>
      </c>
      <c r="H621" s="299"/>
      <c r="I621" s="300"/>
    </row>
    <row r="622" spans="2:9" s="580" customFormat="1" ht="14.1" customHeight="1">
      <c r="B622" s="589"/>
      <c r="C622" s="298"/>
      <c r="D622" s="289" t="s">
        <v>143</v>
      </c>
      <c r="E622" s="285" t="s">
        <v>22</v>
      </c>
      <c r="F622" s="285" t="s">
        <v>726</v>
      </c>
      <c r="G622" s="286">
        <v>3.3000000000000002E-2</v>
      </c>
      <c r="H622" s="299"/>
      <c r="I622" s="300"/>
    </row>
    <row r="623" spans="2:9" s="580" customFormat="1" ht="14.1" customHeight="1">
      <c r="B623" s="589"/>
      <c r="C623" s="298"/>
      <c r="D623" s="289" t="s">
        <v>26</v>
      </c>
      <c r="E623" s="285" t="s">
        <v>22</v>
      </c>
      <c r="F623" s="285" t="s">
        <v>726</v>
      </c>
      <c r="G623" s="286">
        <v>3.3000000000000002E-2</v>
      </c>
      <c r="H623" s="299"/>
      <c r="I623" s="300"/>
    </row>
    <row r="624" spans="2:9" s="580" customFormat="1" ht="14.1" customHeight="1">
      <c r="B624" s="589"/>
      <c r="C624" s="298"/>
      <c r="D624" s="289" t="s">
        <v>148</v>
      </c>
      <c r="E624" s="285" t="s">
        <v>22</v>
      </c>
      <c r="F624" s="285" t="s">
        <v>726</v>
      </c>
      <c r="G624" s="286">
        <v>3.3000000000000002E-2</v>
      </c>
      <c r="H624" s="299"/>
      <c r="I624" s="300"/>
    </row>
    <row r="625" spans="2:9" s="580" customFormat="1" ht="14.1" customHeight="1">
      <c r="B625" s="589"/>
      <c r="C625" s="298"/>
      <c r="D625" s="289" t="s">
        <v>20</v>
      </c>
      <c r="E625" s="285" t="s">
        <v>21</v>
      </c>
      <c r="F625" s="285" t="s">
        <v>726</v>
      </c>
      <c r="G625" s="286">
        <v>0.01</v>
      </c>
      <c r="H625" s="299"/>
      <c r="I625" s="300"/>
    </row>
    <row r="626" spans="2:9" s="580" customFormat="1" ht="14.1" customHeight="1">
      <c r="B626" s="589"/>
      <c r="C626" s="301"/>
      <c r="D626" s="177" t="s">
        <v>11</v>
      </c>
      <c r="E626" s="287" t="s">
        <v>17</v>
      </c>
      <c r="F626" s="287" t="s">
        <v>726</v>
      </c>
      <c r="G626" s="288">
        <v>1.4999999999999999E-2</v>
      </c>
      <c r="H626" s="302"/>
      <c r="I626" s="303"/>
    </row>
    <row r="627" spans="2:9" s="580" customFormat="1" ht="14.1" customHeight="1">
      <c r="B627" s="589"/>
      <c r="C627" s="609"/>
      <c r="D627" s="316"/>
      <c r="E627" s="593"/>
      <c r="F627" s="593"/>
      <c r="G627" s="1163" t="s">
        <v>727</v>
      </c>
      <c r="H627" s="1164"/>
      <c r="I627" s="584"/>
    </row>
    <row r="628" spans="2:9" s="580" customFormat="1" ht="14.1" customHeight="1">
      <c r="B628" s="589"/>
      <c r="C628" s="292" t="s">
        <v>8</v>
      </c>
      <c r="D628" s="575" t="s">
        <v>811</v>
      </c>
      <c r="E628" s="585"/>
      <c r="F628" s="585"/>
      <c r="G628" s="296"/>
      <c r="H628" s="296"/>
      <c r="I628" s="297"/>
    </row>
    <row r="629" spans="2:9" s="580" customFormat="1" ht="14.1" customHeight="1">
      <c r="B629" s="589"/>
      <c r="C629" s="298"/>
      <c r="D629" s="289" t="s">
        <v>291</v>
      </c>
      <c r="E629" s="581"/>
      <c r="F629" s="581" t="s">
        <v>750</v>
      </c>
      <c r="G629" s="286">
        <v>3.0000000000000001E-3</v>
      </c>
      <c r="H629" s="299"/>
      <c r="I629" s="300"/>
    </row>
    <row r="630" spans="2:9" s="580" customFormat="1" ht="14.1" customHeight="1">
      <c r="B630" s="589"/>
      <c r="C630" s="298"/>
      <c r="D630" s="289" t="s">
        <v>1057</v>
      </c>
      <c r="E630" s="581"/>
      <c r="F630" s="285" t="s">
        <v>56</v>
      </c>
      <c r="G630" s="286">
        <v>0.02</v>
      </c>
      <c r="H630" s="299"/>
      <c r="I630" s="300"/>
    </row>
    <row r="631" spans="2:9" s="580" customFormat="1" ht="14.1" customHeight="1">
      <c r="B631" s="589"/>
      <c r="C631" s="298"/>
      <c r="D631" s="289" t="s">
        <v>292</v>
      </c>
      <c r="E631" s="581"/>
      <c r="F631" s="285" t="s">
        <v>275</v>
      </c>
      <c r="G631" s="299"/>
      <c r="H631" s="299"/>
      <c r="I631" s="300"/>
    </row>
    <row r="632" spans="2:9" s="580" customFormat="1" ht="14.1" customHeight="1">
      <c r="B632" s="589"/>
      <c r="C632" s="298"/>
      <c r="D632" s="289" t="s">
        <v>293</v>
      </c>
      <c r="E632" s="581"/>
      <c r="F632" s="285" t="s">
        <v>56</v>
      </c>
      <c r="G632" s="286">
        <v>3.6</v>
      </c>
      <c r="H632" s="299"/>
      <c r="I632" s="300"/>
    </row>
    <row r="633" spans="2:9" s="580" customFormat="1" ht="14.1" customHeight="1">
      <c r="B633" s="589"/>
      <c r="C633" s="298"/>
      <c r="D633" s="289" t="s">
        <v>214</v>
      </c>
      <c r="E633" s="581"/>
      <c r="F633" s="285" t="s">
        <v>56</v>
      </c>
      <c r="G633" s="286">
        <v>0.05</v>
      </c>
      <c r="H633" s="299"/>
      <c r="I633" s="300"/>
    </row>
    <row r="634" spans="2:9" s="580" customFormat="1" ht="14.1" customHeight="1">
      <c r="B634" s="589"/>
      <c r="C634" s="298"/>
      <c r="D634" s="289" t="s">
        <v>806</v>
      </c>
      <c r="E634" s="581"/>
      <c r="F634" s="285" t="s">
        <v>56</v>
      </c>
      <c r="G634" s="286">
        <v>5.5</v>
      </c>
      <c r="H634" s="299"/>
      <c r="I634" s="300"/>
    </row>
    <row r="635" spans="2:9" s="580" customFormat="1" ht="14.1" customHeight="1">
      <c r="B635" s="589"/>
      <c r="C635" s="298"/>
      <c r="D635" s="289" t="s">
        <v>144</v>
      </c>
      <c r="E635" s="581"/>
      <c r="F635" s="581" t="s">
        <v>750</v>
      </c>
      <c r="G635" s="286">
        <v>8.9999999999999993E-3</v>
      </c>
      <c r="H635" s="299"/>
      <c r="I635" s="300"/>
    </row>
    <row r="636" spans="2:9" s="580" customFormat="1" ht="14.1" customHeight="1">
      <c r="B636" s="589"/>
      <c r="C636" s="301"/>
      <c r="D636" s="177" t="s">
        <v>138</v>
      </c>
      <c r="E636" s="586"/>
      <c r="F636" s="586" t="s">
        <v>750</v>
      </c>
      <c r="G636" s="288">
        <v>1.4999999999999999E-2</v>
      </c>
      <c r="H636" s="302"/>
      <c r="I636" s="303"/>
    </row>
    <row r="637" spans="2:9" s="580" customFormat="1" ht="14.1" customHeight="1">
      <c r="B637" s="589"/>
      <c r="C637" s="609"/>
      <c r="D637" s="316"/>
      <c r="E637" s="593"/>
      <c r="F637" s="593"/>
      <c r="G637" s="1204" t="s">
        <v>728</v>
      </c>
      <c r="H637" s="1204"/>
      <c r="I637" s="297"/>
    </row>
    <row r="638" spans="2:9" s="580" customFormat="1" ht="14.1" customHeight="1">
      <c r="B638" s="589"/>
      <c r="C638" s="603" t="s">
        <v>9</v>
      </c>
      <c r="D638" s="577" t="s">
        <v>815</v>
      </c>
      <c r="E638" s="594"/>
      <c r="F638" s="594"/>
      <c r="G638" s="587"/>
      <c r="H638" s="587"/>
      <c r="I638" s="584"/>
    </row>
    <row r="639" spans="2:9" s="580" customFormat="1" ht="14.1" customHeight="1">
      <c r="B639" s="589"/>
      <c r="C639" s="1132"/>
      <c r="D639" s="1133"/>
      <c r="E639" s="1133"/>
      <c r="F639" s="1165"/>
      <c r="G639" s="1154" t="s">
        <v>729</v>
      </c>
      <c r="H639" s="1154"/>
      <c r="I639" s="584"/>
    </row>
    <row r="640" spans="2:9" s="580" customFormat="1" ht="14.1" customHeight="1">
      <c r="B640" s="589"/>
      <c r="C640" s="574" t="s">
        <v>12</v>
      </c>
      <c r="D640" s="1125" t="s">
        <v>730</v>
      </c>
      <c r="E640" s="1160"/>
      <c r="F640" s="1160"/>
      <c r="G640" s="1160"/>
      <c r="H640" s="1160"/>
      <c r="I640" s="305"/>
    </row>
    <row r="641" spans="2:11" s="580" customFormat="1" ht="14.1" customHeight="1">
      <c r="B641" s="589"/>
      <c r="C641" s="290" t="s">
        <v>13</v>
      </c>
      <c r="D641" s="1116" t="s">
        <v>816</v>
      </c>
      <c r="E641" s="1117"/>
      <c r="F641" s="1118"/>
      <c r="G641" s="1113" t="s">
        <v>740</v>
      </c>
      <c r="H641" s="1114"/>
      <c r="I641" s="306"/>
    </row>
    <row r="642" spans="2:11" s="580" customFormat="1" ht="14.1" customHeight="1" thickBot="1">
      <c r="B642" s="589"/>
      <c r="C642" s="291" t="s">
        <v>14</v>
      </c>
      <c r="D642" s="1119" t="s">
        <v>817</v>
      </c>
      <c r="E642" s="1120"/>
      <c r="F642" s="1120"/>
      <c r="G642" s="1120"/>
      <c r="H642" s="1120"/>
      <c r="I642" s="307"/>
    </row>
    <row r="643" spans="2:11" s="580" customFormat="1" ht="14.1" customHeight="1">
      <c r="B643" s="589"/>
      <c r="C643" s="953"/>
      <c r="D643" s="952"/>
      <c r="E643" s="952"/>
      <c r="F643" s="952"/>
      <c r="G643" s="952"/>
      <c r="H643" s="952"/>
      <c r="I643" s="316"/>
    </row>
    <row r="644" spans="2:11" s="562" customFormat="1" ht="13.5" thickBot="1">
      <c r="B644" s="283">
        <v>30</v>
      </c>
      <c r="C644" s="652" t="str">
        <f>REKAP!E136</f>
        <v>Pekerjaan Plat Bondex</v>
      </c>
      <c r="E644" s="685"/>
      <c r="F644" s="283"/>
      <c r="G644" s="612"/>
      <c r="H644" s="565"/>
      <c r="I644" s="565"/>
      <c r="K644" s="562" t="s">
        <v>75</v>
      </c>
    </row>
    <row r="645" spans="2:11">
      <c r="C645" s="1069" t="s">
        <v>0</v>
      </c>
      <c r="D645" s="1071" t="s">
        <v>1</v>
      </c>
      <c r="E645" s="1190" t="s">
        <v>2</v>
      </c>
      <c r="F645" s="1071" t="s">
        <v>3</v>
      </c>
      <c r="G645" s="1185" t="s">
        <v>4</v>
      </c>
      <c r="H645" s="550" t="s">
        <v>5</v>
      </c>
      <c r="I645" s="555" t="s">
        <v>59</v>
      </c>
    </row>
    <row r="646" spans="2:11" ht="13.5" thickBot="1">
      <c r="C646" s="1070"/>
      <c r="D646" s="1072"/>
      <c r="E646" s="1191"/>
      <c r="F646" s="1072"/>
      <c r="G646" s="1186"/>
      <c r="H646" s="551" t="s">
        <v>6</v>
      </c>
      <c r="I646" s="556" t="s">
        <v>6</v>
      </c>
    </row>
    <row r="647" spans="2:11" ht="14.1" customHeight="1">
      <c r="C647" s="16" t="s">
        <v>7</v>
      </c>
      <c r="D647" s="17" t="s">
        <v>74</v>
      </c>
      <c r="E647" s="26"/>
      <c r="F647" s="19"/>
      <c r="G647" s="57"/>
      <c r="H647" s="529"/>
      <c r="I647" s="557"/>
    </row>
    <row r="648" spans="2:11" ht="14.1" customHeight="1">
      <c r="C648" s="16">
        <v>1</v>
      </c>
      <c r="D648" s="17" t="s">
        <v>10</v>
      </c>
      <c r="E648" s="26"/>
      <c r="F648" s="19" t="s">
        <v>66</v>
      </c>
      <c r="G648" s="97">
        <v>0.17</v>
      </c>
      <c r="H648" s="529"/>
      <c r="I648" s="917"/>
    </row>
    <row r="649" spans="2:11" ht="14.1" customHeight="1">
      <c r="C649" s="16">
        <v>2</v>
      </c>
      <c r="D649" s="17" t="s">
        <v>276</v>
      </c>
      <c r="E649" s="26"/>
      <c r="F649" s="19" t="s">
        <v>66</v>
      </c>
      <c r="G649" s="97">
        <v>0.08</v>
      </c>
      <c r="H649" s="529"/>
      <c r="I649" s="917"/>
    </row>
    <row r="650" spans="2:11" ht="14.1" customHeight="1">
      <c r="C650" s="16">
        <v>3</v>
      </c>
      <c r="D650" s="17" t="s">
        <v>277</v>
      </c>
      <c r="E650" s="26"/>
      <c r="F650" s="19" t="s">
        <v>66</v>
      </c>
      <c r="G650" s="97">
        <v>0.01</v>
      </c>
      <c r="H650" s="529"/>
      <c r="I650" s="918">
        <f>G650*H650</f>
        <v>0</v>
      </c>
    </row>
    <row r="651" spans="2:11" ht="14.1" customHeight="1">
      <c r="C651" s="16">
        <v>4</v>
      </c>
      <c r="D651" s="17" t="s">
        <v>11</v>
      </c>
      <c r="E651" s="26"/>
      <c r="F651" s="19" t="s">
        <v>66</v>
      </c>
      <c r="G651" s="100">
        <v>0.01</v>
      </c>
      <c r="H651" s="529"/>
      <c r="I651" s="918">
        <f>G651*H651</f>
        <v>0</v>
      </c>
    </row>
    <row r="652" spans="2:11" ht="14.1" customHeight="1">
      <c r="C652" s="1099" t="s">
        <v>60</v>
      </c>
      <c r="D652" s="1100"/>
      <c r="E652" s="1100"/>
      <c r="F652" s="1100"/>
      <c r="G652" s="1100"/>
      <c r="H652" s="1101"/>
      <c r="I652" s="919">
        <f>SUM(I647:I651)</f>
        <v>0</v>
      </c>
    </row>
    <row r="653" spans="2:11" ht="14.1" customHeight="1">
      <c r="C653" s="16" t="s">
        <v>8</v>
      </c>
      <c r="D653" s="17" t="s">
        <v>61</v>
      </c>
      <c r="E653" s="26"/>
      <c r="F653" s="22"/>
      <c r="G653" s="58"/>
      <c r="H653" s="552"/>
      <c r="I653" s="917"/>
    </row>
    <row r="654" spans="2:11" ht="14.1" customHeight="1">
      <c r="C654" s="16">
        <v>1</v>
      </c>
      <c r="D654" s="65" t="s">
        <v>278</v>
      </c>
      <c r="E654" s="26"/>
      <c r="F654" s="69" t="s">
        <v>71</v>
      </c>
      <c r="G654" s="97">
        <v>1</v>
      </c>
      <c r="H654" s="552"/>
      <c r="I654" s="918">
        <f>G654*H654</f>
        <v>0</v>
      </c>
    </row>
    <row r="655" spans="2:11" ht="14.1" customHeight="1">
      <c r="C655" s="16">
        <v>2</v>
      </c>
      <c r="D655" s="65" t="s">
        <v>279</v>
      </c>
      <c r="E655" s="26"/>
      <c r="F655" s="69" t="s">
        <v>280</v>
      </c>
      <c r="G655" s="97">
        <v>0.1</v>
      </c>
      <c r="H655" s="552"/>
      <c r="I655" s="918"/>
    </row>
    <row r="656" spans="2:11" ht="14.1" customHeight="1">
      <c r="C656" s="1099" t="s">
        <v>18</v>
      </c>
      <c r="D656" s="1100"/>
      <c r="E656" s="1100"/>
      <c r="F656" s="1100"/>
      <c r="G656" s="1100"/>
      <c r="H656" s="1101"/>
      <c r="I656" s="919">
        <f>SUM(I653:I655)</f>
        <v>0</v>
      </c>
    </row>
    <row r="657" spans="2:11" ht="14.1" customHeight="1">
      <c r="C657" s="16" t="s">
        <v>9</v>
      </c>
      <c r="D657" s="17" t="s">
        <v>62</v>
      </c>
      <c r="E657" s="74"/>
      <c r="F657" s="54"/>
      <c r="G657" s="60"/>
      <c r="H657" s="553"/>
      <c r="I657" s="917"/>
    </row>
    <row r="658" spans="2:11" ht="14.1" customHeight="1">
      <c r="C658" s="16"/>
      <c r="D658" s="17"/>
      <c r="E658" s="26"/>
      <c r="F658" s="22"/>
      <c r="G658" s="59"/>
      <c r="H658" s="529"/>
      <c r="I658" s="918">
        <f>G658*H658</f>
        <v>0</v>
      </c>
    </row>
    <row r="659" spans="2:11" ht="14.1" customHeight="1">
      <c r="C659" s="1099" t="s">
        <v>63</v>
      </c>
      <c r="D659" s="1100"/>
      <c r="E659" s="1100"/>
      <c r="F659" s="1100"/>
      <c r="G659" s="1100"/>
      <c r="H659" s="1101"/>
      <c r="I659" s="919">
        <f>SUM(I657:I658)</f>
        <v>0</v>
      </c>
    </row>
    <row r="660" spans="2:11" ht="14.1" customHeight="1">
      <c r="C660" s="310" t="s">
        <v>12</v>
      </c>
      <c r="D660" s="1102" t="s">
        <v>64</v>
      </c>
      <c r="E660" s="1103"/>
      <c r="F660" s="1103"/>
      <c r="G660" s="1103"/>
      <c r="H660" s="1104"/>
      <c r="I660" s="919">
        <f>I652+I656+I659</f>
        <v>0</v>
      </c>
    </row>
    <row r="661" spans="2:11" ht="14.1" customHeight="1">
      <c r="C661" s="312" t="s">
        <v>13</v>
      </c>
      <c r="D661" s="1105" t="s">
        <v>65</v>
      </c>
      <c r="E661" s="1106"/>
      <c r="F661" s="1107"/>
      <c r="G661" s="34"/>
      <c r="H661" s="554">
        <f>I660</f>
        <v>0</v>
      </c>
      <c r="I661" s="920">
        <f>G661*H661</f>
        <v>0</v>
      </c>
    </row>
    <row r="662" spans="2:11" ht="14.1" customHeight="1" thickBot="1">
      <c r="C662" s="311" t="s">
        <v>14</v>
      </c>
      <c r="D662" s="1096" t="s">
        <v>73</v>
      </c>
      <c r="E662" s="1097"/>
      <c r="F662" s="1097"/>
      <c r="G662" s="1097"/>
      <c r="H662" s="1098"/>
      <c r="I662" s="921">
        <f>I660+I661</f>
        <v>0</v>
      </c>
    </row>
    <row r="663" spans="2:11" ht="14.1" customHeight="1"/>
    <row r="664" spans="2:11" s="277" customFormat="1" ht="13.5" thickBot="1">
      <c r="B664" s="283">
        <v>31</v>
      </c>
      <c r="C664" s="652" t="str">
        <f>REKAP!E144</f>
        <v>Stutwerk untuk 1m³ beton, tinggi 3-4 m (memakai scafolding) sistem bondex</v>
      </c>
      <c r="D664" s="615"/>
      <c r="E664" s="686"/>
      <c r="F664" s="686"/>
      <c r="G664" s="615"/>
      <c r="H664" s="549"/>
      <c r="I664" s="549"/>
      <c r="K664" s="277" t="s">
        <v>75</v>
      </c>
    </row>
    <row r="665" spans="2:11">
      <c r="C665" s="1069" t="s">
        <v>0</v>
      </c>
      <c r="D665" s="1071" t="s">
        <v>1</v>
      </c>
      <c r="E665" s="1190" t="s">
        <v>2</v>
      </c>
      <c r="F665" s="1071" t="s">
        <v>3</v>
      </c>
      <c r="G665" s="1185" t="s">
        <v>4</v>
      </c>
      <c r="H665" s="550" t="s">
        <v>5</v>
      </c>
      <c r="I665" s="555" t="s">
        <v>59</v>
      </c>
    </row>
    <row r="666" spans="2:11" ht="13.5" thickBot="1">
      <c r="C666" s="1070"/>
      <c r="D666" s="1072"/>
      <c r="E666" s="1191"/>
      <c r="F666" s="1072"/>
      <c r="G666" s="1186"/>
      <c r="H666" s="551" t="s">
        <v>6</v>
      </c>
      <c r="I666" s="556" t="s">
        <v>6</v>
      </c>
    </row>
    <row r="667" spans="2:11" ht="14.1" customHeight="1">
      <c r="C667" s="16" t="s">
        <v>7</v>
      </c>
      <c r="D667" s="17" t="s">
        <v>74</v>
      </c>
      <c r="E667" s="26"/>
      <c r="F667" s="19"/>
      <c r="G667" s="57"/>
      <c r="H667" s="529"/>
      <c r="I667" s="557"/>
    </row>
    <row r="668" spans="2:11" ht="14.1" customHeight="1">
      <c r="C668" s="16">
        <v>1</v>
      </c>
      <c r="D668" s="17" t="s">
        <v>10</v>
      </c>
      <c r="E668" s="26"/>
      <c r="F668" s="19" t="s">
        <v>66</v>
      </c>
      <c r="G668" s="97">
        <v>2.2000000000000002</v>
      </c>
      <c r="H668" s="529"/>
      <c r="I668" s="557"/>
    </row>
    <row r="669" spans="2:11" ht="14.1" customHeight="1">
      <c r="C669" s="16">
        <v>2</v>
      </c>
      <c r="D669" s="17" t="s">
        <v>26</v>
      </c>
      <c r="E669" s="26"/>
      <c r="F669" s="19" t="s">
        <v>66</v>
      </c>
      <c r="G669" s="97">
        <v>3.5</v>
      </c>
      <c r="H669" s="529"/>
      <c r="I669" s="917"/>
    </row>
    <row r="670" spans="2:11" ht="14.1" customHeight="1">
      <c r="C670" s="16">
        <v>3</v>
      </c>
      <c r="D670" s="17" t="s">
        <v>281</v>
      </c>
      <c r="E670" s="26"/>
      <c r="F670" s="19" t="s">
        <v>66</v>
      </c>
      <c r="G670" s="97">
        <v>0.35</v>
      </c>
      <c r="H670" s="529"/>
      <c r="I670" s="918">
        <f>G670*H670</f>
        <v>0</v>
      </c>
    </row>
    <row r="671" spans="2:11" ht="14.1" customHeight="1">
      <c r="C671" s="16">
        <v>4</v>
      </c>
      <c r="D671" s="17" t="s">
        <v>11</v>
      </c>
      <c r="E671" s="26"/>
      <c r="F671" s="19" t="s">
        <v>66</v>
      </c>
      <c r="G671" s="100">
        <v>0.12</v>
      </c>
      <c r="H671" s="529"/>
      <c r="I671" s="918">
        <f>G671*H671</f>
        <v>0</v>
      </c>
    </row>
    <row r="672" spans="2:11" ht="14.1" customHeight="1">
      <c r="C672" s="1099" t="s">
        <v>60</v>
      </c>
      <c r="D672" s="1100"/>
      <c r="E672" s="1100"/>
      <c r="F672" s="1100"/>
      <c r="G672" s="1100"/>
      <c r="H672" s="1101"/>
      <c r="I672" s="919">
        <f>SUM(I667:I671)</f>
        <v>0</v>
      </c>
    </row>
    <row r="673" spans="2:11" ht="14.1" customHeight="1">
      <c r="C673" s="16" t="s">
        <v>8</v>
      </c>
      <c r="D673" s="17" t="s">
        <v>61</v>
      </c>
      <c r="E673" s="26"/>
      <c r="F673" s="22"/>
      <c r="G673" s="58"/>
      <c r="H673" s="552"/>
      <c r="I673" s="917"/>
    </row>
    <row r="674" spans="2:11" ht="14.1" customHeight="1">
      <c r="C674" s="16">
        <v>1</v>
      </c>
      <c r="D674" s="65" t="s">
        <v>282</v>
      </c>
      <c r="E674" s="26"/>
      <c r="F674" s="69" t="s">
        <v>285</v>
      </c>
      <c r="G674" s="103">
        <v>10</v>
      </c>
      <c r="H674" s="552"/>
      <c r="I674" s="918">
        <f>G674*H674</f>
        <v>0</v>
      </c>
    </row>
    <row r="675" spans="2:11" ht="14.1" customHeight="1">
      <c r="C675" s="16">
        <v>2</v>
      </c>
      <c r="D675" s="65" t="s">
        <v>283</v>
      </c>
      <c r="E675" s="26"/>
      <c r="F675" s="69" t="s">
        <v>19</v>
      </c>
      <c r="G675" s="103">
        <v>4.2000000000000003E-2</v>
      </c>
      <c r="H675" s="552"/>
      <c r="I675" s="918"/>
    </row>
    <row r="676" spans="2:11" ht="14.1" customHeight="1">
      <c r="C676" s="16">
        <v>3</v>
      </c>
      <c r="D676" s="66" t="s">
        <v>284</v>
      </c>
      <c r="E676" s="26"/>
      <c r="F676" s="69" t="s">
        <v>19</v>
      </c>
      <c r="G676" s="103">
        <v>2.4E-2</v>
      </c>
      <c r="H676" s="552"/>
      <c r="I676" s="918">
        <f>G676*H676</f>
        <v>0</v>
      </c>
    </row>
    <row r="677" spans="2:11" ht="14.1" customHeight="1">
      <c r="C677" s="1099" t="s">
        <v>18</v>
      </c>
      <c r="D677" s="1100"/>
      <c r="E677" s="1100"/>
      <c r="F677" s="1100"/>
      <c r="G677" s="1100"/>
      <c r="H677" s="1101"/>
      <c r="I677" s="919">
        <f>SUM(I673:I676)</f>
        <v>0</v>
      </c>
    </row>
    <row r="678" spans="2:11" ht="14.1" customHeight="1">
      <c r="C678" s="16" t="s">
        <v>9</v>
      </c>
      <c r="D678" s="17" t="s">
        <v>62</v>
      </c>
      <c r="E678" s="74"/>
      <c r="F678" s="54"/>
      <c r="G678" s="60"/>
      <c r="H678" s="553"/>
      <c r="I678" s="917"/>
    </row>
    <row r="679" spans="2:11" ht="14.1" customHeight="1">
      <c r="C679" s="16"/>
      <c r="D679" s="17"/>
      <c r="E679" s="26"/>
      <c r="F679" s="22"/>
      <c r="G679" s="59"/>
      <c r="H679" s="529"/>
      <c r="I679" s="918">
        <f>G679*H679</f>
        <v>0</v>
      </c>
    </row>
    <row r="680" spans="2:11" ht="14.1" customHeight="1">
      <c r="C680" s="1099" t="s">
        <v>63</v>
      </c>
      <c r="D680" s="1100"/>
      <c r="E680" s="1100"/>
      <c r="F680" s="1100"/>
      <c r="G680" s="1100"/>
      <c r="H680" s="1101"/>
      <c r="I680" s="919">
        <f>SUM(I678:I679)</f>
        <v>0</v>
      </c>
    </row>
    <row r="681" spans="2:11" ht="14.1" customHeight="1">
      <c r="C681" s="310" t="s">
        <v>12</v>
      </c>
      <c r="D681" s="1102" t="s">
        <v>64</v>
      </c>
      <c r="E681" s="1103"/>
      <c r="F681" s="1103"/>
      <c r="G681" s="1103"/>
      <c r="H681" s="1104"/>
      <c r="I681" s="919">
        <f>I672+I677+I680</f>
        <v>0</v>
      </c>
    </row>
    <row r="682" spans="2:11" ht="14.1" customHeight="1">
      <c r="C682" s="312" t="s">
        <v>13</v>
      </c>
      <c r="D682" s="1105" t="s">
        <v>65</v>
      </c>
      <c r="E682" s="1106"/>
      <c r="F682" s="1107"/>
      <c r="G682" s="34"/>
      <c r="H682" s="554">
        <f>I681</f>
        <v>0</v>
      </c>
      <c r="I682" s="920">
        <f>G682*H682</f>
        <v>0</v>
      </c>
    </row>
    <row r="683" spans="2:11" ht="14.1" customHeight="1" thickBot="1">
      <c r="C683" s="311" t="s">
        <v>14</v>
      </c>
      <c r="D683" s="1096" t="s">
        <v>73</v>
      </c>
      <c r="E683" s="1097"/>
      <c r="F683" s="1097"/>
      <c r="G683" s="1097"/>
      <c r="H683" s="1098"/>
      <c r="I683" s="921">
        <f>I681+I682</f>
        <v>0</v>
      </c>
    </row>
    <row r="684" spans="2:11" ht="14.1" customHeight="1"/>
    <row r="685" spans="2:11" s="277" customFormat="1" ht="13.5" thickBot="1">
      <c r="B685" s="283">
        <v>32</v>
      </c>
      <c r="C685" s="613" t="str">
        <f>REKAP!E145</f>
        <v>Pekerjaan Beton K225, Plat Lantai tbl. 12 cm, besi ø6 1x lapis (Sistem Bondex)</v>
      </c>
      <c r="D685" s="613"/>
      <c r="E685" s="687"/>
      <c r="F685" s="687"/>
      <c r="G685" s="613"/>
      <c r="H685" s="565"/>
      <c r="I685" s="565"/>
      <c r="K685" s="277" t="s">
        <v>75</v>
      </c>
    </row>
    <row r="686" spans="2:11">
      <c r="C686" s="1069" t="s">
        <v>0</v>
      </c>
      <c r="D686" s="1071" t="s">
        <v>1</v>
      </c>
      <c r="E686" s="1190" t="s">
        <v>2</v>
      </c>
      <c r="F686" s="1071" t="s">
        <v>3</v>
      </c>
      <c r="G686" s="1185" t="s">
        <v>4</v>
      </c>
      <c r="H686" s="550" t="s">
        <v>5</v>
      </c>
      <c r="I686" s="555" t="s">
        <v>59</v>
      </c>
    </row>
    <row r="687" spans="2:11" ht="13.5" thickBot="1">
      <c r="C687" s="1070"/>
      <c r="D687" s="1072"/>
      <c r="E687" s="1191"/>
      <c r="F687" s="1072"/>
      <c r="G687" s="1186"/>
      <c r="H687" s="551" t="s">
        <v>6</v>
      </c>
      <c r="I687" s="556" t="s">
        <v>6</v>
      </c>
    </row>
    <row r="688" spans="2:11" ht="14.1" customHeight="1">
      <c r="C688" s="16" t="s">
        <v>7</v>
      </c>
      <c r="D688" s="17" t="s">
        <v>74</v>
      </c>
      <c r="E688" s="26"/>
      <c r="F688" s="19"/>
      <c r="G688" s="57"/>
      <c r="H688" s="529"/>
      <c r="I688" s="557"/>
    </row>
    <row r="689" spans="3:9" ht="14.1" customHeight="1">
      <c r="C689" s="16"/>
      <c r="D689" s="17"/>
      <c r="E689" s="26"/>
      <c r="F689" s="19"/>
      <c r="G689" s="97"/>
      <c r="H689" s="529"/>
      <c r="I689" s="918">
        <f>G689*H689</f>
        <v>0</v>
      </c>
    </row>
    <row r="690" spans="3:9" ht="14.1" customHeight="1">
      <c r="C690" s="16"/>
      <c r="D690" s="17"/>
      <c r="E690" s="26"/>
      <c r="F690" s="19"/>
      <c r="G690" s="100"/>
      <c r="H690" s="529"/>
      <c r="I690" s="918">
        <f>G690*H690</f>
        <v>0</v>
      </c>
    </row>
    <row r="691" spans="3:9" ht="14.1" customHeight="1">
      <c r="C691" s="1099" t="s">
        <v>60</v>
      </c>
      <c r="D691" s="1100"/>
      <c r="E691" s="1100"/>
      <c r="F691" s="1100"/>
      <c r="G691" s="1100"/>
      <c r="H691" s="1101"/>
      <c r="I691" s="919">
        <f>SUM(I688:I690)</f>
        <v>0</v>
      </c>
    </row>
    <row r="692" spans="3:9" ht="14.1" customHeight="1">
      <c r="C692" s="16" t="s">
        <v>8</v>
      </c>
      <c r="D692" s="17" t="s">
        <v>61</v>
      </c>
      <c r="E692" s="26"/>
      <c r="F692" s="22"/>
      <c r="G692" s="58"/>
      <c r="H692" s="552"/>
      <c r="I692" s="917"/>
    </row>
    <row r="693" spans="3:9" ht="14.1" customHeight="1">
      <c r="C693" s="64">
        <v>1</v>
      </c>
      <c r="D693" s="68" t="s">
        <v>286</v>
      </c>
      <c r="E693" s="26"/>
      <c r="F693" s="104" t="s">
        <v>19</v>
      </c>
      <c r="G693" s="103">
        <v>1</v>
      </c>
      <c r="H693" s="552"/>
      <c r="I693" s="918">
        <f>G693*H693</f>
        <v>0</v>
      </c>
    </row>
    <row r="694" spans="3:9" ht="14.1" customHeight="1">
      <c r="C694" s="16">
        <v>2</v>
      </c>
      <c r="D694" s="65" t="s">
        <v>287</v>
      </c>
      <c r="E694" s="26"/>
      <c r="F694" s="69" t="s">
        <v>71</v>
      </c>
      <c r="G694" s="103">
        <v>8.8544</v>
      </c>
      <c r="H694" s="552"/>
      <c r="I694" s="918"/>
    </row>
    <row r="695" spans="3:9" ht="14.1" customHeight="1">
      <c r="C695" s="16">
        <v>3</v>
      </c>
      <c r="D695" s="66" t="s">
        <v>288</v>
      </c>
      <c r="E695" s="26"/>
      <c r="F695" s="69" t="s">
        <v>56</v>
      </c>
      <c r="G695" s="103">
        <v>27.13</v>
      </c>
      <c r="H695" s="552"/>
      <c r="I695" s="918">
        <f>G695*H695</f>
        <v>0</v>
      </c>
    </row>
    <row r="696" spans="3:9" ht="14.1" customHeight="1">
      <c r="C696" s="16">
        <v>4</v>
      </c>
      <c r="D696" s="66" t="s">
        <v>289</v>
      </c>
      <c r="E696" s="26"/>
      <c r="F696" s="69" t="s">
        <v>285</v>
      </c>
      <c r="G696" s="103">
        <v>1</v>
      </c>
      <c r="H696" s="552"/>
      <c r="I696" s="918"/>
    </row>
    <row r="697" spans="3:9" ht="14.1" customHeight="1">
      <c r="C697" s="16">
        <v>5</v>
      </c>
      <c r="D697" s="70" t="s">
        <v>290</v>
      </c>
      <c r="E697" s="26"/>
      <c r="F697" s="71" t="s">
        <v>285</v>
      </c>
      <c r="G697" s="100">
        <v>1</v>
      </c>
      <c r="H697" s="552"/>
      <c r="I697" s="918">
        <f>G697*H697</f>
        <v>0</v>
      </c>
    </row>
    <row r="698" spans="3:9" ht="14.1" customHeight="1">
      <c r="C698" s="1099" t="s">
        <v>18</v>
      </c>
      <c r="D698" s="1100"/>
      <c r="E698" s="1100"/>
      <c r="F698" s="1100"/>
      <c r="G698" s="1100"/>
      <c r="H698" s="1101"/>
      <c r="I698" s="919">
        <f>SUM(I692:I697)</f>
        <v>0</v>
      </c>
    </row>
    <row r="699" spans="3:9" ht="14.1" customHeight="1">
      <c r="C699" s="16" t="s">
        <v>9</v>
      </c>
      <c r="D699" s="17" t="s">
        <v>62</v>
      </c>
      <c r="E699" s="74"/>
      <c r="F699" s="54"/>
      <c r="G699" s="60"/>
      <c r="H699" s="553"/>
      <c r="I699" s="917"/>
    </row>
    <row r="700" spans="3:9" ht="14.1" customHeight="1">
      <c r="C700" s="16"/>
      <c r="D700" s="17"/>
      <c r="E700" s="26"/>
      <c r="F700" s="22"/>
      <c r="G700" s="59"/>
      <c r="H700" s="529"/>
      <c r="I700" s="918">
        <f>G700*H700</f>
        <v>0</v>
      </c>
    </row>
    <row r="701" spans="3:9" ht="14.1" customHeight="1">
      <c r="C701" s="1099" t="s">
        <v>63</v>
      </c>
      <c r="D701" s="1100"/>
      <c r="E701" s="1100"/>
      <c r="F701" s="1100"/>
      <c r="G701" s="1100"/>
      <c r="H701" s="1101"/>
      <c r="I701" s="919">
        <f>SUM(I699:I700)</f>
        <v>0</v>
      </c>
    </row>
    <row r="702" spans="3:9" ht="14.1" customHeight="1">
      <c r="C702" s="310" t="s">
        <v>12</v>
      </c>
      <c r="D702" s="1102" t="s">
        <v>64</v>
      </c>
      <c r="E702" s="1103"/>
      <c r="F702" s="1103"/>
      <c r="G702" s="1103"/>
      <c r="H702" s="1104"/>
      <c r="I702" s="919">
        <f>I691+I698+I701</f>
        <v>0</v>
      </c>
    </row>
    <row r="703" spans="3:9" ht="14.1" customHeight="1">
      <c r="C703" s="312" t="s">
        <v>13</v>
      </c>
      <c r="D703" s="1105" t="s">
        <v>65</v>
      </c>
      <c r="E703" s="1106"/>
      <c r="F703" s="1107"/>
      <c r="G703" s="34"/>
      <c r="H703" s="554">
        <f>I702</f>
        <v>0</v>
      </c>
      <c r="I703" s="920">
        <f>G703*H703</f>
        <v>0</v>
      </c>
    </row>
    <row r="704" spans="3:9" ht="14.1" customHeight="1" thickBot="1">
      <c r="C704" s="311" t="s">
        <v>14</v>
      </c>
      <c r="D704" s="1096" t="s">
        <v>73</v>
      </c>
      <c r="E704" s="1097"/>
      <c r="F704" s="1097"/>
      <c r="G704" s="1097"/>
      <c r="H704" s="1098"/>
      <c r="I704" s="921">
        <f>I702+I703</f>
        <v>0</v>
      </c>
    </row>
    <row r="705" spans="2:11" ht="14.1" customHeight="1"/>
    <row r="706" spans="2:11" s="277" customFormat="1" ht="13.5" thickBot="1">
      <c r="B706" s="687">
        <v>33</v>
      </c>
      <c r="C706" s="613" t="str">
        <f>REKAP!E168</f>
        <v>Pembuatan tiang pancang  (40 x 40) cm, beton bertulang</v>
      </c>
      <c r="D706" s="613"/>
      <c r="E706" s="687"/>
      <c r="F706" s="687"/>
      <c r="G706" s="613"/>
      <c r="H706" s="565"/>
      <c r="I706" s="565"/>
      <c r="K706" s="277" t="s">
        <v>75</v>
      </c>
    </row>
    <row r="707" spans="2:11">
      <c r="C707" s="1069" t="s">
        <v>0</v>
      </c>
      <c r="D707" s="1071" t="s">
        <v>1</v>
      </c>
      <c r="E707" s="1190" t="s">
        <v>2</v>
      </c>
      <c r="F707" s="1071" t="s">
        <v>3</v>
      </c>
      <c r="G707" s="1185" t="s">
        <v>4</v>
      </c>
      <c r="H707" s="550" t="s">
        <v>5</v>
      </c>
      <c r="I707" s="555" t="s">
        <v>59</v>
      </c>
    </row>
    <row r="708" spans="2:11" ht="13.5" thickBot="1">
      <c r="C708" s="1070"/>
      <c r="D708" s="1072"/>
      <c r="E708" s="1191"/>
      <c r="F708" s="1072"/>
      <c r="G708" s="1186"/>
      <c r="H708" s="551" t="s">
        <v>6</v>
      </c>
      <c r="I708" s="556" t="s">
        <v>6</v>
      </c>
    </row>
    <row r="709" spans="2:11" ht="14.1" customHeight="1">
      <c r="C709" s="16" t="s">
        <v>7</v>
      </c>
      <c r="D709" s="17" t="s">
        <v>74</v>
      </c>
      <c r="E709" s="26"/>
      <c r="F709" s="19"/>
      <c r="G709" s="57"/>
      <c r="H709" s="529"/>
      <c r="I709" s="557"/>
    </row>
    <row r="710" spans="2:11" ht="14.1" customHeight="1">
      <c r="C710" s="16"/>
      <c r="D710" s="17" t="s">
        <v>10</v>
      </c>
      <c r="E710" s="26"/>
      <c r="F710" s="19" t="s">
        <v>66</v>
      </c>
      <c r="G710" s="97">
        <v>1</v>
      </c>
      <c r="H710" s="529"/>
      <c r="I710" s="917"/>
    </row>
    <row r="711" spans="2:11" ht="14.1" customHeight="1">
      <c r="C711" s="16"/>
      <c r="D711" s="17" t="s">
        <v>143</v>
      </c>
      <c r="E711" s="26"/>
      <c r="F711" s="19" t="s">
        <v>66</v>
      </c>
      <c r="G711" s="97">
        <v>0.67</v>
      </c>
      <c r="H711" s="529"/>
      <c r="I711" s="917"/>
    </row>
    <row r="712" spans="2:11" ht="14.1" customHeight="1">
      <c r="C712" s="16"/>
      <c r="D712" s="17" t="s">
        <v>210</v>
      </c>
      <c r="E712" s="26"/>
      <c r="F712" s="19" t="s">
        <v>66</v>
      </c>
      <c r="G712" s="97">
        <v>6.7000000000000004E-2</v>
      </c>
      <c r="H712" s="529"/>
      <c r="I712" s="918">
        <f>G712*H712</f>
        <v>0</v>
      </c>
    </row>
    <row r="713" spans="2:11" ht="14.1" customHeight="1">
      <c r="C713" s="16"/>
      <c r="D713" s="17" t="s">
        <v>11</v>
      </c>
      <c r="E713" s="26"/>
      <c r="F713" s="19" t="s">
        <v>66</v>
      </c>
      <c r="G713" s="100">
        <v>0.05</v>
      </c>
      <c r="H713" s="529"/>
      <c r="I713" s="918">
        <f>G713*H713</f>
        <v>0</v>
      </c>
    </row>
    <row r="714" spans="2:11" ht="14.1" customHeight="1">
      <c r="C714" s="1099" t="s">
        <v>60</v>
      </c>
      <c r="D714" s="1100"/>
      <c r="E714" s="1100"/>
      <c r="F714" s="1100"/>
      <c r="G714" s="1100"/>
      <c r="H714" s="1101"/>
      <c r="I714" s="919">
        <f>SUM(I709:I713)</f>
        <v>0</v>
      </c>
    </row>
    <row r="715" spans="2:11" ht="14.1" customHeight="1">
      <c r="C715" s="16" t="s">
        <v>8</v>
      </c>
      <c r="D715" s="17" t="s">
        <v>61</v>
      </c>
      <c r="E715" s="26"/>
      <c r="F715" s="22"/>
      <c r="G715" s="58"/>
      <c r="H715" s="552"/>
      <c r="I715" s="917"/>
    </row>
    <row r="716" spans="2:11" ht="14.1" customHeight="1">
      <c r="C716" s="16"/>
      <c r="D716" s="17" t="s">
        <v>202</v>
      </c>
      <c r="E716" s="26"/>
      <c r="F716" s="22" t="s">
        <v>19</v>
      </c>
      <c r="G716" s="58">
        <v>1.9E-2</v>
      </c>
      <c r="H716" s="552"/>
      <c r="I716" s="917"/>
    </row>
    <row r="717" spans="2:11" ht="14.1" customHeight="1">
      <c r="C717" s="16"/>
      <c r="D717" s="17" t="s">
        <v>144</v>
      </c>
      <c r="E717" s="26"/>
      <c r="F717" s="22" t="s">
        <v>19</v>
      </c>
      <c r="G717" s="58">
        <v>9.4E-2</v>
      </c>
      <c r="H717" s="552"/>
      <c r="I717" s="917"/>
    </row>
    <row r="718" spans="2:11" ht="14.1" customHeight="1">
      <c r="C718" s="16"/>
      <c r="D718" s="17" t="s">
        <v>155</v>
      </c>
      <c r="E718" s="26"/>
      <c r="F718" s="22" t="s">
        <v>19</v>
      </c>
      <c r="G718" s="58">
        <v>0.15</v>
      </c>
      <c r="H718" s="552"/>
      <c r="I718" s="917"/>
    </row>
    <row r="719" spans="2:11" ht="14.1" customHeight="1">
      <c r="C719" s="16"/>
      <c r="D719" s="17" t="s">
        <v>156</v>
      </c>
      <c r="E719" s="26"/>
      <c r="F719" s="22" t="s">
        <v>56</v>
      </c>
      <c r="G719" s="58">
        <v>60.5</v>
      </c>
      <c r="H719" s="552"/>
      <c r="I719" s="917"/>
    </row>
    <row r="720" spans="2:11" ht="14.1" customHeight="1">
      <c r="C720" s="16"/>
      <c r="D720" s="17" t="s">
        <v>213</v>
      </c>
      <c r="E720" s="26"/>
      <c r="F720" s="22" t="s">
        <v>56</v>
      </c>
      <c r="G720" s="58">
        <v>45</v>
      </c>
      <c r="H720" s="552"/>
      <c r="I720" s="917"/>
    </row>
    <row r="721" spans="2:11" ht="14.1" customHeight="1">
      <c r="C721" s="16"/>
      <c r="D721" s="17" t="s">
        <v>214</v>
      </c>
      <c r="E721" s="26"/>
      <c r="F721" s="22" t="s">
        <v>56</v>
      </c>
      <c r="G721" s="58">
        <v>0.9</v>
      </c>
      <c r="H721" s="552"/>
      <c r="I721" s="917"/>
    </row>
    <row r="722" spans="2:11" ht="14.1" customHeight="1">
      <c r="C722" s="16"/>
      <c r="D722" s="17" t="s">
        <v>295</v>
      </c>
      <c r="E722" s="26"/>
      <c r="F722" s="22" t="s">
        <v>19</v>
      </c>
      <c r="G722" s="58">
        <v>3.2000000000000001E-2</v>
      </c>
      <c r="H722" s="552"/>
      <c r="I722" s="917"/>
    </row>
    <row r="723" spans="2:11" ht="14.1" customHeight="1">
      <c r="C723" s="16"/>
      <c r="D723" s="65" t="s">
        <v>296</v>
      </c>
      <c r="E723" s="26"/>
      <c r="F723" s="69" t="s">
        <v>56</v>
      </c>
      <c r="G723" s="103">
        <v>0.12</v>
      </c>
      <c r="H723" s="552"/>
      <c r="I723" s="918">
        <f>G723*H723</f>
        <v>0</v>
      </c>
    </row>
    <row r="724" spans="2:11" ht="14.1" customHeight="1">
      <c r="C724" s="16"/>
      <c r="D724" s="65" t="s">
        <v>292</v>
      </c>
      <c r="E724" s="26"/>
      <c r="F724" s="69" t="s">
        <v>81</v>
      </c>
      <c r="G724" s="103">
        <v>0.09</v>
      </c>
      <c r="H724" s="552"/>
      <c r="I724" s="918"/>
    </row>
    <row r="725" spans="2:11" ht="14.1" customHeight="1">
      <c r="C725" s="16"/>
      <c r="D725" s="66" t="s">
        <v>297</v>
      </c>
      <c r="E725" s="26"/>
      <c r="F725" s="69" t="s">
        <v>56</v>
      </c>
      <c r="G725" s="103">
        <v>0.24</v>
      </c>
      <c r="H725" s="552"/>
      <c r="I725" s="918">
        <f>G725*H725</f>
        <v>0</v>
      </c>
    </row>
    <row r="726" spans="2:11" ht="14.1" customHeight="1">
      <c r="C726" s="1099" t="s">
        <v>18</v>
      </c>
      <c r="D726" s="1100"/>
      <c r="E726" s="1100"/>
      <c r="F726" s="1100"/>
      <c r="G726" s="1100"/>
      <c r="H726" s="1101"/>
      <c r="I726" s="919">
        <f>SUM(I715:I725)</f>
        <v>0</v>
      </c>
    </row>
    <row r="727" spans="2:11" ht="14.1" customHeight="1">
      <c r="C727" s="16" t="s">
        <v>9</v>
      </c>
      <c r="D727" s="17" t="s">
        <v>62</v>
      </c>
      <c r="E727" s="74"/>
      <c r="F727" s="54"/>
      <c r="G727" s="60"/>
      <c r="H727" s="553"/>
      <c r="I727" s="917"/>
    </row>
    <row r="728" spans="2:11" ht="14.1" customHeight="1">
      <c r="C728" s="16"/>
      <c r="D728" s="17"/>
      <c r="E728" s="26"/>
      <c r="F728" s="22"/>
      <c r="G728" s="59"/>
      <c r="H728" s="529"/>
      <c r="I728" s="918">
        <f>G728*H728</f>
        <v>0</v>
      </c>
    </row>
    <row r="729" spans="2:11" ht="14.1" customHeight="1">
      <c r="C729" s="1099" t="s">
        <v>63</v>
      </c>
      <c r="D729" s="1100"/>
      <c r="E729" s="1100"/>
      <c r="F729" s="1100"/>
      <c r="G729" s="1100"/>
      <c r="H729" s="1101"/>
      <c r="I729" s="919">
        <f>SUM(I727:I728)</f>
        <v>0</v>
      </c>
    </row>
    <row r="730" spans="2:11" ht="14.1" customHeight="1">
      <c r="C730" s="310" t="s">
        <v>12</v>
      </c>
      <c r="D730" s="1102" t="s">
        <v>64</v>
      </c>
      <c r="E730" s="1103"/>
      <c r="F730" s="1103"/>
      <c r="G730" s="1103"/>
      <c r="H730" s="1104"/>
      <c r="I730" s="919">
        <f>I714+I726+I729</f>
        <v>0</v>
      </c>
    </row>
    <row r="731" spans="2:11" ht="14.1" customHeight="1">
      <c r="C731" s="312" t="s">
        <v>13</v>
      </c>
      <c r="D731" s="1105" t="s">
        <v>65</v>
      </c>
      <c r="E731" s="1106"/>
      <c r="F731" s="1107"/>
      <c r="G731" s="34"/>
      <c r="H731" s="554">
        <f>I730</f>
        <v>0</v>
      </c>
      <c r="I731" s="920">
        <f>G731*H731</f>
        <v>0</v>
      </c>
    </row>
    <row r="732" spans="2:11" ht="14.1" customHeight="1" thickBot="1">
      <c r="C732" s="311" t="s">
        <v>14</v>
      </c>
      <c r="D732" s="1096" t="s">
        <v>73</v>
      </c>
      <c r="E732" s="1097"/>
      <c r="F732" s="1097"/>
      <c r="G732" s="1097"/>
      <c r="H732" s="1098"/>
      <c r="I732" s="921">
        <f>I730+I731</f>
        <v>0</v>
      </c>
    </row>
    <row r="733" spans="2:11" ht="14.1" customHeight="1"/>
    <row r="734" spans="2:11" s="277" customFormat="1" ht="13.5" thickBot="1">
      <c r="B734" s="687">
        <v>34</v>
      </c>
      <c r="C734" s="613" t="str">
        <f>REKAP!E169</f>
        <v>Pembuatan tiang pancang  (35 x 35) cm, beton bertulang</v>
      </c>
      <c r="D734" s="613"/>
      <c r="E734" s="687"/>
      <c r="F734" s="687"/>
      <c r="G734" s="613"/>
      <c r="H734" s="565"/>
      <c r="I734" s="565"/>
      <c r="K734" s="277" t="s">
        <v>75</v>
      </c>
    </row>
    <row r="735" spans="2:11">
      <c r="C735" s="1069" t="s">
        <v>0</v>
      </c>
      <c r="D735" s="1071" t="s">
        <v>1</v>
      </c>
      <c r="E735" s="1190" t="s">
        <v>2</v>
      </c>
      <c r="F735" s="1071" t="s">
        <v>3</v>
      </c>
      <c r="G735" s="1185" t="s">
        <v>4</v>
      </c>
      <c r="H735" s="550" t="s">
        <v>5</v>
      </c>
      <c r="I735" s="555" t="s">
        <v>59</v>
      </c>
    </row>
    <row r="736" spans="2:11" ht="13.5" thickBot="1">
      <c r="C736" s="1070"/>
      <c r="D736" s="1072"/>
      <c r="E736" s="1191"/>
      <c r="F736" s="1072"/>
      <c r="G736" s="1186"/>
      <c r="H736" s="551" t="s">
        <v>6</v>
      </c>
      <c r="I736" s="556" t="s">
        <v>6</v>
      </c>
    </row>
    <row r="737" spans="3:9" ht="14.1" customHeight="1">
      <c r="C737" s="16" t="s">
        <v>7</v>
      </c>
      <c r="D737" s="17" t="s">
        <v>74</v>
      </c>
      <c r="E737" s="26"/>
      <c r="F737" s="19"/>
      <c r="G737" s="57"/>
      <c r="H737" s="529"/>
      <c r="I737" s="557"/>
    </row>
    <row r="738" spans="3:9" ht="14.1" customHeight="1">
      <c r="C738" s="16">
        <v>1</v>
      </c>
      <c r="D738" s="17" t="s">
        <v>10</v>
      </c>
      <c r="E738" s="26"/>
      <c r="F738" s="19" t="s">
        <v>66</v>
      </c>
      <c r="G738" s="97">
        <v>0.8</v>
      </c>
      <c r="H738" s="529"/>
      <c r="I738" s="917"/>
    </row>
    <row r="739" spans="3:9" ht="14.1" customHeight="1">
      <c r="C739" s="16">
        <v>2</v>
      </c>
      <c r="D739" s="17" t="s">
        <v>143</v>
      </c>
      <c r="E739" s="26"/>
      <c r="F739" s="19" t="s">
        <v>66</v>
      </c>
      <c r="G739" s="97">
        <v>0.5</v>
      </c>
      <c r="H739" s="529"/>
      <c r="I739" s="917"/>
    </row>
    <row r="740" spans="3:9" ht="14.1" customHeight="1">
      <c r="C740" s="16">
        <v>3</v>
      </c>
      <c r="D740" s="17" t="s">
        <v>210</v>
      </c>
      <c r="E740" s="26"/>
      <c r="F740" s="19" t="s">
        <v>66</v>
      </c>
      <c r="G740" s="97">
        <v>0.05</v>
      </c>
      <c r="H740" s="529"/>
      <c r="I740" s="918">
        <f>G740*H740</f>
        <v>0</v>
      </c>
    </row>
    <row r="741" spans="3:9" ht="14.1" customHeight="1">
      <c r="C741" s="16">
        <v>4</v>
      </c>
      <c r="D741" s="17" t="s">
        <v>11</v>
      </c>
      <c r="E741" s="26"/>
      <c r="F741" s="19" t="s">
        <v>66</v>
      </c>
      <c r="G741" s="100">
        <v>0.04</v>
      </c>
      <c r="H741" s="529"/>
      <c r="I741" s="918">
        <f>G741*H741</f>
        <v>0</v>
      </c>
    </row>
    <row r="742" spans="3:9" ht="14.1" customHeight="1">
      <c r="C742" s="1099" t="s">
        <v>60</v>
      </c>
      <c r="D742" s="1100"/>
      <c r="E742" s="1100"/>
      <c r="F742" s="1100"/>
      <c r="G742" s="1100"/>
      <c r="H742" s="1101"/>
      <c r="I742" s="919">
        <f>SUM(I737:I741)</f>
        <v>0</v>
      </c>
    </row>
    <row r="743" spans="3:9" ht="14.1" customHeight="1">
      <c r="C743" s="16" t="s">
        <v>8</v>
      </c>
      <c r="D743" s="17" t="s">
        <v>61</v>
      </c>
      <c r="E743" s="26"/>
      <c r="F743" s="22"/>
      <c r="G743" s="58"/>
      <c r="H743" s="552"/>
      <c r="I743" s="917"/>
    </row>
    <row r="744" spans="3:9" ht="14.1" customHeight="1">
      <c r="C744" s="16">
        <v>1</v>
      </c>
      <c r="D744" s="17" t="s">
        <v>202</v>
      </c>
      <c r="E744" s="26"/>
      <c r="F744" s="22" t="s">
        <v>19</v>
      </c>
      <c r="G744" s="58">
        <v>1.6E-2</v>
      </c>
      <c r="H744" s="552"/>
      <c r="I744" s="557"/>
    </row>
    <row r="745" spans="3:9" ht="14.1" customHeight="1">
      <c r="C745" s="16">
        <v>2</v>
      </c>
      <c r="D745" s="17" t="s">
        <v>144</v>
      </c>
      <c r="E745" s="26"/>
      <c r="F745" s="22" t="s">
        <v>19</v>
      </c>
      <c r="G745" s="58">
        <v>0.08</v>
      </c>
      <c r="H745" s="552"/>
      <c r="I745" s="557"/>
    </row>
    <row r="746" spans="3:9" ht="14.1" customHeight="1">
      <c r="C746" s="16">
        <v>3</v>
      </c>
      <c r="D746" s="17" t="s">
        <v>155</v>
      </c>
      <c r="E746" s="26"/>
      <c r="F746" s="22" t="s">
        <v>19</v>
      </c>
      <c r="G746" s="58">
        <v>0.125</v>
      </c>
      <c r="H746" s="552"/>
      <c r="I746" s="557"/>
    </row>
    <row r="747" spans="3:9" ht="14.1" customHeight="1">
      <c r="C747" s="16">
        <v>4</v>
      </c>
      <c r="D747" s="17" t="s">
        <v>156</v>
      </c>
      <c r="E747" s="26"/>
      <c r="F747" s="22" t="s">
        <v>56</v>
      </c>
      <c r="G747" s="58">
        <v>49</v>
      </c>
      <c r="H747" s="552"/>
      <c r="I747" s="917"/>
    </row>
    <row r="748" spans="3:9" ht="14.1" customHeight="1">
      <c r="C748" s="16">
        <v>5</v>
      </c>
      <c r="D748" s="17" t="s">
        <v>213</v>
      </c>
      <c r="E748" s="26"/>
      <c r="F748" s="22" t="s">
        <v>56</v>
      </c>
      <c r="G748" s="58">
        <v>34.5</v>
      </c>
      <c r="H748" s="552"/>
      <c r="I748" s="917"/>
    </row>
    <row r="749" spans="3:9" ht="14.1" customHeight="1">
      <c r="C749" s="16">
        <v>6</v>
      </c>
      <c r="D749" s="17" t="s">
        <v>214</v>
      </c>
      <c r="E749" s="26"/>
      <c r="F749" s="22" t="s">
        <v>56</v>
      </c>
      <c r="G749" s="58">
        <v>0.7</v>
      </c>
      <c r="H749" s="552"/>
      <c r="I749" s="917"/>
    </row>
    <row r="750" spans="3:9" ht="14.1" customHeight="1">
      <c r="C750" s="16">
        <v>7</v>
      </c>
      <c r="D750" s="65" t="s">
        <v>295</v>
      </c>
      <c r="E750" s="26"/>
      <c r="F750" s="69" t="s">
        <v>19</v>
      </c>
      <c r="G750" s="103">
        <v>2.7E-2</v>
      </c>
      <c r="H750" s="552"/>
      <c r="I750" s="918">
        <f>G750*H750</f>
        <v>0</v>
      </c>
    </row>
    <row r="751" spans="3:9" ht="14.1" customHeight="1">
      <c r="C751" s="16">
        <v>8</v>
      </c>
      <c r="D751" s="65" t="s">
        <v>84</v>
      </c>
      <c r="E751" s="26"/>
      <c r="F751" s="69" t="s">
        <v>56</v>
      </c>
      <c r="G751" s="103">
        <v>0.12</v>
      </c>
      <c r="H751" s="552"/>
      <c r="I751" s="918"/>
    </row>
    <row r="752" spans="3:9" ht="14.1" customHeight="1">
      <c r="C752" s="16">
        <v>9</v>
      </c>
      <c r="D752" s="66" t="s">
        <v>292</v>
      </c>
      <c r="E752" s="26"/>
      <c r="F752" s="69" t="s">
        <v>81</v>
      </c>
      <c r="G752" s="103">
        <v>0.09</v>
      </c>
      <c r="H752" s="552"/>
      <c r="I752" s="918">
        <f>G752*H752</f>
        <v>0</v>
      </c>
    </row>
    <row r="753" spans="2:11" ht="14.1" customHeight="1">
      <c r="C753" s="16">
        <v>10</v>
      </c>
      <c r="D753" s="70" t="s">
        <v>297</v>
      </c>
      <c r="E753" s="26"/>
      <c r="F753" s="71" t="s">
        <v>56</v>
      </c>
      <c r="G753" s="100">
        <v>0.2</v>
      </c>
      <c r="H753" s="552"/>
      <c r="I753" s="918">
        <f>G753*H753</f>
        <v>0</v>
      </c>
    </row>
    <row r="754" spans="2:11" ht="14.1" customHeight="1">
      <c r="C754" s="1099"/>
      <c r="D754" s="1100"/>
      <c r="E754" s="1100"/>
      <c r="F754" s="1100"/>
      <c r="G754" s="1100"/>
      <c r="H754" s="1101"/>
      <c r="I754" s="919">
        <f>SUM(I743:I753)</f>
        <v>0</v>
      </c>
    </row>
    <row r="755" spans="2:11" ht="14.1" customHeight="1">
      <c r="C755" s="16" t="s">
        <v>9</v>
      </c>
      <c r="D755" s="17" t="s">
        <v>62</v>
      </c>
      <c r="E755" s="74"/>
      <c r="F755" s="54"/>
      <c r="G755" s="60"/>
      <c r="H755" s="553"/>
      <c r="I755" s="917"/>
    </row>
    <row r="756" spans="2:11" ht="14.1" customHeight="1">
      <c r="C756" s="16"/>
      <c r="D756" s="17"/>
      <c r="E756" s="26"/>
      <c r="F756" s="22"/>
      <c r="G756" s="59"/>
      <c r="H756" s="529"/>
      <c r="I756" s="918">
        <f>G756*H756</f>
        <v>0</v>
      </c>
    </row>
    <row r="757" spans="2:11" ht="14.1" customHeight="1">
      <c r="C757" s="1099" t="s">
        <v>63</v>
      </c>
      <c r="D757" s="1100"/>
      <c r="E757" s="1100"/>
      <c r="F757" s="1100"/>
      <c r="G757" s="1100"/>
      <c r="H757" s="1101"/>
      <c r="I757" s="919">
        <f>SUM(I755:I756)</f>
        <v>0</v>
      </c>
    </row>
    <row r="758" spans="2:11" ht="14.1" customHeight="1">
      <c r="C758" s="310" t="s">
        <v>12</v>
      </c>
      <c r="D758" s="1102" t="s">
        <v>64</v>
      </c>
      <c r="E758" s="1103"/>
      <c r="F758" s="1103"/>
      <c r="G758" s="1103"/>
      <c r="H758" s="1104"/>
      <c r="I758" s="919">
        <f>I742+I754+I757</f>
        <v>0</v>
      </c>
    </row>
    <row r="759" spans="2:11" ht="14.1" customHeight="1">
      <c r="C759" s="312" t="s">
        <v>13</v>
      </c>
      <c r="D759" s="1105" t="s">
        <v>65</v>
      </c>
      <c r="E759" s="1106"/>
      <c r="F759" s="1107"/>
      <c r="G759" s="34"/>
      <c r="H759" s="554">
        <f>I758</f>
        <v>0</v>
      </c>
      <c r="I759" s="920">
        <f>G759*H759</f>
        <v>0</v>
      </c>
    </row>
    <row r="760" spans="2:11" ht="14.1" customHeight="1" thickBot="1">
      <c r="C760" s="311" t="s">
        <v>14</v>
      </c>
      <c r="D760" s="1096" t="s">
        <v>73</v>
      </c>
      <c r="E760" s="1097"/>
      <c r="F760" s="1097"/>
      <c r="G760" s="1097"/>
      <c r="H760" s="1098"/>
      <c r="I760" s="921">
        <f>I758+I759</f>
        <v>0</v>
      </c>
    </row>
    <row r="761" spans="2:11" ht="14.1" customHeight="1"/>
    <row r="762" spans="2:11" s="277" customFormat="1" ht="13.5" thickBot="1">
      <c r="B762" s="687">
        <v>35</v>
      </c>
      <c r="C762" s="613" t="str">
        <f>REKAP!E170</f>
        <v>Cor beton kerb  ( 15 x 30 ) cm</v>
      </c>
      <c r="D762" s="613"/>
      <c r="E762" s="687"/>
      <c r="F762" s="687"/>
      <c r="G762" s="613"/>
      <c r="H762" s="565"/>
      <c r="I762" s="565"/>
      <c r="K762" s="277" t="s">
        <v>75</v>
      </c>
    </row>
    <row r="763" spans="2:11">
      <c r="C763" s="1069" t="s">
        <v>0</v>
      </c>
      <c r="D763" s="1071" t="s">
        <v>1</v>
      </c>
      <c r="E763" s="1190" t="s">
        <v>2</v>
      </c>
      <c r="F763" s="1071" t="s">
        <v>3</v>
      </c>
      <c r="G763" s="1185" t="s">
        <v>4</v>
      </c>
      <c r="H763" s="550" t="s">
        <v>5</v>
      </c>
      <c r="I763" s="555" t="s">
        <v>59</v>
      </c>
    </row>
    <row r="764" spans="2:11" ht="13.5" thickBot="1">
      <c r="C764" s="1070"/>
      <c r="D764" s="1072"/>
      <c r="E764" s="1191"/>
      <c r="F764" s="1072"/>
      <c r="G764" s="1186"/>
      <c r="H764" s="551" t="s">
        <v>6</v>
      </c>
      <c r="I764" s="556" t="s">
        <v>6</v>
      </c>
    </row>
    <row r="765" spans="2:11" ht="14.1" customHeight="1">
      <c r="C765" s="16" t="s">
        <v>7</v>
      </c>
      <c r="D765" s="17" t="s">
        <v>74</v>
      </c>
      <c r="E765" s="26"/>
      <c r="F765" s="19"/>
      <c r="G765" s="57"/>
      <c r="H765" s="529"/>
      <c r="I765" s="557"/>
    </row>
    <row r="766" spans="2:11" ht="14.1" customHeight="1">
      <c r="C766" s="16">
        <v>1</v>
      </c>
      <c r="D766" s="17" t="s">
        <v>10</v>
      </c>
      <c r="E766" s="26"/>
      <c r="F766" s="19" t="s">
        <v>66</v>
      </c>
      <c r="G766" s="97">
        <v>0.13739999999999999</v>
      </c>
      <c r="H766" s="529"/>
      <c r="I766" s="917"/>
    </row>
    <row r="767" spans="2:11" ht="14.1" customHeight="1">
      <c r="C767" s="16">
        <v>2</v>
      </c>
      <c r="D767" s="17" t="s">
        <v>26</v>
      </c>
      <c r="E767" s="26"/>
      <c r="F767" s="19" t="s">
        <v>66</v>
      </c>
      <c r="G767" s="97">
        <v>3.4000000000000002E-2</v>
      </c>
      <c r="H767" s="529"/>
      <c r="I767" s="917"/>
    </row>
    <row r="768" spans="2:11" ht="14.1" customHeight="1">
      <c r="C768" s="16">
        <v>3</v>
      </c>
      <c r="D768" s="17" t="s">
        <v>143</v>
      </c>
      <c r="E768" s="26"/>
      <c r="F768" s="19" t="s">
        <v>66</v>
      </c>
      <c r="G768" s="97">
        <v>1.5800000000000002E-2</v>
      </c>
      <c r="H768" s="529"/>
      <c r="I768" s="918">
        <f>G768*H768</f>
        <v>0</v>
      </c>
    </row>
    <row r="769" spans="3:9" ht="14.1" customHeight="1">
      <c r="C769" s="16">
        <v>4</v>
      </c>
      <c r="D769" s="17" t="s">
        <v>20</v>
      </c>
      <c r="E769" s="26"/>
      <c r="F769" s="19" t="s">
        <v>66</v>
      </c>
      <c r="G769" s="97">
        <v>5.0000000000000001E-3</v>
      </c>
      <c r="H769" s="529"/>
      <c r="I769" s="918"/>
    </row>
    <row r="770" spans="3:9" ht="14.1" customHeight="1">
      <c r="C770" s="16">
        <v>5</v>
      </c>
      <c r="D770" s="17" t="s">
        <v>11</v>
      </c>
      <c r="E770" s="26"/>
      <c r="F770" s="19" t="s">
        <v>66</v>
      </c>
      <c r="G770" s="100">
        <v>6.3E-3</v>
      </c>
      <c r="H770" s="529"/>
      <c r="I770" s="918">
        <f>G770*H770</f>
        <v>0</v>
      </c>
    </row>
    <row r="771" spans="3:9" ht="14.1" customHeight="1">
      <c r="C771" s="1099" t="s">
        <v>60</v>
      </c>
      <c r="D771" s="1100"/>
      <c r="E771" s="1100"/>
      <c r="F771" s="1100"/>
      <c r="G771" s="1100"/>
      <c r="H771" s="1101"/>
      <c r="I771" s="919">
        <f>SUM(I765:I770)</f>
        <v>0</v>
      </c>
    </row>
    <row r="772" spans="3:9" ht="14.1" customHeight="1">
      <c r="C772" s="16" t="s">
        <v>8</v>
      </c>
      <c r="D772" s="17" t="s">
        <v>61</v>
      </c>
      <c r="E772" s="26"/>
      <c r="F772" s="22"/>
      <c r="G772" s="58"/>
      <c r="H772" s="552"/>
      <c r="I772" s="917"/>
    </row>
    <row r="773" spans="3:9" ht="14.1" customHeight="1">
      <c r="C773" s="16">
        <v>1</v>
      </c>
      <c r="D773" s="65" t="s">
        <v>156</v>
      </c>
      <c r="E773" s="26"/>
      <c r="F773" s="69" t="s">
        <v>56</v>
      </c>
      <c r="G773" s="103">
        <v>15.3</v>
      </c>
      <c r="H773" s="552"/>
      <c r="I773" s="918">
        <f>G773*H773</f>
        <v>0</v>
      </c>
    </row>
    <row r="774" spans="3:9" ht="14.1" customHeight="1">
      <c r="C774" s="16">
        <v>2</v>
      </c>
      <c r="D774" s="65" t="s">
        <v>211</v>
      </c>
      <c r="E774" s="26"/>
      <c r="F774" s="69" t="s">
        <v>19</v>
      </c>
      <c r="G774" s="103">
        <v>2.4299999999999999E-2</v>
      </c>
      <c r="H774" s="552"/>
      <c r="I774" s="918"/>
    </row>
    <row r="775" spans="3:9" ht="14.1" customHeight="1">
      <c r="C775" s="16">
        <v>3</v>
      </c>
      <c r="D775" s="66" t="s">
        <v>160</v>
      </c>
      <c r="E775" s="26"/>
      <c r="F775" s="69" t="s">
        <v>19</v>
      </c>
      <c r="G775" s="103">
        <v>3.6900000000000002E-2</v>
      </c>
      <c r="H775" s="552"/>
      <c r="I775" s="918">
        <f>G775*H775</f>
        <v>0</v>
      </c>
    </row>
    <row r="776" spans="3:9" ht="14.1" customHeight="1">
      <c r="C776" s="16">
        <v>4</v>
      </c>
      <c r="D776" s="66" t="s">
        <v>294</v>
      </c>
      <c r="E776" s="26"/>
      <c r="F776" s="69" t="s">
        <v>19</v>
      </c>
      <c r="G776" s="103">
        <v>2.7000000000000001E-3</v>
      </c>
      <c r="H776" s="552"/>
      <c r="I776" s="918"/>
    </row>
    <row r="777" spans="3:9" ht="14.1" customHeight="1">
      <c r="C777" s="16">
        <v>5</v>
      </c>
      <c r="D777" s="70" t="s">
        <v>84</v>
      </c>
      <c r="E777" s="26"/>
      <c r="F777" s="71" t="s">
        <v>56</v>
      </c>
      <c r="G777" s="100">
        <v>2.7199999999999998E-2</v>
      </c>
      <c r="H777" s="552"/>
      <c r="I777" s="918">
        <f>G777*H777</f>
        <v>0</v>
      </c>
    </row>
    <row r="778" spans="3:9" ht="14.1" customHeight="1">
      <c r="C778" s="1099" t="s">
        <v>18</v>
      </c>
      <c r="D778" s="1100"/>
      <c r="E778" s="1100"/>
      <c r="F778" s="1100"/>
      <c r="G778" s="1100"/>
      <c r="H778" s="1101"/>
      <c r="I778" s="919">
        <f>SUM(I772:I777)</f>
        <v>0</v>
      </c>
    </row>
    <row r="779" spans="3:9" ht="14.1" customHeight="1">
      <c r="C779" s="16" t="s">
        <v>9</v>
      </c>
      <c r="D779" s="17" t="s">
        <v>62</v>
      </c>
      <c r="E779" s="74"/>
      <c r="F779" s="54"/>
      <c r="G779" s="60"/>
      <c r="H779" s="553"/>
      <c r="I779" s="917"/>
    </row>
    <row r="780" spans="3:9" ht="14.1" customHeight="1">
      <c r="C780" s="16"/>
      <c r="D780" s="17"/>
      <c r="E780" s="26"/>
      <c r="F780" s="22"/>
      <c r="G780" s="59"/>
      <c r="H780" s="529"/>
      <c r="I780" s="918">
        <f>G780*H780</f>
        <v>0</v>
      </c>
    </row>
    <row r="781" spans="3:9" ht="14.1" customHeight="1">
      <c r="C781" s="1099" t="s">
        <v>63</v>
      </c>
      <c r="D781" s="1100"/>
      <c r="E781" s="1100"/>
      <c r="F781" s="1100"/>
      <c r="G781" s="1100"/>
      <c r="H781" s="1101"/>
      <c r="I781" s="919">
        <f>SUM(I779:I780)</f>
        <v>0</v>
      </c>
    </row>
    <row r="782" spans="3:9" ht="14.1" customHeight="1">
      <c r="C782" s="310" t="s">
        <v>12</v>
      </c>
      <c r="D782" s="1102" t="s">
        <v>64</v>
      </c>
      <c r="E782" s="1103"/>
      <c r="F782" s="1103"/>
      <c r="G782" s="1103"/>
      <c r="H782" s="1104"/>
      <c r="I782" s="919">
        <f>I771+I778+I781</f>
        <v>0</v>
      </c>
    </row>
    <row r="783" spans="3:9" ht="14.1" customHeight="1">
      <c r="C783" s="312" t="s">
        <v>13</v>
      </c>
      <c r="D783" s="1105" t="s">
        <v>65</v>
      </c>
      <c r="E783" s="1106"/>
      <c r="F783" s="1107"/>
      <c r="G783" s="34"/>
      <c r="H783" s="554">
        <f>I782</f>
        <v>0</v>
      </c>
      <c r="I783" s="920">
        <f>G783*H783</f>
        <v>0</v>
      </c>
    </row>
    <row r="784" spans="3:9" ht="14.1" customHeight="1" thickBot="1">
      <c r="C784" s="311" t="s">
        <v>14</v>
      </c>
      <c r="D784" s="1096" t="s">
        <v>73</v>
      </c>
      <c r="E784" s="1097"/>
      <c r="F784" s="1097"/>
      <c r="G784" s="1097"/>
      <c r="H784" s="1098"/>
      <c r="I784" s="921">
        <f>I782+I783</f>
        <v>0</v>
      </c>
    </row>
    <row r="785" spans="2:14" ht="14.1" customHeight="1"/>
    <row r="786" spans="2:14" s="277" customFormat="1" ht="13.5" thickBot="1">
      <c r="B786" s="687">
        <v>36</v>
      </c>
      <c r="C786" s="613" t="str">
        <f>REKAP!E171</f>
        <v>Cor beton Devider ( 30 x 30 ) cm</v>
      </c>
      <c r="D786" s="613"/>
      <c r="E786" s="687"/>
      <c r="F786" s="687"/>
      <c r="G786" s="613"/>
      <c r="H786" s="565"/>
      <c r="I786" s="565"/>
      <c r="K786" s="277" t="s">
        <v>75</v>
      </c>
    </row>
    <row r="787" spans="2:14">
      <c r="C787" s="1069" t="s">
        <v>0</v>
      </c>
      <c r="D787" s="1071" t="s">
        <v>1</v>
      </c>
      <c r="E787" s="1190" t="s">
        <v>2</v>
      </c>
      <c r="F787" s="1071" t="s">
        <v>3</v>
      </c>
      <c r="G787" s="1185" t="s">
        <v>4</v>
      </c>
      <c r="H787" s="550" t="s">
        <v>5</v>
      </c>
      <c r="I787" s="555" t="s">
        <v>59</v>
      </c>
    </row>
    <row r="788" spans="2:14" ht="13.5" thickBot="1">
      <c r="C788" s="1070"/>
      <c r="D788" s="1072"/>
      <c r="E788" s="1191"/>
      <c r="F788" s="1072"/>
      <c r="G788" s="1186"/>
      <c r="H788" s="551" t="s">
        <v>6</v>
      </c>
      <c r="I788" s="556" t="s">
        <v>6</v>
      </c>
    </row>
    <row r="789" spans="2:14" ht="14.1" customHeight="1">
      <c r="C789" s="16" t="s">
        <v>7</v>
      </c>
      <c r="D789" s="17" t="s">
        <v>74</v>
      </c>
      <c r="E789" s="26"/>
      <c r="F789" s="19"/>
      <c r="G789" s="57"/>
      <c r="H789" s="529"/>
      <c r="I789" s="557"/>
    </row>
    <row r="790" spans="2:14" ht="14.1" customHeight="1">
      <c r="C790" s="16">
        <v>1</v>
      </c>
      <c r="D790" s="17" t="s">
        <v>26</v>
      </c>
      <c r="E790" s="26"/>
      <c r="F790" s="19" t="s">
        <v>66</v>
      </c>
      <c r="G790" s="97">
        <v>3.4000000000000002E-2</v>
      </c>
      <c r="H790" s="529"/>
      <c r="I790" s="917"/>
    </row>
    <row r="791" spans="2:14" ht="14.1" customHeight="1">
      <c r="C791" s="16">
        <v>2</v>
      </c>
      <c r="D791" s="17" t="s">
        <v>143</v>
      </c>
      <c r="E791" s="26"/>
      <c r="F791" s="19" t="s">
        <v>66</v>
      </c>
      <c r="G791" s="97">
        <v>3.15E-2</v>
      </c>
      <c r="H791" s="529"/>
      <c r="I791" s="917"/>
    </row>
    <row r="792" spans="2:14" ht="14.1" customHeight="1">
      <c r="C792" s="16">
        <v>3</v>
      </c>
      <c r="D792" s="17" t="s">
        <v>20</v>
      </c>
      <c r="E792" s="26"/>
      <c r="F792" s="19" t="s">
        <v>66</v>
      </c>
      <c r="G792" s="97">
        <v>6.6E-3</v>
      </c>
      <c r="H792" s="529"/>
      <c r="I792" s="917"/>
    </row>
    <row r="793" spans="2:14" ht="14.1" customHeight="1">
      <c r="C793" s="16">
        <v>4</v>
      </c>
      <c r="D793" s="17" t="s">
        <v>10</v>
      </c>
      <c r="E793" s="26"/>
      <c r="F793" s="19" t="s">
        <v>66</v>
      </c>
      <c r="G793" s="97">
        <v>0.24990000000000001</v>
      </c>
      <c r="H793" s="529"/>
      <c r="I793" s="917"/>
    </row>
    <row r="794" spans="2:14" ht="14.1" customHeight="1">
      <c r="C794" s="16">
        <v>5</v>
      </c>
      <c r="D794" s="17" t="s">
        <v>11</v>
      </c>
      <c r="E794" s="26"/>
      <c r="F794" s="19" t="s">
        <v>66</v>
      </c>
      <c r="G794" s="97">
        <v>1.1599999999999999E-2</v>
      </c>
      <c r="H794" s="529"/>
      <c r="I794" s="918">
        <f>G794*H794</f>
        <v>0</v>
      </c>
    </row>
    <row r="795" spans="2:14" ht="14.1" customHeight="1">
      <c r="C795" s="1099" t="s">
        <v>60</v>
      </c>
      <c r="D795" s="1100"/>
      <c r="E795" s="1100"/>
      <c r="F795" s="1100"/>
      <c r="G795" s="1100"/>
      <c r="H795" s="1101"/>
      <c r="I795" s="919">
        <f>SUM(I789:I794)</f>
        <v>0</v>
      </c>
    </row>
    <row r="796" spans="2:14" ht="14.1" customHeight="1">
      <c r="C796" s="16" t="s">
        <v>8</v>
      </c>
      <c r="D796" s="17" t="s">
        <v>61</v>
      </c>
      <c r="E796" s="26"/>
      <c r="F796" s="22"/>
      <c r="G796" s="58"/>
      <c r="H796" s="552"/>
      <c r="I796" s="917"/>
    </row>
    <row r="797" spans="2:14" ht="14.1" customHeight="1">
      <c r="C797" s="16">
        <v>1</v>
      </c>
      <c r="D797" s="65" t="s">
        <v>156</v>
      </c>
      <c r="E797" s="26"/>
      <c r="F797" s="69" t="s">
        <v>56</v>
      </c>
      <c r="G797" s="103">
        <v>30.6</v>
      </c>
      <c r="H797" s="552"/>
      <c r="I797" s="918">
        <f>G797*H797</f>
        <v>0</v>
      </c>
    </row>
    <row r="798" spans="2:14" ht="14.1" customHeight="1">
      <c r="C798" s="16">
        <v>2</v>
      </c>
      <c r="D798" s="65" t="s">
        <v>211</v>
      </c>
      <c r="E798" s="26"/>
      <c r="F798" s="69" t="s">
        <v>19</v>
      </c>
      <c r="G798" s="103">
        <v>4.8599999999999997E-2</v>
      </c>
      <c r="H798" s="552"/>
      <c r="I798" s="918"/>
      <c r="N798" s="975" t="s">
        <v>1662</v>
      </c>
    </row>
    <row r="799" spans="2:14" ht="14.1" customHeight="1">
      <c r="C799" s="16">
        <v>3</v>
      </c>
      <c r="D799" s="66" t="s">
        <v>160</v>
      </c>
      <c r="E799" s="26"/>
      <c r="F799" s="69" t="s">
        <v>19</v>
      </c>
      <c r="G799" s="103">
        <v>7.3800000000000004E-2</v>
      </c>
      <c r="H799" s="552"/>
      <c r="I799" s="918">
        <f>G799*H799</f>
        <v>0</v>
      </c>
    </row>
    <row r="800" spans="2:14" ht="14.1" customHeight="1">
      <c r="C800" s="16">
        <v>4</v>
      </c>
      <c r="D800" s="66" t="s">
        <v>294</v>
      </c>
      <c r="E800" s="26"/>
      <c r="F800" s="69" t="s">
        <v>19</v>
      </c>
      <c r="G800" s="103">
        <v>2.7000000000000001E-3</v>
      </c>
      <c r="H800" s="552"/>
      <c r="I800" s="918"/>
    </row>
    <row r="801" spans="3:9" ht="14.1" customHeight="1">
      <c r="C801" s="16">
        <v>5</v>
      </c>
      <c r="D801" s="70" t="s">
        <v>84</v>
      </c>
      <c r="E801" s="26"/>
      <c r="F801" s="71" t="s">
        <v>56</v>
      </c>
      <c r="G801" s="100">
        <v>2.7199999999999998E-2</v>
      </c>
      <c r="H801" s="552"/>
      <c r="I801" s="918">
        <f>G801*H801</f>
        <v>0</v>
      </c>
    </row>
    <row r="802" spans="3:9" ht="14.1" customHeight="1">
      <c r="C802" s="1099" t="s">
        <v>18</v>
      </c>
      <c r="D802" s="1100"/>
      <c r="E802" s="1100"/>
      <c r="F802" s="1100"/>
      <c r="G802" s="1100"/>
      <c r="H802" s="1101"/>
      <c r="I802" s="919">
        <f>SUM(I796:I801)</f>
        <v>0</v>
      </c>
    </row>
    <row r="803" spans="3:9" ht="14.1" customHeight="1">
      <c r="C803" s="16" t="s">
        <v>9</v>
      </c>
      <c r="D803" s="17" t="s">
        <v>62</v>
      </c>
      <c r="E803" s="74"/>
      <c r="F803" s="54"/>
      <c r="G803" s="60"/>
      <c r="H803" s="553"/>
      <c r="I803" s="917"/>
    </row>
    <row r="804" spans="3:9" ht="14.1" customHeight="1">
      <c r="C804" s="16"/>
      <c r="D804" s="17"/>
      <c r="E804" s="26"/>
      <c r="F804" s="22"/>
      <c r="G804" s="59"/>
      <c r="H804" s="529"/>
      <c r="I804" s="918">
        <f>G804*H804</f>
        <v>0</v>
      </c>
    </row>
    <row r="805" spans="3:9" ht="14.1" customHeight="1">
      <c r="C805" s="1099" t="s">
        <v>63</v>
      </c>
      <c r="D805" s="1100"/>
      <c r="E805" s="1100"/>
      <c r="F805" s="1100"/>
      <c r="G805" s="1100"/>
      <c r="H805" s="1101"/>
      <c r="I805" s="919">
        <f>SUM(I803:I804)</f>
        <v>0</v>
      </c>
    </row>
    <row r="806" spans="3:9" ht="14.1" customHeight="1">
      <c r="C806" s="310" t="s">
        <v>12</v>
      </c>
      <c r="D806" s="1102" t="s">
        <v>64</v>
      </c>
      <c r="E806" s="1103"/>
      <c r="F806" s="1103"/>
      <c r="G806" s="1103"/>
      <c r="H806" s="1104"/>
      <c r="I806" s="919">
        <f>I795+I802+I805</f>
        <v>0</v>
      </c>
    </row>
    <row r="807" spans="3:9" ht="14.1" customHeight="1">
      <c r="C807" s="312" t="s">
        <v>13</v>
      </c>
      <c r="D807" s="1105" t="s">
        <v>65</v>
      </c>
      <c r="E807" s="1106"/>
      <c r="F807" s="1107"/>
      <c r="G807" s="34"/>
      <c r="H807" s="554">
        <f>I806</f>
        <v>0</v>
      </c>
      <c r="I807" s="920">
        <f>G807*H807</f>
        <v>0</v>
      </c>
    </row>
    <row r="808" spans="3:9" ht="14.1" customHeight="1" thickBot="1">
      <c r="C808" s="311" t="s">
        <v>14</v>
      </c>
      <c r="D808" s="1096" t="s">
        <v>73</v>
      </c>
      <c r="E808" s="1097"/>
      <c r="F808" s="1097"/>
      <c r="G808" s="1097"/>
      <c r="H808" s="1098"/>
      <c r="I808" s="921">
        <f>I806+I807</f>
        <v>0</v>
      </c>
    </row>
  </sheetData>
  <mergeCells count="296">
    <mergeCell ref="D589:F589"/>
    <mergeCell ref="G589:H589"/>
    <mergeCell ref="G637:H637"/>
    <mergeCell ref="C639:F639"/>
    <mergeCell ref="G639:H639"/>
    <mergeCell ref="D640:H640"/>
    <mergeCell ref="D641:F641"/>
    <mergeCell ref="G641:H641"/>
    <mergeCell ref="D642:H642"/>
    <mergeCell ref="D590:H590"/>
    <mergeCell ref="G601:H601"/>
    <mergeCell ref="G611:H611"/>
    <mergeCell ref="G613:H613"/>
    <mergeCell ref="D614:H614"/>
    <mergeCell ref="D615:F615"/>
    <mergeCell ref="G615:H615"/>
    <mergeCell ref="D616:H616"/>
    <mergeCell ref="G627:H627"/>
    <mergeCell ref="G567:H567"/>
    <mergeCell ref="D568:H568"/>
    <mergeCell ref="D569:F569"/>
    <mergeCell ref="G569:H569"/>
    <mergeCell ref="D570:H570"/>
    <mergeCell ref="G579:H579"/>
    <mergeCell ref="G584:H584"/>
    <mergeCell ref="G587:H587"/>
    <mergeCell ref="D588:H588"/>
    <mergeCell ref="G11:H11"/>
    <mergeCell ref="G17:H17"/>
    <mergeCell ref="G20:H20"/>
    <mergeCell ref="G22:H22"/>
    <mergeCell ref="D23:H23"/>
    <mergeCell ref="D32:E32"/>
    <mergeCell ref="G32:H32"/>
    <mergeCell ref="D38:E38"/>
    <mergeCell ref="G38:H38"/>
    <mergeCell ref="D41:E41"/>
    <mergeCell ref="G41:H41"/>
    <mergeCell ref="D42:H42"/>
    <mergeCell ref="D43:F43"/>
    <mergeCell ref="G43:H43"/>
    <mergeCell ref="D44:H44"/>
    <mergeCell ref="G53:H53"/>
    <mergeCell ref="G59:H59"/>
    <mergeCell ref="G62:H62"/>
    <mergeCell ref="D63:H63"/>
    <mergeCell ref="D64:F64"/>
    <mergeCell ref="G64:H64"/>
    <mergeCell ref="D65:H65"/>
    <mergeCell ref="G77:H77"/>
    <mergeCell ref="G83:H83"/>
    <mergeCell ref="G86:H86"/>
    <mergeCell ref="D87:H87"/>
    <mergeCell ref="D88:F88"/>
    <mergeCell ref="G88:H88"/>
    <mergeCell ref="D89:H89"/>
    <mergeCell ref="G98:H98"/>
    <mergeCell ref="G104:H104"/>
    <mergeCell ref="G107:H107"/>
    <mergeCell ref="D108:H108"/>
    <mergeCell ref="D109:F109"/>
    <mergeCell ref="G109:H109"/>
    <mergeCell ref="D110:H110"/>
    <mergeCell ref="G119:H119"/>
    <mergeCell ref="G125:H125"/>
    <mergeCell ref="G128:H128"/>
    <mergeCell ref="D129:H129"/>
    <mergeCell ref="D130:F130"/>
    <mergeCell ref="G130:H130"/>
    <mergeCell ref="D131:H131"/>
    <mergeCell ref="G140:H140"/>
    <mergeCell ref="G146:H146"/>
    <mergeCell ref="G149:H149"/>
    <mergeCell ref="D150:H150"/>
    <mergeCell ref="D151:F151"/>
    <mergeCell ref="G151:H151"/>
    <mergeCell ref="D152:H152"/>
    <mergeCell ref="G161:H161"/>
    <mergeCell ref="G167:H167"/>
    <mergeCell ref="G170:H170"/>
    <mergeCell ref="D171:H171"/>
    <mergeCell ref="D172:F172"/>
    <mergeCell ref="G172:H172"/>
    <mergeCell ref="D173:H173"/>
    <mergeCell ref="G182:H182"/>
    <mergeCell ref="G188:H188"/>
    <mergeCell ref="G191:H191"/>
    <mergeCell ref="D192:H192"/>
    <mergeCell ref="D193:F193"/>
    <mergeCell ref="G193:H193"/>
    <mergeCell ref="D194:H194"/>
    <mergeCell ref="G203:H203"/>
    <mergeCell ref="G209:H209"/>
    <mergeCell ref="G212:H212"/>
    <mergeCell ref="D213:H213"/>
    <mergeCell ref="D214:F214"/>
    <mergeCell ref="G214:H214"/>
    <mergeCell ref="D215:H215"/>
    <mergeCell ref="G224:H224"/>
    <mergeCell ref="G230:H230"/>
    <mergeCell ref="G233:H233"/>
    <mergeCell ref="D234:H234"/>
    <mergeCell ref="D235:F235"/>
    <mergeCell ref="G235:H235"/>
    <mergeCell ref="D236:H236"/>
    <mergeCell ref="G245:H245"/>
    <mergeCell ref="G251:H251"/>
    <mergeCell ref="C254:F254"/>
    <mergeCell ref="G254:H254"/>
    <mergeCell ref="D255:H255"/>
    <mergeCell ref="D256:F256"/>
    <mergeCell ref="G256:H256"/>
    <mergeCell ref="D257:H257"/>
    <mergeCell ref="G267:H267"/>
    <mergeCell ref="G274:H274"/>
    <mergeCell ref="G277:H277"/>
    <mergeCell ref="D278:H278"/>
    <mergeCell ref="D279:F279"/>
    <mergeCell ref="G279:H279"/>
    <mergeCell ref="D321:H321"/>
    <mergeCell ref="G330:H330"/>
    <mergeCell ref="G333:H333"/>
    <mergeCell ref="G336:H336"/>
    <mergeCell ref="D280:H280"/>
    <mergeCell ref="G291:H291"/>
    <mergeCell ref="G297:H297"/>
    <mergeCell ref="G300:H300"/>
    <mergeCell ref="D301:H301"/>
    <mergeCell ref="D302:F302"/>
    <mergeCell ref="G302:H302"/>
    <mergeCell ref="D303:H303"/>
    <mergeCell ref="G312:H312"/>
    <mergeCell ref="C645:C646"/>
    <mergeCell ref="D645:D646"/>
    <mergeCell ref="E645:E646"/>
    <mergeCell ref="F645:F646"/>
    <mergeCell ref="G645:G646"/>
    <mergeCell ref="G454:H454"/>
    <mergeCell ref="D455:H455"/>
    <mergeCell ref="G464:H464"/>
    <mergeCell ref="D357:H357"/>
    <mergeCell ref="G366:H366"/>
    <mergeCell ref="G370:H370"/>
    <mergeCell ref="G373:H373"/>
    <mergeCell ref="D374:H374"/>
    <mergeCell ref="D375:F375"/>
    <mergeCell ref="D376:H376"/>
    <mergeCell ref="G375:H375"/>
    <mergeCell ref="G385:H385"/>
    <mergeCell ref="D545:H545"/>
    <mergeCell ref="D546:F546"/>
    <mergeCell ref="G546:H546"/>
    <mergeCell ref="D547:H547"/>
    <mergeCell ref="G556:H556"/>
    <mergeCell ref="G564:H564"/>
    <mergeCell ref="C567:F567"/>
    <mergeCell ref="D454:F454"/>
    <mergeCell ref="G389:H389"/>
    <mergeCell ref="G392:H392"/>
    <mergeCell ref="D394:H394"/>
    <mergeCell ref="D395:F395"/>
    <mergeCell ref="G395:H395"/>
    <mergeCell ref="D396:H396"/>
    <mergeCell ref="D21:H21"/>
    <mergeCell ref="D22:F22"/>
    <mergeCell ref="D337:H337"/>
    <mergeCell ref="D338:F338"/>
    <mergeCell ref="G338:H338"/>
    <mergeCell ref="D339:H339"/>
    <mergeCell ref="G348:H348"/>
    <mergeCell ref="G351:H351"/>
    <mergeCell ref="G354:H354"/>
    <mergeCell ref="D356:F356"/>
    <mergeCell ref="G356:H356"/>
    <mergeCell ref="D355:H355"/>
    <mergeCell ref="G315:H315"/>
    <mergeCell ref="G318:H318"/>
    <mergeCell ref="D319:H319"/>
    <mergeCell ref="D320:F320"/>
    <mergeCell ref="G320:H320"/>
    <mergeCell ref="G432:H432"/>
    <mergeCell ref="D433:H433"/>
    <mergeCell ref="D434:F434"/>
    <mergeCell ref="G434:H434"/>
    <mergeCell ref="D435:H435"/>
    <mergeCell ref="G444:H444"/>
    <mergeCell ref="G449:H449"/>
    <mergeCell ref="G452:H452"/>
    <mergeCell ref="D453:H453"/>
    <mergeCell ref="G405:H405"/>
    <mergeCell ref="G409:H409"/>
    <mergeCell ref="G412:H412"/>
    <mergeCell ref="D413:H413"/>
    <mergeCell ref="D414:F414"/>
    <mergeCell ref="G414:H414"/>
    <mergeCell ref="D415:H415"/>
    <mergeCell ref="G424:H424"/>
    <mergeCell ref="G429:H429"/>
    <mergeCell ref="C652:H652"/>
    <mergeCell ref="C656:H656"/>
    <mergeCell ref="C659:H659"/>
    <mergeCell ref="D660:H660"/>
    <mergeCell ref="D661:F661"/>
    <mergeCell ref="D662:H662"/>
    <mergeCell ref="C665:C666"/>
    <mergeCell ref="D665:D666"/>
    <mergeCell ref="E665:E666"/>
    <mergeCell ref="F665:F666"/>
    <mergeCell ref="G665:G666"/>
    <mergeCell ref="F686:F687"/>
    <mergeCell ref="G686:G687"/>
    <mergeCell ref="C691:H691"/>
    <mergeCell ref="C672:H672"/>
    <mergeCell ref="C677:H677"/>
    <mergeCell ref="C680:H680"/>
    <mergeCell ref="D681:H681"/>
    <mergeCell ref="D682:F682"/>
    <mergeCell ref="D683:H683"/>
    <mergeCell ref="C698:H698"/>
    <mergeCell ref="C701:H701"/>
    <mergeCell ref="D702:H702"/>
    <mergeCell ref="D703:F703"/>
    <mergeCell ref="D704:H704"/>
    <mergeCell ref="D498:H498"/>
    <mergeCell ref="D499:F499"/>
    <mergeCell ref="G499:H499"/>
    <mergeCell ref="D500:H500"/>
    <mergeCell ref="G509:H509"/>
    <mergeCell ref="G517:H517"/>
    <mergeCell ref="G520:H520"/>
    <mergeCell ref="D521:H521"/>
    <mergeCell ref="D522:F522"/>
    <mergeCell ref="G522:H522"/>
    <mergeCell ref="D523:H523"/>
    <mergeCell ref="G532:H532"/>
    <mergeCell ref="C541:F541"/>
    <mergeCell ref="G541:H541"/>
    <mergeCell ref="C544:F544"/>
    <mergeCell ref="G544:H544"/>
    <mergeCell ref="C686:C687"/>
    <mergeCell ref="D686:D687"/>
    <mergeCell ref="E686:E687"/>
    <mergeCell ref="G472:H472"/>
    <mergeCell ref="G475:H475"/>
    <mergeCell ref="D476:H476"/>
    <mergeCell ref="D477:F477"/>
    <mergeCell ref="G477:H477"/>
    <mergeCell ref="D478:H478"/>
    <mergeCell ref="G487:H487"/>
    <mergeCell ref="G495:H495"/>
    <mergeCell ref="C497:F497"/>
    <mergeCell ref="G497:H497"/>
    <mergeCell ref="C707:C708"/>
    <mergeCell ref="D707:D708"/>
    <mergeCell ref="E707:E708"/>
    <mergeCell ref="F707:F708"/>
    <mergeCell ref="G707:G708"/>
    <mergeCell ref="C735:C736"/>
    <mergeCell ref="D735:D736"/>
    <mergeCell ref="E735:E736"/>
    <mergeCell ref="F735:F736"/>
    <mergeCell ref="G735:G736"/>
    <mergeCell ref="C742:H742"/>
    <mergeCell ref="C714:H714"/>
    <mergeCell ref="C726:H726"/>
    <mergeCell ref="C729:H729"/>
    <mergeCell ref="D730:H730"/>
    <mergeCell ref="D731:F731"/>
    <mergeCell ref="D732:H732"/>
    <mergeCell ref="C771:H771"/>
    <mergeCell ref="C778:H778"/>
    <mergeCell ref="C781:H781"/>
    <mergeCell ref="D782:H782"/>
    <mergeCell ref="D783:F783"/>
    <mergeCell ref="D784:H784"/>
    <mergeCell ref="C754:H754"/>
    <mergeCell ref="C757:H757"/>
    <mergeCell ref="D758:H758"/>
    <mergeCell ref="D759:F759"/>
    <mergeCell ref="D760:H760"/>
    <mergeCell ref="C763:C764"/>
    <mergeCell ref="D763:D764"/>
    <mergeCell ref="E763:E764"/>
    <mergeCell ref="F763:F764"/>
    <mergeCell ref="G763:G764"/>
    <mergeCell ref="C802:H802"/>
    <mergeCell ref="C805:H805"/>
    <mergeCell ref="D806:H806"/>
    <mergeCell ref="D807:F807"/>
    <mergeCell ref="D808:H808"/>
    <mergeCell ref="C787:C788"/>
    <mergeCell ref="D787:D788"/>
    <mergeCell ref="E787:E788"/>
    <mergeCell ref="F787:F788"/>
    <mergeCell ref="G787:G788"/>
    <mergeCell ref="C795:H795"/>
  </mergeCells>
  <printOptions horizontalCentered="1"/>
  <pageMargins left="0.39370078740157483" right="0.31496062992125984" top="0.74803149606299213" bottom="0.74803149606299213" header="0.31496062992125984" footer="0.31496062992125984"/>
  <pageSetup paperSize="258" scale="89" firstPageNumber="39" fitToHeight="0" orientation="portrait" useFirstPageNumber="1" horizontalDpi="4294967293" r:id="rId1"/>
  <headerFooter>
    <oddFooter>&amp;R&amp;P</oddFooter>
  </headerFooter>
  <rowBreaks count="13" manualBreakCount="13">
    <brk id="66" min="1" max="8" man="1"/>
    <brk id="131" max="16383" man="1"/>
    <brk id="195" min="1" max="8" man="1"/>
    <brk id="258" max="16383" man="1"/>
    <brk id="322" min="1" max="8" man="1"/>
    <brk id="377" max="16383" man="1"/>
    <brk id="436" min="1" max="8" man="1"/>
    <brk id="501" max="16383" man="1"/>
    <brk id="548" max="16383" man="1"/>
    <brk id="617" min="1" max="8" man="1"/>
    <brk id="684" max="16383" man="1"/>
    <brk id="733" min="1" max="8" man="1"/>
    <brk id="785" max="16383" man="1"/>
  </rowBreaks>
  <colBreaks count="1" manualBreakCount="1">
    <brk id="9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B1:Q527"/>
  <sheetViews>
    <sheetView showGridLines="0" view="pageBreakPreview" topLeftCell="A4" zoomScale="85" zoomScaleSheetLayoutView="85" workbookViewId="0">
      <selection activeCell="G275" sqref="G275"/>
    </sheetView>
  </sheetViews>
  <sheetFormatPr defaultRowHeight="12.75"/>
  <cols>
    <col min="1" max="1" width="9.140625" style="179"/>
    <col min="2" max="2" width="4.85546875" style="688" customWidth="1"/>
    <col min="3" max="3" width="5.140625" style="180" customWidth="1"/>
    <col min="4" max="4" width="22.42578125" style="179" customWidth="1"/>
    <col min="5" max="5" width="8.42578125" style="180" customWidth="1"/>
    <col min="6" max="6" width="11" style="179" customWidth="1"/>
    <col min="7" max="7" width="10.5703125" style="179" customWidth="1"/>
    <col min="8" max="8" width="13" style="179" customWidth="1"/>
    <col min="9" max="9" width="14.5703125" style="179" customWidth="1"/>
    <col min="10" max="16384" width="9.140625" style="179"/>
  </cols>
  <sheetData>
    <row r="1" spans="2:9" ht="15.95" customHeight="1">
      <c r="B1" s="967" t="s">
        <v>1659</v>
      </c>
    </row>
    <row r="2" spans="2:9" ht="14.1" customHeight="1">
      <c r="C2" s="179" t="s">
        <v>838</v>
      </c>
    </row>
    <row r="3" spans="2:9" ht="53.25" customHeight="1">
      <c r="C3" s="1214" t="s">
        <v>839</v>
      </c>
      <c r="D3" s="1214"/>
      <c r="E3" s="1214"/>
      <c r="F3" s="1214"/>
      <c r="G3" s="1214"/>
      <c r="H3" s="1214"/>
      <c r="I3" s="1214"/>
    </row>
    <row r="4" spans="2:9" s="732" customFormat="1" ht="15.95" customHeight="1" thickBot="1">
      <c r="B4" s="731">
        <v>1</v>
      </c>
      <c r="C4" s="181" t="s">
        <v>1113</v>
      </c>
      <c r="E4" s="733"/>
    </row>
    <row r="5" spans="2:9" ht="32.1" customHeight="1" thickBot="1">
      <c r="C5" s="692" t="s">
        <v>840</v>
      </c>
      <c r="D5" s="693" t="s">
        <v>841</v>
      </c>
      <c r="E5" s="693" t="s">
        <v>842</v>
      </c>
      <c r="F5" s="693" t="s">
        <v>843</v>
      </c>
      <c r="G5" s="693" t="s">
        <v>844</v>
      </c>
      <c r="H5" s="694" t="s">
        <v>845</v>
      </c>
      <c r="I5" s="695" t="s">
        <v>846</v>
      </c>
    </row>
    <row r="6" spans="2:9" ht="14.1" customHeight="1">
      <c r="C6" s="689" t="s">
        <v>7</v>
      </c>
      <c r="D6" s="187" t="s">
        <v>810</v>
      </c>
      <c r="E6" s="211"/>
      <c r="F6" s="190"/>
      <c r="G6" s="190"/>
      <c r="H6" s="190"/>
      <c r="I6" s="191"/>
    </row>
    <row r="7" spans="2:9" ht="14.1" customHeight="1">
      <c r="C7" s="186"/>
      <c r="D7" s="187" t="s">
        <v>10</v>
      </c>
      <c r="E7" s="188" t="s">
        <v>16</v>
      </c>
      <c r="F7" s="188" t="s">
        <v>726</v>
      </c>
      <c r="G7" s="189">
        <v>0.13200000000000001</v>
      </c>
      <c r="H7" s="190"/>
      <c r="I7" s="191"/>
    </row>
    <row r="8" spans="2:9" ht="14.1" customHeight="1">
      <c r="C8" s="186"/>
      <c r="D8" s="187" t="s">
        <v>143</v>
      </c>
      <c r="E8" s="188" t="s">
        <v>22</v>
      </c>
      <c r="F8" s="188" t="s">
        <v>726</v>
      </c>
      <c r="G8" s="189">
        <v>2.1999999999999999E-2</v>
      </c>
      <c r="H8" s="190"/>
      <c r="I8" s="191"/>
    </row>
    <row r="9" spans="2:9" ht="14.1" customHeight="1">
      <c r="C9" s="186"/>
      <c r="D9" s="187" t="s">
        <v>20</v>
      </c>
      <c r="E9" s="188" t="s">
        <v>21</v>
      </c>
      <c r="F9" s="188" t="s">
        <v>726</v>
      </c>
      <c r="G9" s="189">
        <v>2E-3</v>
      </c>
      <c r="H9" s="190"/>
      <c r="I9" s="191"/>
    </row>
    <row r="10" spans="2:9" ht="14.1" customHeight="1">
      <c r="C10" s="192"/>
      <c r="D10" s="193" t="s">
        <v>11</v>
      </c>
      <c r="E10" s="194" t="s">
        <v>17</v>
      </c>
      <c r="F10" s="194" t="s">
        <v>726</v>
      </c>
      <c r="G10" s="195">
        <v>7.0000000000000001E-3</v>
      </c>
      <c r="H10" s="196"/>
      <c r="I10" s="197"/>
    </row>
    <row r="11" spans="2:9" ht="14.1" customHeight="1">
      <c r="C11" s="198"/>
      <c r="D11" s="271"/>
      <c r="E11" s="217"/>
      <c r="F11" s="271"/>
      <c r="G11" s="1232" t="s">
        <v>727</v>
      </c>
      <c r="H11" s="1233"/>
      <c r="I11" s="199"/>
    </row>
    <row r="12" spans="2:9" ht="14.1" customHeight="1">
      <c r="C12" s="182" t="s">
        <v>8</v>
      </c>
      <c r="D12" s="200" t="s">
        <v>811</v>
      </c>
      <c r="E12" s="703"/>
      <c r="F12" s="184"/>
      <c r="G12" s="184"/>
      <c r="H12" s="184"/>
      <c r="I12" s="185"/>
    </row>
    <row r="13" spans="2:9" ht="14.1" customHeight="1">
      <c r="C13" s="186"/>
      <c r="D13" s="187" t="s">
        <v>812</v>
      </c>
      <c r="E13" s="211"/>
      <c r="F13" s="188" t="s">
        <v>734</v>
      </c>
      <c r="G13" s="189">
        <v>26.08</v>
      </c>
      <c r="H13" s="190"/>
      <c r="I13" s="191"/>
    </row>
    <row r="14" spans="2:9" ht="14.1" customHeight="1">
      <c r="C14" s="186"/>
      <c r="D14" s="187" t="s">
        <v>144</v>
      </c>
      <c r="E14" s="211"/>
      <c r="F14" s="188" t="s">
        <v>734</v>
      </c>
      <c r="G14" s="189">
        <v>60.8</v>
      </c>
      <c r="H14" s="190"/>
      <c r="I14" s="191"/>
    </row>
    <row r="15" spans="2:9" ht="14.1" customHeight="1">
      <c r="C15" s="186"/>
      <c r="D15" s="187" t="s">
        <v>813</v>
      </c>
      <c r="E15" s="211"/>
      <c r="F15" s="188" t="s">
        <v>734</v>
      </c>
      <c r="G15" s="189">
        <v>82.32</v>
      </c>
      <c r="H15" s="190"/>
      <c r="I15" s="191"/>
    </row>
    <row r="16" spans="2:9" ht="14.1" customHeight="1">
      <c r="C16" s="192"/>
      <c r="D16" s="193" t="s">
        <v>274</v>
      </c>
      <c r="E16" s="214"/>
      <c r="F16" s="194" t="s">
        <v>814</v>
      </c>
      <c r="G16" s="195">
        <v>17.2</v>
      </c>
      <c r="H16" s="196"/>
      <c r="I16" s="197"/>
    </row>
    <row r="17" spans="2:9" ht="14.1" customHeight="1">
      <c r="C17" s="198"/>
      <c r="D17" s="271"/>
      <c r="E17" s="217"/>
      <c r="F17" s="271"/>
      <c r="G17" s="1234" t="s">
        <v>728</v>
      </c>
      <c r="H17" s="1234"/>
      <c r="I17" s="201"/>
    </row>
    <row r="18" spans="2:9" ht="14.1" customHeight="1">
      <c r="C18" s="182" t="s">
        <v>9</v>
      </c>
      <c r="D18" s="183" t="s">
        <v>815</v>
      </c>
      <c r="E18" s="703"/>
      <c r="F18" s="184"/>
      <c r="G18" s="184"/>
      <c r="H18" s="184"/>
      <c r="I18" s="185"/>
    </row>
    <row r="19" spans="2:9" ht="14.1" customHeight="1">
      <c r="C19" s="192"/>
      <c r="D19" s="196"/>
      <c r="E19" s="214"/>
      <c r="F19" s="196"/>
      <c r="G19" s="196"/>
      <c r="H19" s="196"/>
      <c r="I19" s="197"/>
    </row>
    <row r="20" spans="2:9" ht="14.1" customHeight="1">
      <c r="C20" s="275"/>
      <c r="D20" s="202"/>
      <c r="E20" s="276"/>
      <c r="F20" s="203"/>
      <c r="G20" s="1220" t="s">
        <v>729</v>
      </c>
      <c r="H20" s="1221"/>
      <c r="I20" s="199"/>
    </row>
    <row r="21" spans="2:9" ht="14.1" customHeight="1">
      <c r="C21" s="204" t="s">
        <v>12</v>
      </c>
      <c r="D21" s="1205" t="s">
        <v>730</v>
      </c>
      <c r="E21" s="1206"/>
      <c r="F21" s="1206"/>
      <c r="G21" s="1206"/>
      <c r="H21" s="1206"/>
      <c r="I21" s="205"/>
    </row>
    <row r="22" spans="2:9" ht="14.1" customHeight="1">
      <c r="C22" s="206" t="s">
        <v>13</v>
      </c>
      <c r="D22" s="1207" t="s">
        <v>816</v>
      </c>
      <c r="E22" s="1208"/>
      <c r="F22" s="1209"/>
      <c r="G22" s="1210" t="s">
        <v>740</v>
      </c>
      <c r="H22" s="1211"/>
      <c r="I22" s="207"/>
    </row>
    <row r="23" spans="2:9" ht="14.1" customHeight="1" thickBot="1">
      <c r="C23" s="208" t="s">
        <v>14</v>
      </c>
      <c r="D23" s="1212" t="s">
        <v>817</v>
      </c>
      <c r="E23" s="1213"/>
      <c r="F23" s="1213"/>
      <c r="G23" s="1213"/>
      <c r="H23" s="1213"/>
      <c r="I23" s="209"/>
    </row>
    <row r="24" spans="2:9" ht="14.1" customHeight="1"/>
    <row r="25" spans="2:9" s="736" customFormat="1" ht="15.95" customHeight="1" thickBot="1">
      <c r="B25" s="737">
        <v>2</v>
      </c>
      <c r="C25" s="735" t="s">
        <v>1114</v>
      </c>
      <c r="E25" s="731"/>
    </row>
    <row r="26" spans="2:9" ht="35.1" customHeight="1" thickBot="1">
      <c r="C26" s="692" t="s">
        <v>840</v>
      </c>
      <c r="D26" s="693" t="s">
        <v>841</v>
      </c>
      <c r="E26" s="693" t="s">
        <v>842</v>
      </c>
      <c r="F26" s="693" t="s">
        <v>843</v>
      </c>
      <c r="G26" s="693" t="s">
        <v>844</v>
      </c>
      <c r="H26" s="693" t="s">
        <v>845</v>
      </c>
      <c r="I26" s="697" t="s">
        <v>846</v>
      </c>
    </row>
    <row r="27" spans="2:9" ht="14.1" customHeight="1">
      <c r="C27" s="689" t="s">
        <v>7</v>
      </c>
      <c r="D27" s="187" t="s">
        <v>810</v>
      </c>
      <c r="E27" s="211"/>
      <c r="F27" s="190"/>
      <c r="G27" s="190"/>
      <c r="H27" s="190"/>
      <c r="I27" s="191"/>
    </row>
    <row r="28" spans="2:9" ht="14.1" customHeight="1">
      <c r="C28" s="186"/>
      <c r="D28" s="212" t="s">
        <v>10</v>
      </c>
      <c r="E28" s="188" t="s">
        <v>16</v>
      </c>
      <c r="F28" s="188" t="s">
        <v>726</v>
      </c>
      <c r="G28" s="189">
        <v>0.16500000000000001</v>
      </c>
      <c r="H28" s="190"/>
      <c r="I28" s="191"/>
    </row>
    <row r="29" spans="2:9" ht="14.1" customHeight="1">
      <c r="C29" s="186"/>
      <c r="D29" s="212" t="s">
        <v>143</v>
      </c>
      <c r="E29" s="188" t="s">
        <v>22</v>
      </c>
      <c r="F29" s="188" t="s">
        <v>726</v>
      </c>
      <c r="G29" s="189">
        <v>2.8000000000000001E-2</v>
      </c>
      <c r="H29" s="190"/>
      <c r="I29" s="191"/>
    </row>
    <row r="30" spans="2:9" ht="14.1" customHeight="1">
      <c r="C30" s="186"/>
      <c r="D30" s="212" t="s">
        <v>20</v>
      </c>
      <c r="E30" s="188" t="s">
        <v>21</v>
      </c>
      <c r="F30" s="188" t="s">
        <v>726</v>
      </c>
      <c r="G30" s="189">
        <v>3.0000000000000001E-3</v>
      </c>
      <c r="H30" s="190"/>
      <c r="I30" s="191"/>
    </row>
    <row r="31" spans="2:9" ht="14.1" customHeight="1">
      <c r="C31" s="192"/>
      <c r="D31" s="215" t="s">
        <v>11</v>
      </c>
      <c r="E31" s="194" t="s">
        <v>17</v>
      </c>
      <c r="F31" s="194" t="s">
        <v>726</v>
      </c>
      <c r="G31" s="195">
        <v>8.0000000000000002E-3</v>
      </c>
      <c r="H31" s="196"/>
      <c r="I31" s="197"/>
    </row>
    <row r="32" spans="2:9" ht="14.1" customHeight="1">
      <c r="C32" s="198"/>
      <c r="D32" s="954"/>
      <c r="E32" s="217"/>
      <c r="F32" s="954"/>
      <c r="G32" s="1216" t="s">
        <v>727</v>
      </c>
      <c r="H32" s="1217"/>
      <c r="I32" s="199"/>
    </row>
    <row r="33" spans="2:9" ht="14.1" customHeight="1">
      <c r="C33" s="182" t="s">
        <v>8</v>
      </c>
      <c r="D33" s="183" t="s">
        <v>811</v>
      </c>
      <c r="E33" s="703"/>
      <c r="F33" s="184"/>
      <c r="G33" s="184"/>
      <c r="H33" s="184"/>
      <c r="I33" s="185"/>
    </row>
    <row r="34" spans="2:9" ht="14.1" customHeight="1">
      <c r="C34" s="186"/>
      <c r="D34" s="187" t="s">
        <v>812</v>
      </c>
      <c r="E34" s="211"/>
      <c r="F34" s="188" t="s">
        <v>734</v>
      </c>
      <c r="G34" s="189">
        <v>32.6</v>
      </c>
      <c r="H34" s="190"/>
      <c r="I34" s="191"/>
    </row>
    <row r="35" spans="2:9" ht="14.1" customHeight="1">
      <c r="C35" s="186"/>
      <c r="D35" s="187" t="s">
        <v>144</v>
      </c>
      <c r="E35" s="211"/>
      <c r="F35" s="188" t="s">
        <v>734</v>
      </c>
      <c r="G35" s="189">
        <v>76</v>
      </c>
      <c r="H35" s="190"/>
      <c r="I35" s="191"/>
    </row>
    <row r="36" spans="2:9" ht="14.1" customHeight="1">
      <c r="C36" s="186"/>
      <c r="D36" s="187" t="s">
        <v>818</v>
      </c>
      <c r="E36" s="211"/>
      <c r="F36" s="188" t="s">
        <v>734</v>
      </c>
      <c r="G36" s="189">
        <v>102.9</v>
      </c>
      <c r="H36" s="190"/>
      <c r="I36" s="191"/>
    </row>
    <row r="37" spans="2:9" ht="14.1" customHeight="1">
      <c r="C37" s="192"/>
      <c r="D37" s="193" t="s">
        <v>274</v>
      </c>
      <c r="E37" s="214"/>
      <c r="F37" s="194" t="s">
        <v>814</v>
      </c>
      <c r="G37" s="195">
        <v>21.5</v>
      </c>
      <c r="H37" s="196"/>
      <c r="I37" s="197"/>
    </row>
    <row r="38" spans="2:9" ht="14.1" customHeight="1">
      <c r="C38" s="198"/>
      <c r="D38" s="954"/>
      <c r="E38" s="217"/>
      <c r="F38" s="954"/>
      <c r="G38" s="1220" t="s">
        <v>728</v>
      </c>
      <c r="H38" s="1221"/>
      <c r="I38" s="199"/>
    </row>
    <row r="39" spans="2:9" ht="14.1" customHeight="1">
      <c r="C39" s="182" t="s">
        <v>9</v>
      </c>
      <c r="D39" s="183" t="s">
        <v>815</v>
      </c>
      <c r="E39" s="703"/>
      <c r="F39" s="184"/>
      <c r="G39" s="184"/>
      <c r="H39" s="184"/>
      <c r="I39" s="185"/>
    </row>
    <row r="40" spans="2:9" ht="14.1" customHeight="1">
      <c r="C40" s="192"/>
      <c r="D40" s="196"/>
      <c r="E40" s="214"/>
      <c r="F40" s="196"/>
      <c r="G40" s="196"/>
      <c r="H40" s="196"/>
      <c r="I40" s="197"/>
    </row>
    <row r="41" spans="2:9" ht="14.1" customHeight="1">
      <c r="C41" s="955"/>
      <c r="D41" s="202"/>
      <c r="E41" s="956"/>
      <c r="F41" s="203"/>
      <c r="G41" s="1220" t="s">
        <v>729</v>
      </c>
      <c r="H41" s="1221"/>
      <c r="I41" s="199"/>
    </row>
    <row r="42" spans="2:9" ht="14.1" customHeight="1">
      <c r="C42" s="204" t="s">
        <v>12</v>
      </c>
      <c r="D42" s="1205" t="s">
        <v>730</v>
      </c>
      <c r="E42" s="1206"/>
      <c r="F42" s="1206"/>
      <c r="G42" s="1206"/>
      <c r="H42" s="1235"/>
      <c r="I42" s="205"/>
    </row>
    <row r="43" spans="2:9" ht="14.1" customHeight="1">
      <c r="C43" s="206" t="s">
        <v>13</v>
      </c>
      <c r="D43" s="1207" t="s">
        <v>816</v>
      </c>
      <c r="E43" s="1208"/>
      <c r="F43" s="1209"/>
      <c r="G43" s="1210" t="s">
        <v>740</v>
      </c>
      <c r="H43" s="1215"/>
      <c r="I43" s="207"/>
    </row>
    <row r="44" spans="2:9" ht="14.1" customHeight="1" thickBot="1">
      <c r="C44" s="208" t="s">
        <v>14</v>
      </c>
      <c r="D44" s="1212" t="s">
        <v>817</v>
      </c>
      <c r="E44" s="1213"/>
      <c r="F44" s="1213"/>
      <c r="G44" s="1213"/>
      <c r="H44" s="1225"/>
      <c r="I44" s="209"/>
    </row>
    <row r="45" spans="2:9" ht="1.5" customHeight="1"/>
    <row r="46" spans="2:9" s="732" customFormat="1" ht="15.95" customHeight="1" thickBot="1">
      <c r="B46" s="731">
        <v>3</v>
      </c>
      <c r="C46" s="181" t="s">
        <v>1102</v>
      </c>
      <c r="E46" s="733"/>
    </row>
    <row r="47" spans="2:9" ht="35.1" customHeight="1" thickBot="1">
      <c r="C47" s="692" t="s">
        <v>840</v>
      </c>
      <c r="D47" s="693" t="s">
        <v>841</v>
      </c>
      <c r="E47" s="693" t="s">
        <v>842</v>
      </c>
      <c r="F47" s="693" t="s">
        <v>843</v>
      </c>
      <c r="G47" s="693" t="s">
        <v>844</v>
      </c>
      <c r="H47" s="693" t="s">
        <v>845</v>
      </c>
      <c r="I47" s="697" t="s">
        <v>846</v>
      </c>
    </row>
    <row r="48" spans="2:9" ht="14.1" customHeight="1">
      <c r="C48" s="689" t="s">
        <v>7</v>
      </c>
      <c r="D48" s="187" t="s">
        <v>810</v>
      </c>
      <c r="E48" s="211"/>
      <c r="F48" s="190"/>
      <c r="G48" s="190"/>
      <c r="H48" s="190"/>
      <c r="I48" s="191"/>
    </row>
    <row r="49" spans="3:9" ht="14.1" customHeight="1">
      <c r="C49" s="186"/>
      <c r="D49" s="187" t="s">
        <v>10</v>
      </c>
      <c r="E49" s="188" t="s">
        <v>16</v>
      </c>
      <c r="F49" s="188" t="s">
        <v>726</v>
      </c>
      <c r="G49" s="189">
        <v>0.19800000000000001</v>
      </c>
      <c r="H49" s="190"/>
      <c r="I49" s="191"/>
    </row>
    <row r="50" spans="3:9" ht="14.1" customHeight="1">
      <c r="C50" s="186"/>
      <c r="D50" s="187" t="s">
        <v>143</v>
      </c>
      <c r="E50" s="188" t="s">
        <v>22</v>
      </c>
      <c r="F50" s="188" t="s">
        <v>726</v>
      </c>
      <c r="G50" s="189">
        <v>3.3000000000000002E-2</v>
      </c>
      <c r="H50" s="190"/>
      <c r="I50" s="191"/>
    </row>
    <row r="51" spans="3:9" ht="14.1" customHeight="1">
      <c r="C51" s="186"/>
      <c r="D51" s="187" t="s">
        <v>20</v>
      </c>
      <c r="E51" s="188" t="s">
        <v>21</v>
      </c>
      <c r="F51" s="188" t="s">
        <v>726</v>
      </c>
      <c r="G51" s="189">
        <v>3.0000000000000001E-3</v>
      </c>
      <c r="H51" s="190"/>
      <c r="I51" s="191"/>
    </row>
    <row r="52" spans="3:9" ht="14.1" customHeight="1">
      <c r="C52" s="192"/>
      <c r="D52" s="193" t="s">
        <v>11</v>
      </c>
      <c r="E52" s="194" t="s">
        <v>17</v>
      </c>
      <c r="F52" s="194" t="s">
        <v>726</v>
      </c>
      <c r="G52" s="195">
        <v>0.01</v>
      </c>
      <c r="H52" s="196"/>
      <c r="I52" s="197"/>
    </row>
    <row r="53" spans="3:9" ht="14.1" customHeight="1">
      <c r="C53" s="198"/>
      <c r="D53" s="271"/>
      <c r="E53" s="217"/>
      <c r="F53" s="271"/>
      <c r="G53" s="1241" t="s">
        <v>727</v>
      </c>
      <c r="H53" s="1241"/>
      <c r="I53" s="201"/>
    </row>
    <row r="54" spans="3:9" ht="14.1" customHeight="1">
      <c r="C54" s="182" t="s">
        <v>8</v>
      </c>
      <c r="D54" s="200" t="s">
        <v>811</v>
      </c>
      <c r="E54" s="703"/>
      <c r="F54" s="184"/>
      <c r="G54" s="184"/>
      <c r="H54" s="184"/>
      <c r="I54" s="185"/>
    </row>
    <row r="55" spans="3:9" ht="14.1" customHeight="1">
      <c r="C55" s="186"/>
      <c r="D55" s="187" t="s">
        <v>812</v>
      </c>
      <c r="E55" s="211"/>
      <c r="F55" s="188" t="s">
        <v>734</v>
      </c>
      <c r="G55" s="189">
        <v>39.119999999999997</v>
      </c>
      <c r="H55" s="190"/>
      <c r="I55" s="191"/>
    </row>
    <row r="56" spans="3:9" ht="14.1" customHeight="1">
      <c r="C56" s="186"/>
      <c r="D56" s="187" t="s">
        <v>144</v>
      </c>
      <c r="E56" s="211"/>
      <c r="F56" s="188" t="s">
        <v>734</v>
      </c>
      <c r="G56" s="189">
        <v>91.2</v>
      </c>
      <c r="H56" s="190"/>
      <c r="I56" s="191"/>
    </row>
    <row r="57" spans="3:9" ht="14.1" customHeight="1">
      <c r="C57" s="186"/>
      <c r="D57" s="187" t="s">
        <v>818</v>
      </c>
      <c r="E57" s="211"/>
      <c r="F57" s="188" t="s">
        <v>734</v>
      </c>
      <c r="G57" s="189">
        <v>123.48</v>
      </c>
      <c r="H57" s="190"/>
      <c r="I57" s="191"/>
    </row>
    <row r="58" spans="3:9" ht="14.1" customHeight="1">
      <c r="C58" s="192"/>
      <c r="D58" s="193" t="s">
        <v>274</v>
      </c>
      <c r="E58" s="214"/>
      <c r="F58" s="194" t="s">
        <v>814</v>
      </c>
      <c r="G58" s="195">
        <v>25.8</v>
      </c>
      <c r="H58" s="196"/>
      <c r="I58" s="197"/>
    </row>
    <row r="59" spans="3:9" ht="14.1" customHeight="1">
      <c r="C59" s="198"/>
      <c r="D59" s="271"/>
      <c r="E59" s="217"/>
      <c r="F59" s="271"/>
      <c r="G59" s="1220" t="s">
        <v>728</v>
      </c>
      <c r="H59" s="1221"/>
      <c r="I59" s="201"/>
    </row>
    <row r="60" spans="3:9" ht="14.1" customHeight="1">
      <c r="C60" s="182" t="s">
        <v>9</v>
      </c>
      <c r="D60" s="183" t="s">
        <v>815</v>
      </c>
      <c r="E60" s="703"/>
      <c r="F60" s="184"/>
      <c r="G60" s="184"/>
      <c r="H60" s="184"/>
      <c r="I60" s="185"/>
    </row>
    <row r="61" spans="3:9" ht="14.1" customHeight="1">
      <c r="C61" s="192"/>
      <c r="D61" s="196"/>
      <c r="E61" s="214"/>
      <c r="F61" s="196"/>
      <c r="G61" s="196"/>
      <c r="H61" s="196"/>
      <c r="I61" s="197"/>
    </row>
    <row r="62" spans="3:9" ht="14.1" customHeight="1">
      <c r="C62" s="1244"/>
      <c r="D62" s="1245"/>
      <c r="E62" s="1245"/>
      <c r="F62" s="1246"/>
      <c r="G62" s="1220" t="s">
        <v>729</v>
      </c>
      <c r="H62" s="1221"/>
      <c r="I62" s="201"/>
    </row>
    <row r="63" spans="3:9" ht="14.1" customHeight="1">
      <c r="C63" s="204" t="s">
        <v>12</v>
      </c>
      <c r="D63" s="1205" t="s">
        <v>730</v>
      </c>
      <c r="E63" s="1206"/>
      <c r="F63" s="1206"/>
      <c r="G63" s="1206"/>
      <c r="H63" s="1206"/>
      <c r="I63" s="199"/>
    </row>
    <row r="64" spans="3:9" ht="14.1" customHeight="1">
      <c r="C64" s="206" t="s">
        <v>13</v>
      </c>
      <c r="D64" s="1207" t="s">
        <v>816</v>
      </c>
      <c r="E64" s="1208"/>
      <c r="F64" s="1209"/>
      <c r="G64" s="1210" t="s">
        <v>740</v>
      </c>
      <c r="H64" s="1215"/>
      <c r="I64" s="205"/>
    </row>
    <row r="65" spans="2:9" ht="14.1" customHeight="1" thickBot="1">
      <c r="C65" s="208" t="s">
        <v>14</v>
      </c>
      <c r="D65" s="1212" t="s">
        <v>817</v>
      </c>
      <c r="E65" s="1213"/>
      <c r="F65" s="1213"/>
      <c r="G65" s="1213"/>
      <c r="H65" s="1225"/>
      <c r="I65" s="209"/>
    </row>
    <row r="66" spans="2:9" ht="14.1" customHeight="1"/>
    <row r="67" spans="2:9" s="732" customFormat="1" ht="15.95" customHeight="1" thickBot="1">
      <c r="B67" s="731">
        <v>4</v>
      </c>
      <c r="C67" s="181" t="s">
        <v>1115</v>
      </c>
      <c r="E67" s="733"/>
    </row>
    <row r="68" spans="2:9" ht="35.1" customHeight="1" thickBot="1">
      <c r="C68" s="692" t="s">
        <v>840</v>
      </c>
      <c r="D68" s="693" t="s">
        <v>841</v>
      </c>
      <c r="E68" s="693" t="s">
        <v>842</v>
      </c>
      <c r="F68" s="693" t="s">
        <v>843</v>
      </c>
      <c r="G68" s="693" t="s">
        <v>844</v>
      </c>
      <c r="H68" s="693" t="s">
        <v>845</v>
      </c>
      <c r="I68" s="697" t="s">
        <v>846</v>
      </c>
    </row>
    <row r="69" spans="2:9" ht="14.1" customHeight="1">
      <c r="C69" s="689" t="s">
        <v>7</v>
      </c>
      <c r="D69" s="187" t="s">
        <v>810</v>
      </c>
      <c r="E69" s="211"/>
      <c r="F69" s="190"/>
      <c r="G69" s="190"/>
      <c r="H69" s="190"/>
      <c r="I69" s="191"/>
    </row>
    <row r="70" spans="2:9" ht="14.1" customHeight="1">
      <c r="C70" s="186"/>
      <c r="D70" s="187" t="s">
        <v>10</v>
      </c>
      <c r="E70" s="188" t="s">
        <v>16</v>
      </c>
      <c r="F70" s="188" t="s">
        <v>726</v>
      </c>
      <c r="G70" s="189">
        <v>0.248</v>
      </c>
      <c r="H70" s="190"/>
      <c r="I70" s="191"/>
    </row>
    <row r="71" spans="2:9" ht="14.1" customHeight="1">
      <c r="C71" s="186"/>
      <c r="D71" s="187" t="s">
        <v>143</v>
      </c>
      <c r="E71" s="188" t="s">
        <v>22</v>
      </c>
      <c r="F71" s="188" t="s">
        <v>726</v>
      </c>
      <c r="G71" s="189">
        <v>4.1000000000000002E-2</v>
      </c>
      <c r="H71" s="190"/>
      <c r="I71" s="191"/>
    </row>
    <row r="72" spans="2:9" ht="14.1" customHeight="1">
      <c r="C72" s="186"/>
      <c r="D72" s="187" t="s">
        <v>20</v>
      </c>
      <c r="E72" s="188" t="s">
        <v>21</v>
      </c>
      <c r="F72" s="188" t="s">
        <v>726</v>
      </c>
      <c r="G72" s="189">
        <v>4.0000000000000001E-3</v>
      </c>
      <c r="H72" s="190"/>
      <c r="I72" s="191"/>
    </row>
    <row r="73" spans="2:9" ht="14.1" customHeight="1">
      <c r="C73" s="192"/>
      <c r="D73" s="193" t="s">
        <v>11</v>
      </c>
      <c r="E73" s="194" t="s">
        <v>17</v>
      </c>
      <c r="F73" s="194" t="s">
        <v>726</v>
      </c>
      <c r="G73" s="195">
        <v>1.2999999999999999E-2</v>
      </c>
      <c r="H73" s="196"/>
      <c r="I73" s="197"/>
    </row>
    <row r="74" spans="2:9" ht="14.1" customHeight="1">
      <c r="C74" s="198"/>
      <c r="D74" s="271"/>
      <c r="E74" s="217"/>
      <c r="F74" s="271"/>
      <c r="G74" s="1241" t="s">
        <v>727</v>
      </c>
      <c r="H74" s="1241"/>
      <c r="I74" s="201"/>
    </row>
    <row r="75" spans="2:9" ht="14.1" customHeight="1">
      <c r="C75" s="182" t="s">
        <v>8</v>
      </c>
      <c r="D75" s="200" t="s">
        <v>811</v>
      </c>
      <c r="E75" s="703"/>
      <c r="F75" s="184"/>
      <c r="G75" s="184"/>
      <c r="H75" s="184"/>
      <c r="I75" s="185"/>
    </row>
    <row r="76" spans="2:9" ht="14.1" customHeight="1">
      <c r="C76" s="186"/>
      <c r="D76" s="187" t="s">
        <v>812</v>
      </c>
      <c r="E76" s="211"/>
      <c r="F76" s="188" t="s">
        <v>734</v>
      </c>
      <c r="G76" s="189">
        <v>48.9</v>
      </c>
      <c r="H76" s="190"/>
      <c r="I76" s="191"/>
    </row>
    <row r="77" spans="2:9" ht="14.1" customHeight="1">
      <c r="C77" s="186"/>
      <c r="D77" s="187" t="s">
        <v>144</v>
      </c>
      <c r="E77" s="211"/>
      <c r="F77" s="188" t="s">
        <v>734</v>
      </c>
      <c r="G77" s="189">
        <v>114</v>
      </c>
      <c r="H77" s="190"/>
      <c r="I77" s="191"/>
    </row>
    <row r="78" spans="2:9" ht="14.1" customHeight="1">
      <c r="C78" s="186"/>
      <c r="D78" s="187" t="s">
        <v>813</v>
      </c>
      <c r="E78" s="211"/>
      <c r="F78" s="188" t="s">
        <v>734</v>
      </c>
      <c r="G78" s="189">
        <v>154.35</v>
      </c>
      <c r="H78" s="190"/>
      <c r="I78" s="191"/>
    </row>
    <row r="79" spans="2:9" ht="14.1" customHeight="1">
      <c r="C79" s="192"/>
      <c r="D79" s="193" t="s">
        <v>274</v>
      </c>
      <c r="E79" s="214"/>
      <c r="F79" s="194" t="s">
        <v>814</v>
      </c>
      <c r="G79" s="195">
        <v>32.25</v>
      </c>
      <c r="H79" s="196"/>
      <c r="I79" s="197"/>
    </row>
    <row r="80" spans="2:9" ht="14.1" customHeight="1">
      <c r="C80" s="198"/>
      <c r="D80" s="271"/>
      <c r="E80" s="217"/>
      <c r="F80" s="271"/>
      <c r="G80" s="1220" t="s">
        <v>728</v>
      </c>
      <c r="H80" s="1221"/>
      <c r="I80" s="201"/>
    </row>
    <row r="81" spans="2:9" ht="14.1" customHeight="1">
      <c r="C81" s="266" t="s">
        <v>9</v>
      </c>
      <c r="D81" s="272" t="s">
        <v>815</v>
      </c>
      <c r="E81" s="704"/>
      <c r="F81" s="218"/>
      <c r="G81" s="218"/>
      <c r="H81" s="218"/>
      <c r="I81" s="199"/>
    </row>
    <row r="82" spans="2:9" ht="14.1" customHeight="1">
      <c r="C82" s="275"/>
      <c r="D82" s="202"/>
      <c r="E82" s="276"/>
      <c r="F82" s="203"/>
      <c r="G82" s="1220" t="s">
        <v>729</v>
      </c>
      <c r="H82" s="1221"/>
      <c r="I82" s="199"/>
    </row>
    <row r="83" spans="2:9" ht="14.1" customHeight="1">
      <c r="C83" s="204" t="s">
        <v>12</v>
      </c>
      <c r="D83" s="1205" t="s">
        <v>730</v>
      </c>
      <c r="E83" s="1206"/>
      <c r="F83" s="1206"/>
      <c r="G83" s="1206"/>
      <c r="H83" s="1235"/>
      <c r="I83" s="205"/>
    </row>
    <row r="84" spans="2:9" ht="14.1" customHeight="1">
      <c r="C84" s="206" t="s">
        <v>13</v>
      </c>
      <c r="D84" s="1207" t="s">
        <v>816</v>
      </c>
      <c r="E84" s="1208"/>
      <c r="F84" s="1209"/>
      <c r="G84" s="1210" t="s">
        <v>740</v>
      </c>
      <c r="H84" s="1215"/>
      <c r="I84" s="207"/>
    </row>
    <row r="85" spans="2:9" ht="14.1" customHeight="1" thickBot="1">
      <c r="C85" s="208" t="s">
        <v>14</v>
      </c>
      <c r="D85" s="1212" t="s">
        <v>817</v>
      </c>
      <c r="E85" s="1213"/>
      <c r="F85" s="1213"/>
      <c r="G85" s="1213"/>
      <c r="H85" s="1225"/>
      <c r="I85" s="209"/>
    </row>
    <row r="86" spans="2:9" ht="14.1" customHeight="1">
      <c r="C86" s="179"/>
    </row>
    <row r="87" spans="2:9" s="732" customFormat="1" ht="15.95" customHeight="1" thickBot="1">
      <c r="B87" s="731">
        <v>5</v>
      </c>
      <c r="C87" s="181" t="s">
        <v>1116</v>
      </c>
      <c r="E87" s="733"/>
    </row>
    <row r="88" spans="2:9" ht="35.1" customHeight="1" thickBot="1">
      <c r="C88" s="692" t="s">
        <v>840</v>
      </c>
      <c r="D88" s="693" t="s">
        <v>841</v>
      </c>
      <c r="E88" s="693" t="s">
        <v>842</v>
      </c>
      <c r="F88" s="693" t="s">
        <v>843</v>
      </c>
      <c r="G88" s="693" t="s">
        <v>844</v>
      </c>
      <c r="H88" s="693" t="s">
        <v>845</v>
      </c>
      <c r="I88" s="697" t="s">
        <v>846</v>
      </c>
    </row>
    <row r="89" spans="2:9" ht="14.1" customHeight="1">
      <c r="C89" s="689" t="s">
        <v>7</v>
      </c>
      <c r="D89" s="187" t="s">
        <v>810</v>
      </c>
      <c r="E89" s="211"/>
      <c r="F89" s="190"/>
      <c r="G89" s="190"/>
      <c r="H89" s="190"/>
      <c r="I89" s="191"/>
    </row>
    <row r="90" spans="2:9" ht="14.1" customHeight="1">
      <c r="C90" s="186"/>
      <c r="D90" s="187" t="s">
        <v>10</v>
      </c>
      <c r="E90" s="188" t="s">
        <v>16</v>
      </c>
      <c r="F90" s="188" t="s">
        <v>726</v>
      </c>
      <c r="G90" s="189">
        <v>7.0000000000000001E-3</v>
      </c>
      <c r="H90" s="190"/>
      <c r="I90" s="191"/>
    </row>
    <row r="91" spans="2:9" ht="14.1" customHeight="1">
      <c r="C91" s="186"/>
      <c r="D91" s="187" t="s">
        <v>26</v>
      </c>
      <c r="E91" s="188" t="s">
        <v>22</v>
      </c>
      <c r="F91" s="188" t="s">
        <v>726</v>
      </c>
      <c r="G91" s="189">
        <v>7.5999999999999998E-2</v>
      </c>
      <c r="H91" s="190"/>
      <c r="I91" s="191"/>
    </row>
    <row r="92" spans="2:9" ht="14.1" customHeight="1">
      <c r="C92" s="186"/>
      <c r="D92" s="187" t="s">
        <v>20</v>
      </c>
      <c r="E92" s="188" t="s">
        <v>21</v>
      </c>
      <c r="F92" s="188" t="s">
        <v>726</v>
      </c>
      <c r="G92" s="189">
        <v>8.0000000000000002E-3</v>
      </c>
      <c r="H92" s="190"/>
      <c r="I92" s="191"/>
    </row>
    <row r="93" spans="2:9" ht="14.1" customHeight="1">
      <c r="C93" s="192"/>
      <c r="D93" s="193" t="s">
        <v>11</v>
      </c>
      <c r="E93" s="194" t="s">
        <v>17</v>
      </c>
      <c r="F93" s="194" t="s">
        <v>726</v>
      </c>
      <c r="G93" s="195">
        <v>1E-3</v>
      </c>
      <c r="H93" s="196"/>
      <c r="I93" s="197"/>
    </row>
    <row r="94" spans="2:9" ht="14.1" customHeight="1">
      <c r="C94" s="198"/>
      <c r="D94" s="271"/>
      <c r="E94" s="217"/>
      <c r="F94" s="271"/>
      <c r="G94" s="1216" t="s">
        <v>727</v>
      </c>
      <c r="H94" s="1217"/>
      <c r="I94" s="199"/>
    </row>
    <row r="95" spans="2:9" ht="14.1" customHeight="1">
      <c r="C95" s="182" t="s">
        <v>8</v>
      </c>
      <c r="D95" s="183" t="s">
        <v>811</v>
      </c>
      <c r="E95" s="703"/>
      <c r="F95" s="184"/>
      <c r="G95" s="184"/>
      <c r="H95" s="184"/>
      <c r="I95" s="185"/>
    </row>
    <row r="96" spans="2:9" ht="14.1" customHeight="1">
      <c r="C96" s="186"/>
      <c r="D96" s="187" t="s">
        <v>819</v>
      </c>
      <c r="E96" s="211"/>
      <c r="F96" s="211" t="s">
        <v>750</v>
      </c>
      <c r="G96" s="189">
        <v>8.0000000000000002E-3</v>
      </c>
      <c r="H96" s="190"/>
      <c r="I96" s="191"/>
    </row>
    <row r="97" spans="2:9" ht="14.1" customHeight="1">
      <c r="C97" s="186"/>
      <c r="D97" s="190" t="s">
        <v>847</v>
      </c>
      <c r="E97" s="211"/>
      <c r="F97" s="188" t="s">
        <v>734</v>
      </c>
      <c r="G97" s="189">
        <v>9.3940000000000001</v>
      </c>
      <c r="H97" s="190"/>
      <c r="I97" s="191"/>
    </row>
    <row r="98" spans="2:9" ht="14.1" customHeight="1">
      <c r="C98" s="186"/>
      <c r="D98" s="187" t="s">
        <v>820</v>
      </c>
      <c r="E98" s="211"/>
      <c r="F98" s="211" t="s">
        <v>750</v>
      </c>
      <c r="G98" s="189">
        <v>5.0000000000000001E-3</v>
      </c>
      <c r="H98" s="190"/>
      <c r="I98" s="191"/>
    </row>
    <row r="99" spans="2:9" ht="14.1" customHeight="1">
      <c r="C99" s="186"/>
      <c r="D99" s="187" t="s">
        <v>821</v>
      </c>
      <c r="E99" s="211"/>
      <c r="F99" s="188" t="s">
        <v>822</v>
      </c>
      <c r="G99" s="189">
        <v>0.08</v>
      </c>
      <c r="H99" s="190"/>
      <c r="I99" s="191"/>
    </row>
    <row r="100" spans="2:9" ht="14.1" customHeight="1">
      <c r="C100" s="186"/>
      <c r="D100" s="187" t="s">
        <v>823</v>
      </c>
      <c r="E100" s="211"/>
      <c r="F100" s="188" t="s">
        <v>814</v>
      </c>
      <c r="G100" s="189">
        <v>0.2</v>
      </c>
      <c r="H100" s="190"/>
      <c r="I100" s="191"/>
    </row>
    <row r="101" spans="2:9" ht="14.1" customHeight="1">
      <c r="C101" s="192"/>
      <c r="D101" s="193" t="s">
        <v>824</v>
      </c>
      <c r="E101" s="214"/>
      <c r="F101" s="194" t="s">
        <v>825</v>
      </c>
      <c r="G101" s="195">
        <v>3.8820000000000001</v>
      </c>
      <c r="H101" s="196"/>
      <c r="I101" s="197"/>
    </row>
    <row r="102" spans="2:9" ht="14.1" customHeight="1">
      <c r="C102" s="1222"/>
      <c r="D102" s="1223"/>
      <c r="E102" s="1223"/>
      <c r="F102" s="1224"/>
      <c r="G102" s="1205" t="s">
        <v>728</v>
      </c>
      <c r="H102" s="1235"/>
      <c r="I102" s="205"/>
    </row>
    <row r="103" spans="2:9" ht="14.1" customHeight="1">
      <c r="C103" s="206" t="s">
        <v>9</v>
      </c>
      <c r="D103" s="219" t="s">
        <v>815</v>
      </c>
      <c r="E103" s="705"/>
      <c r="F103" s="220"/>
      <c r="G103" s="220"/>
      <c r="H103" s="220"/>
      <c r="I103" s="207"/>
    </row>
    <row r="104" spans="2:9" ht="14.1" customHeight="1">
      <c r="C104" s="1247"/>
      <c r="D104" s="1248"/>
      <c r="E104" s="1248"/>
      <c r="F104" s="1249"/>
      <c r="G104" s="1210" t="s">
        <v>729</v>
      </c>
      <c r="H104" s="1215"/>
      <c r="I104" s="207"/>
    </row>
    <row r="105" spans="2:9" ht="14.1" customHeight="1">
      <c r="C105" s="206" t="s">
        <v>12</v>
      </c>
      <c r="D105" s="1210" t="s">
        <v>730</v>
      </c>
      <c r="E105" s="1211"/>
      <c r="F105" s="1211"/>
      <c r="G105" s="1211"/>
      <c r="H105" s="1215"/>
      <c r="I105" s="207"/>
    </row>
    <row r="106" spans="2:9" ht="14.1" customHeight="1">
      <c r="C106" s="206" t="s">
        <v>13</v>
      </c>
      <c r="D106" s="1207" t="s">
        <v>816</v>
      </c>
      <c r="E106" s="1208"/>
      <c r="F106" s="1209"/>
      <c r="G106" s="1210" t="s">
        <v>740</v>
      </c>
      <c r="H106" s="1215"/>
      <c r="I106" s="207"/>
    </row>
    <row r="107" spans="2:9" ht="14.1" customHeight="1" thickBot="1">
      <c r="C107" s="208" t="s">
        <v>14</v>
      </c>
      <c r="D107" s="1212" t="s">
        <v>817</v>
      </c>
      <c r="E107" s="1213"/>
      <c r="F107" s="1213"/>
      <c r="G107" s="1213"/>
      <c r="H107" s="1225"/>
      <c r="I107" s="209"/>
    </row>
    <row r="108" spans="2:9" ht="14.1" customHeight="1"/>
    <row r="109" spans="2:9" s="732" customFormat="1" ht="14.1" customHeight="1" thickBot="1">
      <c r="B109" s="731">
        <v>6</v>
      </c>
      <c r="C109" s="964" t="s">
        <v>1117</v>
      </c>
      <c r="E109" s="733"/>
    </row>
    <row r="110" spans="2:9" ht="14.1" customHeight="1" thickBot="1">
      <c r="C110" s="692" t="s">
        <v>840</v>
      </c>
      <c r="D110" s="693" t="s">
        <v>841</v>
      </c>
      <c r="E110" s="693" t="s">
        <v>842</v>
      </c>
      <c r="F110" s="693" t="s">
        <v>843</v>
      </c>
      <c r="G110" s="693" t="s">
        <v>844</v>
      </c>
      <c r="H110" s="693" t="s">
        <v>845</v>
      </c>
      <c r="I110" s="697" t="s">
        <v>846</v>
      </c>
    </row>
    <row r="111" spans="2:9" ht="14.1" customHeight="1">
      <c r="C111" s="689" t="s">
        <v>7</v>
      </c>
      <c r="D111" s="187" t="s">
        <v>810</v>
      </c>
      <c r="E111" s="211"/>
      <c r="F111" s="190"/>
      <c r="G111" s="190"/>
      <c r="H111" s="190"/>
      <c r="I111" s="191"/>
    </row>
    <row r="112" spans="2:9" ht="14.1" customHeight="1">
      <c r="C112" s="186"/>
      <c r="D112" s="187" t="s">
        <v>10</v>
      </c>
      <c r="E112" s="188" t="s">
        <v>16</v>
      </c>
      <c r="F112" s="188" t="s">
        <v>726</v>
      </c>
      <c r="G112" s="189">
        <v>4.0000000000000001E-3</v>
      </c>
      <c r="H112" s="190"/>
      <c r="I112" s="191"/>
    </row>
    <row r="113" spans="3:9" ht="14.1" customHeight="1">
      <c r="C113" s="186"/>
      <c r="D113" s="187" t="s">
        <v>26</v>
      </c>
      <c r="E113" s="188" t="s">
        <v>22</v>
      </c>
      <c r="F113" s="188" t="s">
        <v>726</v>
      </c>
      <c r="G113" s="189">
        <v>3.7999999999999999E-2</v>
      </c>
      <c r="H113" s="190"/>
      <c r="I113" s="191"/>
    </row>
    <row r="114" spans="3:9" ht="14.1" customHeight="1">
      <c r="C114" s="186"/>
      <c r="D114" s="187" t="s">
        <v>20</v>
      </c>
      <c r="E114" s="188" t="s">
        <v>21</v>
      </c>
      <c r="F114" s="188" t="s">
        <v>726</v>
      </c>
      <c r="G114" s="189">
        <v>4.0000000000000001E-3</v>
      </c>
      <c r="H114" s="190"/>
      <c r="I114" s="191"/>
    </row>
    <row r="115" spans="3:9" ht="14.1" customHeight="1">
      <c r="C115" s="192"/>
      <c r="D115" s="193" t="s">
        <v>11</v>
      </c>
      <c r="E115" s="194" t="s">
        <v>17</v>
      </c>
      <c r="F115" s="194" t="s">
        <v>726</v>
      </c>
      <c r="G115" s="195">
        <v>1E-3</v>
      </c>
      <c r="H115" s="196"/>
      <c r="I115" s="197"/>
    </row>
    <row r="116" spans="3:9" ht="14.1" customHeight="1">
      <c r="C116" s="198"/>
      <c r="D116" s="271"/>
      <c r="E116" s="217"/>
      <c r="F116" s="271"/>
      <c r="G116" s="1232" t="s">
        <v>727</v>
      </c>
      <c r="H116" s="1233"/>
      <c r="I116" s="199"/>
    </row>
    <row r="117" spans="3:9" ht="14.1" customHeight="1">
      <c r="C117" s="182" t="s">
        <v>8</v>
      </c>
      <c r="D117" s="200" t="s">
        <v>811</v>
      </c>
      <c r="E117" s="703"/>
      <c r="F117" s="184"/>
      <c r="G117" s="184"/>
      <c r="H117" s="184"/>
      <c r="I117" s="185"/>
    </row>
    <row r="118" spans="3:9" ht="14.1" customHeight="1">
      <c r="C118" s="186"/>
      <c r="D118" s="187" t="s">
        <v>820</v>
      </c>
      <c r="E118" s="211"/>
      <c r="F118" s="211" t="s">
        <v>750</v>
      </c>
      <c r="G118" s="189">
        <v>5.0000000000000001E-3</v>
      </c>
      <c r="H118" s="190"/>
      <c r="I118" s="191"/>
    </row>
    <row r="119" spans="3:9" ht="14.1" customHeight="1">
      <c r="C119" s="186"/>
      <c r="D119" s="187" t="s">
        <v>821</v>
      </c>
      <c r="E119" s="211"/>
      <c r="F119" s="188" t="s">
        <v>822</v>
      </c>
      <c r="G119" s="189">
        <v>4.2999999999999997E-2</v>
      </c>
      <c r="H119" s="190"/>
      <c r="I119" s="191"/>
    </row>
    <row r="120" spans="3:9" ht="14.1" customHeight="1">
      <c r="C120" s="186"/>
      <c r="D120" s="187" t="s">
        <v>823</v>
      </c>
      <c r="E120" s="211"/>
      <c r="F120" s="188" t="s">
        <v>814</v>
      </c>
      <c r="G120" s="189">
        <v>0.2</v>
      </c>
      <c r="H120" s="190"/>
      <c r="I120" s="191"/>
    </row>
    <row r="121" spans="3:9" ht="14.1" customHeight="1">
      <c r="C121" s="186"/>
      <c r="D121" s="187" t="s">
        <v>826</v>
      </c>
      <c r="E121" s="211"/>
      <c r="F121" s="188" t="s">
        <v>56</v>
      </c>
      <c r="G121" s="189">
        <v>4.5999999999999999E-2</v>
      </c>
      <c r="H121" s="190"/>
      <c r="I121" s="191"/>
    </row>
    <row r="122" spans="3:9" ht="14.1" customHeight="1">
      <c r="C122" s="192"/>
      <c r="D122" s="193" t="s">
        <v>827</v>
      </c>
      <c r="E122" s="214"/>
      <c r="F122" s="194" t="s">
        <v>825</v>
      </c>
      <c r="G122" s="195">
        <v>0.69299999999999995</v>
      </c>
      <c r="H122" s="196"/>
      <c r="I122" s="197"/>
    </row>
    <row r="123" spans="3:9" ht="14.1" customHeight="1">
      <c r="C123" s="198"/>
      <c r="D123" s="271"/>
      <c r="E123" s="217"/>
      <c r="F123" s="271"/>
      <c r="G123" s="1234" t="s">
        <v>728</v>
      </c>
      <c r="H123" s="1234"/>
      <c r="I123" s="201"/>
    </row>
    <row r="124" spans="3:9" ht="14.1" customHeight="1">
      <c r="C124" s="266" t="s">
        <v>9</v>
      </c>
      <c r="D124" s="272" t="s">
        <v>815</v>
      </c>
      <c r="E124" s="704"/>
      <c r="F124" s="218"/>
      <c r="G124" s="218"/>
      <c r="H124" s="218"/>
      <c r="I124" s="199"/>
    </row>
    <row r="125" spans="3:9" ht="14.1" customHeight="1">
      <c r="C125" s="275"/>
      <c r="D125" s="202"/>
      <c r="E125" s="276"/>
      <c r="F125" s="203"/>
      <c r="G125" s="1220" t="s">
        <v>729</v>
      </c>
      <c r="H125" s="1221"/>
      <c r="I125" s="199"/>
    </row>
    <row r="126" spans="3:9" ht="14.1" customHeight="1">
      <c r="C126" s="204" t="s">
        <v>12</v>
      </c>
      <c r="D126" s="1205" t="s">
        <v>730</v>
      </c>
      <c r="E126" s="1206"/>
      <c r="F126" s="1206"/>
      <c r="G126" s="1206"/>
      <c r="H126" s="1235"/>
      <c r="I126" s="205"/>
    </row>
    <row r="127" spans="3:9" ht="14.1" customHeight="1">
      <c r="C127" s="206" t="s">
        <v>13</v>
      </c>
      <c r="D127" s="1207" t="s">
        <v>816</v>
      </c>
      <c r="E127" s="1208"/>
      <c r="F127" s="1209"/>
      <c r="G127" s="1210" t="s">
        <v>740</v>
      </c>
      <c r="H127" s="1215"/>
      <c r="I127" s="207"/>
    </row>
    <row r="128" spans="3:9" ht="14.1" customHeight="1" thickBot="1">
      <c r="C128" s="208" t="s">
        <v>14</v>
      </c>
      <c r="D128" s="1212" t="s">
        <v>817</v>
      </c>
      <c r="E128" s="1213"/>
      <c r="F128" s="1213"/>
      <c r="G128" s="1213"/>
      <c r="H128" s="1225"/>
      <c r="I128" s="209"/>
    </row>
    <row r="129" spans="2:9" ht="14.1" customHeight="1"/>
    <row r="130" spans="2:9" s="732" customFormat="1" ht="15.95" customHeight="1" thickBot="1">
      <c r="B130" s="731">
        <v>7</v>
      </c>
      <c r="C130" s="181" t="s">
        <v>1103</v>
      </c>
      <c r="E130" s="733"/>
    </row>
    <row r="131" spans="2:9" ht="32.1" customHeight="1" thickBot="1">
      <c r="C131" s="692" t="s">
        <v>840</v>
      </c>
      <c r="D131" s="693" t="s">
        <v>841</v>
      </c>
      <c r="E131" s="693" t="s">
        <v>842</v>
      </c>
      <c r="F131" s="693" t="s">
        <v>843</v>
      </c>
      <c r="G131" s="693" t="s">
        <v>844</v>
      </c>
      <c r="H131" s="693" t="s">
        <v>845</v>
      </c>
      <c r="I131" s="697" t="s">
        <v>846</v>
      </c>
    </row>
    <row r="132" spans="2:9" ht="14.1" customHeight="1">
      <c r="C132" s="689" t="s">
        <v>7</v>
      </c>
      <c r="D132" s="187" t="s">
        <v>810</v>
      </c>
      <c r="E132" s="211"/>
      <c r="F132" s="190"/>
      <c r="G132" s="190"/>
      <c r="H132" s="190"/>
      <c r="I132" s="191"/>
    </row>
    <row r="133" spans="2:9" ht="14.1" customHeight="1">
      <c r="C133" s="186"/>
      <c r="D133" s="187" t="s">
        <v>10</v>
      </c>
      <c r="E133" s="188" t="s">
        <v>16</v>
      </c>
      <c r="F133" s="188" t="s">
        <v>726</v>
      </c>
      <c r="G133" s="189">
        <v>4.0000000000000001E-3</v>
      </c>
      <c r="H133" s="190"/>
      <c r="I133" s="191"/>
    </row>
    <row r="134" spans="2:9" ht="14.1" customHeight="1">
      <c r="C134" s="186"/>
      <c r="D134" s="187" t="s">
        <v>26</v>
      </c>
      <c r="E134" s="188" t="s">
        <v>22</v>
      </c>
      <c r="F134" s="188" t="s">
        <v>726</v>
      </c>
      <c r="G134" s="189">
        <v>3.7999999999999999E-2</v>
      </c>
      <c r="H134" s="190"/>
      <c r="I134" s="191"/>
    </row>
    <row r="135" spans="2:9" ht="14.1" customHeight="1">
      <c r="C135" s="186"/>
      <c r="D135" s="187" t="s">
        <v>20</v>
      </c>
      <c r="E135" s="188" t="s">
        <v>21</v>
      </c>
      <c r="F135" s="188" t="s">
        <v>726</v>
      </c>
      <c r="G135" s="189">
        <v>4.0000000000000001E-3</v>
      </c>
      <c r="H135" s="190"/>
      <c r="I135" s="191"/>
    </row>
    <row r="136" spans="2:9" ht="14.1" customHeight="1">
      <c r="C136" s="192"/>
      <c r="D136" s="193" t="s">
        <v>11</v>
      </c>
      <c r="E136" s="194" t="s">
        <v>17</v>
      </c>
      <c r="F136" s="194" t="s">
        <v>726</v>
      </c>
      <c r="G136" s="195">
        <v>1E-3</v>
      </c>
      <c r="H136" s="196"/>
      <c r="I136" s="197"/>
    </row>
    <row r="137" spans="2:9" ht="14.1" customHeight="1">
      <c r="C137" s="198"/>
      <c r="D137" s="271"/>
      <c r="E137" s="217"/>
      <c r="F137" s="271"/>
      <c r="G137" s="1232" t="s">
        <v>727</v>
      </c>
      <c r="H137" s="1233"/>
      <c r="I137" s="201"/>
    </row>
    <row r="138" spans="2:9" ht="14.1" customHeight="1">
      <c r="C138" s="182" t="s">
        <v>8</v>
      </c>
      <c r="D138" s="200" t="s">
        <v>811</v>
      </c>
      <c r="E138" s="703"/>
      <c r="F138" s="184"/>
      <c r="G138" s="184"/>
      <c r="H138" s="184"/>
      <c r="I138" s="185"/>
    </row>
    <row r="139" spans="2:9" ht="14.1" customHeight="1">
      <c r="C139" s="186"/>
      <c r="D139" s="187" t="s">
        <v>820</v>
      </c>
      <c r="E139" s="211"/>
      <c r="F139" s="211" t="s">
        <v>750</v>
      </c>
      <c r="G139" s="189">
        <v>4.0000000000000001E-3</v>
      </c>
      <c r="H139" s="190"/>
      <c r="I139" s="191"/>
    </row>
    <row r="140" spans="2:9" ht="14.1" customHeight="1">
      <c r="C140" s="186"/>
      <c r="D140" s="187" t="s">
        <v>821</v>
      </c>
      <c r="E140" s="211"/>
      <c r="F140" s="188" t="s">
        <v>822</v>
      </c>
      <c r="G140" s="189">
        <v>4.8000000000000001E-2</v>
      </c>
      <c r="H140" s="190"/>
      <c r="I140" s="191"/>
    </row>
    <row r="141" spans="2:9" ht="14.1" customHeight="1">
      <c r="C141" s="186"/>
      <c r="D141" s="187" t="s">
        <v>823</v>
      </c>
      <c r="E141" s="211"/>
      <c r="F141" s="188" t="s">
        <v>814</v>
      </c>
      <c r="G141" s="189">
        <v>0.2</v>
      </c>
      <c r="H141" s="190"/>
      <c r="I141" s="191"/>
    </row>
    <row r="142" spans="2:9" ht="14.1" customHeight="1">
      <c r="C142" s="186"/>
      <c r="D142" s="187" t="s">
        <v>826</v>
      </c>
      <c r="E142" s="211"/>
      <c r="F142" s="188" t="s">
        <v>734</v>
      </c>
      <c r="G142" s="189">
        <v>4.5999999999999999E-2</v>
      </c>
      <c r="H142" s="190"/>
      <c r="I142" s="191"/>
    </row>
    <row r="143" spans="2:9" ht="14.1" customHeight="1">
      <c r="C143" s="192"/>
      <c r="D143" s="193" t="s">
        <v>828</v>
      </c>
      <c r="E143" s="214"/>
      <c r="F143" s="194" t="s">
        <v>825</v>
      </c>
      <c r="G143" s="195">
        <v>0.69299999999999995</v>
      </c>
      <c r="H143" s="196"/>
      <c r="I143" s="197"/>
    </row>
    <row r="144" spans="2:9" ht="14.1" customHeight="1">
      <c r="C144" s="1222"/>
      <c r="D144" s="1223"/>
      <c r="E144" s="1223"/>
      <c r="F144" s="1224"/>
      <c r="G144" s="1205" t="s">
        <v>728</v>
      </c>
      <c r="H144" s="1235"/>
      <c r="I144" s="205"/>
    </row>
    <row r="145" spans="2:9" ht="14.1" customHeight="1">
      <c r="C145" s="206" t="s">
        <v>9</v>
      </c>
      <c r="D145" s="219" t="s">
        <v>815</v>
      </c>
      <c r="E145" s="705"/>
      <c r="F145" s="220"/>
      <c r="G145" s="220"/>
      <c r="H145" s="220"/>
      <c r="I145" s="207"/>
    </row>
    <row r="146" spans="2:9" ht="14.1" customHeight="1">
      <c r="C146" s="1247"/>
      <c r="D146" s="1248"/>
      <c r="E146" s="1248"/>
      <c r="F146" s="1249"/>
      <c r="G146" s="1210" t="s">
        <v>729</v>
      </c>
      <c r="H146" s="1215"/>
      <c r="I146" s="207"/>
    </row>
    <row r="147" spans="2:9" ht="14.1" customHeight="1">
      <c r="C147" s="206" t="s">
        <v>12</v>
      </c>
      <c r="D147" s="1210" t="s">
        <v>730</v>
      </c>
      <c r="E147" s="1211"/>
      <c r="F147" s="1211"/>
      <c r="G147" s="1211"/>
      <c r="H147" s="1215"/>
      <c r="I147" s="207"/>
    </row>
    <row r="148" spans="2:9" ht="14.1" customHeight="1">
      <c r="C148" s="206" t="s">
        <v>13</v>
      </c>
      <c r="D148" s="1207" t="s">
        <v>816</v>
      </c>
      <c r="E148" s="1208"/>
      <c r="F148" s="1209"/>
      <c r="G148" s="1210" t="s">
        <v>740</v>
      </c>
      <c r="H148" s="1215"/>
      <c r="I148" s="207"/>
    </row>
    <row r="149" spans="2:9" ht="14.1" customHeight="1" thickBot="1">
      <c r="C149" s="208" t="s">
        <v>14</v>
      </c>
      <c r="D149" s="1212" t="s">
        <v>817</v>
      </c>
      <c r="E149" s="1213"/>
      <c r="F149" s="1213"/>
      <c r="G149" s="1213"/>
      <c r="H149" s="1225"/>
      <c r="I149" s="209"/>
    </row>
    <row r="150" spans="2:9" ht="14.1" customHeight="1"/>
    <row r="151" spans="2:9" s="732" customFormat="1" ht="15.95" customHeight="1" thickBot="1">
      <c r="B151" s="731">
        <v>8</v>
      </c>
      <c r="C151" s="181" t="s">
        <v>1104</v>
      </c>
      <c r="E151" s="733"/>
    </row>
    <row r="152" spans="2:9" ht="32.1" customHeight="1" thickBot="1">
      <c r="C152" s="692" t="s">
        <v>840</v>
      </c>
      <c r="D152" s="693" t="s">
        <v>841</v>
      </c>
      <c r="E152" s="693" t="s">
        <v>842</v>
      </c>
      <c r="F152" s="693" t="s">
        <v>843</v>
      </c>
      <c r="G152" s="693" t="s">
        <v>844</v>
      </c>
      <c r="H152" s="693" t="s">
        <v>845</v>
      </c>
      <c r="I152" s="697" t="s">
        <v>846</v>
      </c>
    </row>
    <row r="153" spans="2:9" ht="14.1" customHeight="1">
      <c r="C153" s="689" t="s">
        <v>7</v>
      </c>
      <c r="D153" s="187" t="s">
        <v>810</v>
      </c>
      <c r="E153" s="211"/>
      <c r="F153" s="190"/>
      <c r="G153" s="190"/>
      <c r="H153" s="190"/>
      <c r="I153" s="191"/>
    </row>
    <row r="154" spans="2:9" ht="14.1" customHeight="1">
      <c r="C154" s="186"/>
      <c r="D154" s="187" t="s">
        <v>10</v>
      </c>
      <c r="E154" s="188" t="s">
        <v>16</v>
      </c>
      <c r="F154" s="188" t="s">
        <v>726</v>
      </c>
      <c r="G154" s="189">
        <v>5.2999999999999999E-2</v>
      </c>
      <c r="H154" s="190"/>
      <c r="I154" s="191"/>
    </row>
    <row r="155" spans="2:9" ht="14.1" customHeight="1">
      <c r="C155" s="186"/>
      <c r="D155" s="187" t="s">
        <v>26</v>
      </c>
      <c r="E155" s="188" t="s">
        <v>22</v>
      </c>
      <c r="F155" s="188" t="s">
        <v>726</v>
      </c>
      <c r="G155" s="189">
        <v>1.7999999999999999E-2</v>
      </c>
      <c r="H155" s="190"/>
      <c r="I155" s="191"/>
    </row>
    <row r="156" spans="2:9" ht="14.1" customHeight="1">
      <c r="C156" s="192"/>
      <c r="D156" s="193" t="s">
        <v>11</v>
      </c>
      <c r="E156" s="194" t="s">
        <v>17</v>
      </c>
      <c r="F156" s="194" t="s">
        <v>726</v>
      </c>
      <c r="G156" s="195">
        <v>5.0000000000000001E-3</v>
      </c>
      <c r="H156" s="196"/>
      <c r="I156" s="197"/>
    </row>
    <row r="157" spans="2:9" ht="14.1" customHeight="1">
      <c r="C157" s="198"/>
      <c r="D157" s="271"/>
      <c r="E157" s="217"/>
      <c r="F157" s="271"/>
      <c r="G157" s="1234" t="s">
        <v>727</v>
      </c>
      <c r="H157" s="1234"/>
      <c r="I157" s="201"/>
    </row>
    <row r="158" spans="2:9" ht="14.1" customHeight="1">
      <c r="C158" s="266" t="s">
        <v>8</v>
      </c>
      <c r="D158" s="222" t="s">
        <v>811</v>
      </c>
      <c r="E158" s="704"/>
      <c r="F158" s="218"/>
      <c r="G158" s="218"/>
      <c r="H158" s="218"/>
      <c r="I158" s="199"/>
    </row>
    <row r="159" spans="2:9" ht="14.1" customHeight="1">
      <c r="C159" s="198"/>
      <c r="D159" s="271"/>
      <c r="E159" s="217"/>
      <c r="F159" s="271"/>
      <c r="G159" s="1228" t="s">
        <v>728</v>
      </c>
      <c r="H159" s="1228"/>
      <c r="I159" s="201"/>
    </row>
    <row r="160" spans="2:9" ht="14.1" customHeight="1">
      <c r="C160" s="266" t="s">
        <v>9</v>
      </c>
      <c r="D160" s="272" t="s">
        <v>815</v>
      </c>
      <c r="E160" s="704"/>
      <c r="F160" s="218"/>
      <c r="G160" s="218"/>
      <c r="H160" s="218"/>
      <c r="I160" s="199"/>
    </row>
    <row r="161" spans="2:9" ht="14.1" customHeight="1">
      <c r="C161" s="275"/>
      <c r="D161" s="202"/>
      <c r="E161" s="276"/>
      <c r="F161" s="203"/>
      <c r="G161" s="1220" t="s">
        <v>729</v>
      </c>
      <c r="H161" s="1221"/>
      <c r="I161" s="199"/>
    </row>
    <row r="162" spans="2:9" ht="14.1" customHeight="1">
      <c r="C162" s="204" t="s">
        <v>12</v>
      </c>
      <c r="D162" s="1205" t="s">
        <v>730</v>
      </c>
      <c r="E162" s="1206"/>
      <c r="F162" s="1206"/>
      <c r="G162" s="1206"/>
      <c r="H162" s="1235"/>
      <c r="I162" s="205"/>
    </row>
    <row r="163" spans="2:9" ht="14.1" customHeight="1">
      <c r="C163" s="206" t="s">
        <v>13</v>
      </c>
      <c r="D163" s="1207" t="s">
        <v>816</v>
      </c>
      <c r="E163" s="1208"/>
      <c r="F163" s="1209"/>
      <c r="G163" s="1210" t="s">
        <v>740</v>
      </c>
      <c r="H163" s="1215"/>
      <c r="I163" s="207"/>
    </row>
    <row r="164" spans="2:9" ht="14.1" customHeight="1" thickBot="1">
      <c r="C164" s="208" t="s">
        <v>14</v>
      </c>
      <c r="D164" s="1212" t="s">
        <v>817</v>
      </c>
      <c r="E164" s="1213"/>
      <c r="F164" s="1213"/>
      <c r="G164" s="1213"/>
      <c r="H164" s="1225"/>
      <c r="I164" s="209"/>
    </row>
    <row r="165" spans="2:9" ht="14.1" customHeight="1">
      <c r="C165" s="221"/>
    </row>
    <row r="166" spans="2:9" s="732" customFormat="1" ht="15.95" customHeight="1" thickBot="1">
      <c r="B166" s="731">
        <v>9</v>
      </c>
      <c r="C166" s="181" t="s">
        <v>1105</v>
      </c>
      <c r="E166" s="733"/>
    </row>
    <row r="167" spans="2:9" ht="32.1" customHeight="1" thickBot="1">
      <c r="C167" s="692" t="s">
        <v>840</v>
      </c>
      <c r="D167" s="693" t="s">
        <v>841</v>
      </c>
      <c r="E167" s="693" t="s">
        <v>842</v>
      </c>
      <c r="F167" s="693" t="s">
        <v>843</v>
      </c>
      <c r="G167" s="693" t="s">
        <v>844</v>
      </c>
      <c r="H167" s="693" t="s">
        <v>845</v>
      </c>
      <c r="I167" s="697" t="s">
        <v>846</v>
      </c>
    </row>
    <row r="168" spans="2:9" ht="14.1" customHeight="1">
      <c r="C168" s="689" t="s">
        <v>7</v>
      </c>
      <c r="D168" s="187" t="s">
        <v>810</v>
      </c>
      <c r="E168" s="211"/>
      <c r="F168" s="190"/>
      <c r="G168" s="190"/>
      <c r="H168" s="190"/>
      <c r="I168" s="191"/>
    </row>
    <row r="169" spans="2:9" ht="14.1" customHeight="1">
      <c r="C169" s="186"/>
      <c r="D169" s="187" t="s">
        <v>10</v>
      </c>
      <c r="E169" s="188" t="s">
        <v>16</v>
      </c>
      <c r="F169" s="188" t="s">
        <v>726</v>
      </c>
      <c r="G169" s="189">
        <v>8.8999999999999996E-2</v>
      </c>
      <c r="H169" s="190"/>
      <c r="I169" s="191"/>
    </row>
    <row r="170" spans="2:9" ht="14.1" customHeight="1">
      <c r="C170" s="186"/>
      <c r="D170" s="187" t="s">
        <v>26</v>
      </c>
      <c r="E170" s="188" t="s">
        <v>22</v>
      </c>
      <c r="F170" s="188" t="s">
        <v>726</v>
      </c>
      <c r="G170" s="189">
        <v>0.03</v>
      </c>
      <c r="H170" s="190"/>
      <c r="I170" s="191"/>
    </row>
    <row r="171" spans="2:9" ht="14.1" customHeight="1">
      <c r="C171" s="192"/>
      <c r="D171" s="193" t="s">
        <v>11</v>
      </c>
      <c r="E171" s="194" t="s">
        <v>17</v>
      </c>
      <c r="F171" s="194" t="s">
        <v>726</v>
      </c>
      <c r="G171" s="195">
        <v>5.0000000000000001E-3</v>
      </c>
      <c r="H171" s="196"/>
      <c r="I171" s="197"/>
    </row>
    <row r="172" spans="2:9" ht="14.1" customHeight="1">
      <c r="C172" s="198"/>
      <c r="D172" s="271"/>
      <c r="E172" s="217"/>
      <c r="F172" s="271"/>
      <c r="G172" s="1220" t="s">
        <v>727</v>
      </c>
      <c r="H172" s="1221"/>
      <c r="I172" s="199"/>
    </row>
    <row r="173" spans="2:9" ht="14.1" customHeight="1">
      <c r="C173" s="266" t="s">
        <v>8</v>
      </c>
      <c r="D173" s="222" t="s">
        <v>811</v>
      </c>
      <c r="E173" s="704"/>
      <c r="F173" s="218"/>
      <c r="G173" s="218"/>
      <c r="H173" s="218"/>
      <c r="I173" s="199"/>
    </row>
    <row r="174" spans="2:9" ht="14.1" customHeight="1">
      <c r="C174" s="198"/>
      <c r="D174" s="271"/>
      <c r="E174" s="217"/>
      <c r="F174" s="271"/>
      <c r="G174" s="1220" t="s">
        <v>728</v>
      </c>
      <c r="H174" s="1221"/>
      <c r="I174" s="201"/>
    </row>
    <row r="175" spans="2:9" ht="14.1" customHeight="1">
      <c r="C175" s="182" t="s">
        <v>9</v>
      </c>
      <c r="D175" s="183" t="s">
        <v>815</v>
      </c>
      <c r="E175" s="703"/>
      <c r="F175" s="184"/>
      <c r="G175" s="184"/>
      <c r="H175" s="184"/>
      <c r="I175" s="185"/>
    </row>
    <row r="176" spans="2:9" ht="14.1" customHeight="1">
      <c r="C176" s="192"/>
      <c r="D176" s="196"/>
      <c r="E176" s="214"/>
      <c r="F176" s="196"/>
      <c r="G176" s="196"/>
      <c r="H176" s="196"/>
      <c r="I176" s="197"/>
    </row>
    <row r="177" spans="2:9" ht="14.1" customHeight="1">
      <c r="C177" s="275"/>
      <c r="D177" s="202"/>
      <c r="E177" s="276"/>
      <c r="F177" s="203"/>
      <c r="G177" s="1220" t="s">
        <v>729</v>
      </c>
      <c r="H177" s="1221"/>
      <c r="I177" s="199"/>
    </row>
    <row r="178" spans="2:9" ht="14.1" customHeight="1">
      <c r="C178" s="204" t="s">
        <v>12</v>
      </c>
      <c r="D178" s="1205" t="s">
        <v>730</v>
      </c>
      <c r="E178" s="1206"/>
      <c r="F178" s="1206"/>
      <c r="G178" s="1206"/>
      <c r="H178" s="1235"/>
      <c r="I178" s="205"/>
    </row>
    <row r="179" spans="2:9" ht="14.1" customHeight="1">
      <c r="C179" s="206" t="s">
        <v>13</v>
      </c>
      <c r="D179" s="1207" t="s">
        <v>816</v>
      </c>
      <c r="E179" s="1208"/>
      <c r="F179" s="1209"/>
      <c r="G179" s="1210" t="s">
        <v>740</v>
      </c>
      <c r="H179" s="1215"/>
      <c r="I179" s="207"/>
    </row>
    <row r="180" spans="2:9" ht="14.1" customHeight="1" thickBot="1">
      <c r="C180" s="208" t="s">
        <v>14</v>
      </c>
      <c r="D180" s="1212" t="s">
        <v>817</v>
      </c>
      <c r="E180" s="1213"/>
      <c r="F180" s="1213"/>
      <c r="G180" s="1213"/>
      <c r="H180" s="1225"/>
      <c r="I180" s="209"/>
    </row>
    <row r="181" spans="2:9" ht="14.1" customHeight="1">
      <c r="C181" s="221"/>
    </row>
    <row r="182" spans="2:9" s="732" customFormat="1" ht="15.95" customHeight="1" thickBot="1">
      <c r="B182" s="731">
        <v>10</v>
      </c>
      <c r="C182" s="181" t="s">
        <v>1106</v>
      </c>
      <c r="E182" s="733"/>
    </row>
    <row r="183" spans="2:9" ht="32.1" customHeight="1" thickBot="1">
      <c r="C183" s="692" t="s">
        <v>840</v>
      </c>
      <c r="D183" s="693" t="s">
        <v>841</v>
      </c>
      <c r="E183" s="693" t="s">
        <v>842</v>
      </c>
      <c r="F183" s="693" t="s">
        <v>843</v>
      </c>
      <c r="G183" s="693" t="s">
        <v>844</v>
      </c>
      <c r="H183" s="693" t="s">
        <v>845</v>
      </c>
      <c r="I183" s="697" t="s">
        <v>846</v>
      </c>
    </row>
    <row r="184" spans="2:9" ht="14.1" customHeight="1">
      <c r="C184" s="689" t="s">
        <v>7</v>
      </c>
      <c r="D184" s="187" t="s">
        <v>810</v>
      </c>
      <c r="E184" s="211"/>
      <c r="F184" s="190"/>
      <c r="G184" s="190"/>
      <c r="H184" s="190"/>
      <c r="I184" s="191"/>
    </row>
    <row r="185" spans="2:9" ht="14.1" customHeight="1">
      <c r="C185" s="186"/>
      <c r="D185" s="187" t="s">
        <v>10</v>
      </c>
      <c r="E185" s="188" t="s">
        <v>16</v>
      </c>
      <c r="F185" s="188" t="s">
        <v>726</v>
      </c>
      <c r="G185" s="189">
        <v>7.0999999999999994E-2</v>
      </c>
      <c r="H185" s="190"/>
      <c r="I185" s="191"/>
    </row>
    <row r="186" spans="2:9" ht="14.1" customHeight="1">
      <c r="C186" s="186"/>
      <c r="D186" s="187" t="s">
        <v>26</v>
      </c>
      <c r="E186" s="188" t="s">
        <v>22</v>
      </c>
      <c r="F186" s="188" t="s">
        <v>726</v>
      </c>
      <c r="G186" s="189">
        <v>2.4E-2</v>
      </c>
      <c r="H186" s="190"/>
      <c r="I186" s="191"/>
    </row>
    <row r="187" spans="2:9" ht="14.1" customHeight="1">
      <c r="C187" s="192"/>
      <c r="D187" s="193" t="s">
        <v>11</v>
      </c>
      <c r="E187" s="194" t="s">
        <v>17</v>
      </c>
      <c r="F187" s="194" t="s">
        <v>726</v>
      </c>
      <c r="G187" s="195">
        <v>5.0000000000000001E-3</v>
      </c>
      <c r="H187" s="196"/>
      <c r="I187" s="197"/>
    </row>
    <row r="188" spans="2:9" ht="14.1" customHeight="1">
      <c r="C188" s="275"/>
      <c r="D188" s="202"/>
      <c r="E188" s="276"/>
      <c r="F188" s="203"/>
      <c r="G188" s="1220" t="s">
        <v>727</v>
      </c>
      <c r="H188" s="1221"/>
      <c r="I188" s="199"/>
    </row>
    <row r="189" spans="2:9" ht="14.1" customHeight="1">
      <c r="C189" s="266" t="s">
        <v>8</v>
      </c>
      <c r="D189" s="222" t="s">
        <v>811</v>
      </c>
      <c r="E189" s="704"/>
      <c r="F189" s="218"/>
      <c r="G189" s="218"/>
      <c r="H189" s="218"/>
      <c r="I189" s="199"/>
    </row>
    <row r="190" spans="2:9" ht="14.1" customHeight="1">
      <c r="C190" s="198"/>
      <c r="D190" s="271"/>
      <c r="E190" s="217"/>
      <c r="F190" s="271"/>
      <c r="G190" s="1220" t="s">
        <v>728</v>
      </c>
      <c r="H190" s="1221"/>
      <c r="I190" s="201"/>
    </row>
    <row r="191" spans="2:9" ht="14.1" customHeight="1">
      <c r="C191" s="182" t="s">
        <v>9</v>
      </c>
      <c r="D191" s="183" t="s">
        <v>815</v>
      </c>
      <c r="E191" s="703"/>
      <c r="F191" s="184"/>
      <c r="G191" s="184"/>
      <c r="H191" s="184"/>
      <c r="I191" s="185"/>
    </row>
    <row r="192" spans="2:9" ht="14.1" customHeight="1">
      <c r="C192" s="192"/>
      <c r="D192" s="196"/>
      <c r="E192" s="214"/>
      <c r="F192" s="196"/>
      <c r="G192" s="196"/>
      <c r="H192" s="196"/>
      <c r="I192" s="197"/>
    </row>
    <row r="193" spans="2:9" ht="14.1" customHeight="1">
      <c r="C193" s="275"/>
      <c r="D193" s="202"/>
      <c r="E193" s="276"/>
      <c r="F193" s="203"/>
      <c r="G193" s="1220" t="s">
        <v>729</v>
      </c>
      <c r="H193" s="1221"/>
      <c r="I193" s="199"/>
    </row>
    <row r="194" spans="2:9" ht="14.1" customHeight="1">
      <c r="C194" s="204" t="s">
        <v>12</v>
      </c>
      <c r="D194" s="1205" t="s">
        <v>730</v>
      </c>
      <c r="E194" s="1206"/>
      <c r="F194" s="1206"/>
      <c r="G194" s="1206"/>
      <c r="H194" s="1235"/>
      <c r="I194" s="205"/>
    </row>
    <row r="195" spans="2:9" ht="14.1" customHeight="1">
      <c r="C195" s="206" t="s">
        <v>13</v>
      </c>
      <c r="D195" s="1207" t="s">
        <v>816</v>
      </c>
      <c r="E195" s="1208"/>
      <c r="F195" s="1209"/>
      <c r="G195" s="1210" t="s">
        <v>740</v>
      </c>
      <c r="H195" s="1215"/>
      <c r="I195" s="207"/>
    </row>
    <row r="196" spans="2:9" ht="14.1" customHeight="1" thickBot="1">
      <c r="C196" s="208" t="s">
        <v>14</v>
      </c>
      <c r="D196" s="1212" t="s">
        <v>817</v>
      </c>
      <c r="E196" s="1213"/>
      <c r="F196" s="1213"/>
      <c r="G196" s="1213"/>
      <c r="H196" s="1225"/>
      <c r="I196" s="209"/>
    </row>
    <row r="197" spans="2:9" ht="14.1" customHeight="1"/>
    <row r="198" spans="2:9" s="732" customFormat="1" ht="15.95" customHeight="1" thickBot="1">
      <c r="B198" s="731">
        <v>11</v>
      </c>
      <c r="C198" s="181" t="s">
        <v>1118</v>
      </c>
      <c r="E198" s="733"/>
    </row>
    <row r="199" spans="2:9" ht="35.1" customHeight="1" thickBot="1">
      <c r="C199" s="692" t="s">
        <v>840</v>
      </c>
      <c r="D199" s="693" t="s">
        <v>841</v>
      </c>
      <c r="E199" s="693" t="s">
        <v>842</v>
      </c>
      <c r="F199" s="693" t="s">
        <v>843</v>
      </c>
      <c r="G199" s="693" t="s">
        <v>844</v>
      </c>
      <c r="H199" s="693" t="s">
        <v>845</v>
      </c>
      <c r="I199" s="697" t="s">
        <v>846</v>
      </c>
    </row>
    <row r="200" spans="2:9" ht="14.1" customHeight="1">
      <c r="C200" s="689" t="s">
        <v>7</v>
      </c>
      <c r="D200" s="187" t="s">
        <v>810</v>
      </c>
      <c r="E200" s="211"/>
      <c r="F200" s="190"/>
      <c r="G200" s="190"/>
      <c r="H200" s="190"/>
      <c r="I200" s="191"/>
    </row>
    <row r="201" spans="2:9" ht="14.1" customHeight="1">
      <c r="C201" s="186"/>
      <c r="D201" s="213" t="s">
        <v>10</v>
      </c>
      <c r="E201" s="188" t="s">
        <v>16</v>
      </c>
      <c r="F201" s="188" t="s">
        <v>726</v>
      </c>
      <c r="G201" s="189">
        <v>6.4000000000000001E-2</v>
      </c>
      <c r="H201" s="190"/>
      <c r="I201" s="191"/>
    </row>
    <row r="202" spans="2:9" ht="14.1" customHeight="1">
      <c r="C202" s="186"/>
      <c r="D202" s="213" t="s">
        <v>143</v>
      </c>
      <c r="E202" s="188" t="s">
        <v>22</v>
      </c>
      <c r="F202" s="188" t="s">
        <v>726</v>
      </c>
      <c r="G202" s="189">
        <v>0.24399999999999999</v>
      </c>
      <c r="H202" s="190"/>
      <c r="I202" s="191"/>
    </row>
    <row r="203" spans="2:9" ht="14.1" customHeight="1">
      <c r="C203" s="186"/>
      <c r="D203" s="213" t="s">
        <v>829</v>
      </c>
      <c r="E203" s="188" t="s">
        <v>22</v>
      </c>
      <c r="F203" s="188" t="s">
        <v>726</v>
      </c>
      <c r="G203" s="189">
        <v>0.128</v>
      </c>
      <c r="H203" s="190"/>
      <c r="I203" s="191"/>
    </row>
    <row r="204" spans="2:9" ht="14.1" customHeight="1">
      <c r="C204" s="186"/>
      <c r="D204" s="213" t="s">
        <v>20</v>
      </c>
      <c r="E204" s="188" t="s">
        <v>21</v>
      </c>
      <c r="F204" s="188" t="s">
        <v>726</v>
      </c>
      <c r="G204" s="189">
        <v>3.4000000000000002E-2</v>
      </c>
      <c r="H204" s="190"/>
      <c r="I204" s="191"/>
    </row>
    <row r="205" spans="2:9" ht="14.1" customHeight="1">
      <c r="C205" s="192"/>
      <c r="D205" s="216" t="s">
        <v>11</v>
      </c>
      <c r="E205" s="194" t="s">
        <v>17</v>
      </c>
      <c r="F205" s="194" t="s">
        <v>726</v>
      </c>
      <c r="G205" s="195">
        <v>7.2999999999999995E-2</v>
      </c>
      <c r="H205" s="196"/>
      <c r="I205" s="197"/>
    </row>
    <row r="206" spans="2:9" ht="14.1" customHeight="1">
      <c r="C206" s="198"/>
      <c r="D206" s="271"/>
      <c r="E206" s="217"/>
      <c r="F206" s="271"/>
      <c r="G206" s="1234" t="s">
        <v>727</v>
      </c>
      <c r="H206" s="1234"/>
      <c r="I206" s="201"/>
    </row>
    <row r="207" spans="2:9" ht="14.1" customHeight="1">
      <c r="C207" s="266" t="s">
        <v>8</v>
      </c>
      <c r="D207" s="222" t="s">
        <v>811</v>
      </c>
      <c r="E207" s="704"/>
      <c r="F207" s="218"/>
      <c r="G207" s="218"/>
      <c r="H207" s="218"/>
      <c r="I207" s="199"/>
    </row>
    <row r="208" spans="2:9" ht="14.1" customHeight="1">
      <c r="C208" s="1244"/>
      <c r="D208" s="1245"/>
      <c r="E208" s="1245"/>
      <c r="F208" s="1246"/>
      <c r="G208" s="1220" t="s">
        <v>728</v>
      </c>
      <c r="H208" s="1221"/>
      <c r="I208" s="199"/>
    </row>
    <row r="209" spans="2:9" ht="14.1" customHeight="1">
      <c r="C209" s="266" t="s">
        <v>9</v>
      </c>
      <c r="D209" s="272" t="s">
        <v>815</v>
      </c>
      <c r="E209" s="704"/>
      <c r="F209" s="218"/>
      <c r="G209" s="218"/>
      <c r="H209" s="218"/>
      <c r="I209" s="199"/>
    </row>
    <row r="210" spans="2:9" ht="14.1" customHeight="1">
      <c r="C210" s="275"/>
      <c r="D210" s="202"/>
      <c r="E210" s="276"/>
      <c r="F210" s="203"/>
      <c r="G210" s="1220" t="s">
        <v>729</v>
      </c>
      <c r="H210" s="1221"/>
      <c r="I210" s="199"/>
    </row>
    <row r="211" spans="2:9" ht="14.1" customHeight="1">
      <c r="C211" s="204" t="s">
        <v>12</v>
      </c>
      <c r="D211" s="1205" t="s">
        <v>730</v>
      </c>
      <c r="E211" s="1206"/>
      <c r="F211" s="1206"/>
      <c r="G211" s="1206"/>
      <c r="H211" s="1235"/>
      <c r="I211" s="205"/>
    </row>
    <row r="212" spans="2:9" ht="14.1" customHeight="1">
      <c r="C212" s="206" t="s">
        <v>13</v>
      </c>
      <c r="D212" s="1207" t="s">
        <v>816</v>
      </c>
      <c r="E212" s="1208"/>
      <c r="F212" s="1209"/>
      <c r="G212" s="1210" t="s">
        <v>740</v>
      </c>
      <c r="H212" s="1215"/>
      <c r="I212" s="207"/>
    </row>
    <row r="213" spans="2:9" ht="14.1" customHeight="1" thickBot="1">
      <c r="C213" s="208" t="s">
        <v>14</v>
      </c>
      <c r="D213" s="1212" t="s">
        <v>817</v>
      </c>
      <c r="E213" s="1213"/>
      <c r="F213" s="1213"/>
      <c r="G213" s="1213"/>
      <c r="H213" s="1225"/>
      <c r="I213" s="209"/>
    </row>
    <row r="214" spans="2:9" ht="14.1" customHeight="1">
      <c r="C214" s="223"/>
      <c r="D214" s="274"/>
      <c r="E214" s="223"/>
      <c r="F214" s="274"/>
      <c r="G214" s="274"/>
      <c r="H214" s="274"/>
      <c r="I214" s="271"/>
    </row>
    <row r="215" spans="2:9" s="732" customFormat="1" ht="15.95" customHeight="1" thickBot="1">
      <c r="B215" s="731">
        <v>12</v>
      </c>
      <c r="C215" s="181" t="s">
        <v>1119</v>
      </c>
      <c r="E215" s="733"/>
    </row>
    <row r="216" spans="2:9" ht="35.1" customHeight="1" thickBot="1">
      <c r="C216" s="692" t="s">
        <v>840</v>
      </c>
      <c r="D216" s="693" t="s">
        <v>841</v>
      </c>
      <c r="E216" s="693" t="s">
        <v>842</v>
      </c>
      <c r="F216" s="694" t="s">
        <v>843</v>
      </c>
      <c r="G216" s="701" t="s">
        <v>844</v>
      </c>
      <c r="H216" s="702" t="s">
        <v>845</v>
      </c>
      <c r="I216" s="697" t="s">
        <v>846</v>
      </c>
    </row>
    <row r="217" spans="2:9" ht="14.1" customHeight="1">
      <c r="C217" s="689" t="s">
        <v>7</v>
      </c>
      <c r="D217" s="187" t="s">
        <v>810</v>
      </c>
      <c r="E217" s="211"/>
      <c r="F217" s="700"/>
      <c r="G217" s="190"/>
      <c r="H217" s="190"/>
      <c r="I217" s="191"/>
    </row>
    <row r="218" spans="2:9" ht="14.1" customHeight="1">
      <c r="C218" s="186"/>
      <c r="D218" s="187" t="s">
        <v>10</v>
      </c>
      <c r="E218" s="188" t="s">
        <v>16</v>
      </c>
      <c r="F218" s="224" t="s">
        <v>726</v>
      </c>
      <c r="G218" s="189">
        <v>6.9000000000000006E-2</v>
      </c>
      <c r="H218" s="190"/>
      <c r="I218" s="191"/>
    </row>
    <row r="219" spans="2:9" ht="14.1" customHeight="1">
      <c r="C219" s="186"/>
      <c r="D219" s="187" t="s">
        <v>143</v>
      </c>
      <c r="E219" s="188" t="s">
        <v>22</v>
      </c>
      <c r="F219" s="224" t="s">
        <v>726</v>
      </c>
      <c r="G219" s="189">
        <v>0.24199999999999999</v>
      </c>
      <c r="H219" s="190"/>
      <c r="I219" s="191"/>
    </row>
    <row r="220" spans="2:9" ht="14.1" customHeight="1">
      <c r="C220" s="186"/>
      <c r="D220" s="187" t="s">
        <v>829</v>
      </c>
      <c r="E220" s="188" t="s">
        <v>22</v>
      </c>
      <c r="F220" s="224" t="s">
        <v>726</v>
      </c>
      <c r="G220" s="189">
        <v>0.13800000000000001</v>
      </c>
      <c r="H220" s="190"/>
      <c r="I220" s="191"/>
    </row>
    <row r="221" spans="2:9" ht="14.1" customHeight="1">
      <c r="C221" s="186"/>
      <c r="D221" s="187" t="s">
        <v>20</v>
      </c>
      <c r="E221" s="188" t="s">
        <v>21</v>
      </c>
      <c r="F221" s="224" t="s">
        <v>726</v>
      </c>
      <c r="G221" s="189">
        <v>3.6999999999999998E-2</v>
      </c>
      <c r="H221" s="190"/>
      <c r="I221" s="191"/>
    </row>
    <row r="222" spans="2:9" ht="14.1" customHeight="1">
      <c r="C222" s="192"/>
      <c r="D222" s="193" t="s">
        <v>11</v>
      </c>
      <c r="E222" s="194" t="s">
        <v>17</v>
      </c>
      <c r="F222" s="225" t="s">
        <v>726</v>
      </c>
      <c r="G222" s="195">
        <v>7.2999999999999995E-2</v>
      </c>
      <c r="H222" s="196"/>
      <c r="I222" s="197"/>
    </row>
    <row r="223" spans="2:9" ht="14.1" customHeight="1">
      <c r="C223" s="198"/>
      <c r="D223" s="271"/>
      <c r="E223" s="217"/>
      <c r="F223" s="271"/>
      <c r="G223" s="1239" t="s">
        <v>727</v>
      </c>
      <c r="H223" s="1240"/>
      <c r="I223" s="185"/>
    </row>
    <row r="224" spans="2:9" ht="14.1" customHeight="1">
      <c r="C224" s="266" t="s">
        <v>8</v>
      </c>
      <c r="D224" s="272" t="s">
        <v>811</v>
      </c>
      <c r="E224" s="704"/>
      <c r="F224" s="218"/>
      <c r="G224" s="218"/>
      <c r="H224" s="218"/>
      <c r="I224" s="199"/>
    </row>
    <row r="225" spans="2:9" ht="14.1" customHeight="1">
      <c r="C225" s="275"/>
      <c r="D225" s="202"/>
      <c r="E225" s="276"/>
      <c r="F225" s="203"/>
      <c r="G225" s="1220" t="s">
        <v>728</v>
      </c>
      <c r="H225" s="1221"/>
      <c r="I225" s="199"/>
    </row>
    <row r="226" spans="2:9" ht="14.1" customHeight="1">
      <c r="C226" s="266" t="s">
        <v>9</v>
      </c>
      <c r="D226" s="272" t="s">
        <v>815</v>
      </c>
      <c r="E226" s="704"/>
      <c r="F226" s="218"/>
      <c r="G226" s="218"/>
      <c r="H226" s="218"/>
      <c r="I226" s="199"/>
    </row>
    <row r="227" spans="2:9" ht="14.1" customHeight="1">
      <c r="C227" s="198"/>
      <c r="D227" s="271"/>
      <c r="E227" s="217"/>
      <c r="F227" s="271"/>
      <c r="G227" s="1220" t="s">
        <v>729</v>
      </c>
      <c r="H227" s="1221"/>
      <c r="I227" s="199"/>
    </row>
    <row r="228" spans="2:9" ht="14.1" customHeight="1">
      <c r="C228" s="206" t="s">
        <v>12</v>
      </c>
      <c r="D228" s="1210" t="s">
        <v>730</v>
      </c>
      <c r="E228" s="1211"/>
      <c r="F228" s="1211"/>
      <c r="G228" s="1206"/>
      <c r="H228" s="1235"/>
      <c r="I228" s="205"/>
    </row>
    <row r="229" spans="2:9" ht="14.1" customHeight="1">
      <c r="C229" s="206" t="s">
        <v>13</v>
      </c>
      <c r="D229" s="1207" t="s">
        <v>816</v>
      </c>
      <c r="E229" s="1208"/>
      <c r="F229" s="1209"/>
      <c r="G229" s="1210" t="s">
        <v>740</v>
      </c>
      <c r="H229" s="1215"/>
      <c r="I229" s="207"/>
    </row>
    <row r="230" spans="2:9" ht="14.1" customHeight="1" thickBot="1">
      <c r="C230" s="208" t="s">
        <v>14</v>
      </c>
      <c r="D230" s="1212" t="s">
        <v>817</v>
      </c>
      <c r="E230" s="1213"/>
      <c r="F230" s="1213"/>
      <c r="G230" s="1213"/>
      <c r="H230" s="1225"/>
      <c r="I230" s="209"/>
    </row>
    <row r="231" spans="2:9" ht="14.1" customHeight="1"/>
    <row r="232" spans="2:9" s="732" customFormat="1" ht="15.95" customHeight="1" thickBot="1">
      <c r="B232" s="731">
        <v>13</v>
      </c>
      <c r="C232" s="181" t="s">
        <v>1120</v>
      </c>
      <c r="E232" s="733"/>
    </row>
    <row r="233" spans="2:9" ht="35.1" customHeight="1" thickBot="1">
      <c r="C233" s="692" t="s">
        <v>840</v>
      </c>
      <c r="D233" s="693" t="s">
        <v>841</v>
      </c>
      <c r="E233" s="693" t="s">
        <v>842</v>
      </c>
      <c r="F233" s="693" t="s">
        <v>843</v>
      </c>
      <c r="G233" s="693" t="s">
        <v>844</v>
      </c>
      <c r="H233" s="694" t="s">
        <v>845</v>
      </c>
      <c r="I233" s="697" t="s">
        <v>846</v>
      </c>
    </row>
    <row r="234" spans="2:9" ht="14.1" customHeight="1">
      <c r="C234" s="689" t="s">
        <v>7</v>
      </c>
      <c r="D234" s="187" t="s">
        <v>810</v>
      </c>
      <c r="E234" s="211"/>
      <c r="F234" s="190"/>
      <c r="G234" s="190"/>
      <c r="H234" s="190"/>
      <c r="I234" s="191"/>
    </row>
    <row r="235" spans="2:9" ht="14.1" customHeight="1">
      <c r="C235" s="186"/>
      <c r="D235" s="187" t="s">
        <v>10</v>
      </c>
      <c r="E235" s="188" t="s">
        <v>16</v>
      </c>
      <c r="F235" s="188" t="s">
        <v>726</v>
      </c>
      <c r="G235" s="189">
        <v>6.0999999999999999E-2</v>
      </c>
      <c r="H235" s="190"/>
      <c r="I235" s="191"/>
    </row>
    <row r="236" spans="2:9" ht="14.1" customHeight="1">
      <c r="C236" s="186"/>
      <c r="D236" s="187" t="s">
        <v>143</v>
      </c>
      <c r="E236" s="188" t="s">
        <v>22</v>
      </c>
      <c r="F236" s="188" t="s">
        <v>726</v>
      </c>
      <c r="G236" s="189">
        <v>0.21299999999999999</v>
      </c>
      <c r="H236" s="190"/>
      <c r="I236" s="191"/>
    </row>
    <row r="237" spans="2:9" ht="14.1" customHeight="1">
      <c r="C237" s="186"/>
      <c r="D237" s="187" t="s">
        <v>829</v>
      </c>
      <c r="E237" s="188" t="s">
        <v>22</v>
      </c>
      <c r="F237" s="188" t="s">
        <v>726</v>
      </c>
      <c r="G237" s="189">
        <v>0.122</v>
      </c>
      <c r="H237" s="190"/>
      <c r="I237" s="191"/>
    </row>
    <row r="238" spans="2:9" ht="14.1" customHeight="1">
      <c r="C238" s="186"/>
      <c r="D238" s="187" t="s">
        <v>20</v>
      </c>
      <c r="E238" s="188" t="s">
        <v>21</v>
      </c>
      <c r="F238" s="188" t="s">
        <v>726</v>
      </c>
      <c r="G238" s="189">
        <v>3.3000000000000002E-2</v>
      </c>
      <c r="H238" s="190"/>
      <c r="I238" s="191"/>
    </row>
    <row r="239" spans="2:9" ht="14.1" customHeight="1">
      <c r="C239" s="192"/>
      <c r="D239" s="193" t="s">
        <v>830</v>
      </c>
      <c r="E239" s="194" t="s">
        <v>17</v>
      </c>
      <c r="F239" s="194" t="s">
        <v>726</v>
      </c>
      <c r="G239" s="195">
        <v>7.2999999999999995E-2</v>
      </c>
      <c r="H239" s="196"/>
      <c r="I239" s="197"/>
    </row>
    <row r="240" spans="2:9" ht="14.1" customHeight="1">
      <c r="C240" s="198"/>
      <c r="D240" s="271"/>
      <c r="E240" s="217"/>
      <c r="F240" s="271"/>
      <c r="G240" s="1216" t="s">
        <v>727</v>
      </c>
      <c r="H240" s="1217"/>
      <c r="I240" s="199"/>
    </row>
    <row r="241" spans="2:9" ht="14.1" customHeight="1">
      <c r="C241" s="266" t="s">
        <v>8</v>
      </c>
      <c r="D241" s="222" t="s">
        <v>811</v>
      </c>
      <c r="E241" s="704"/>
      <c r="F241" s="218"/>
      <c r="G241" s="218"/>
      <c r="H241" s="218"/>
      <c r="I241" s="199"/>
    </row>
    <row r="242" spans="2:9" ht="14.1" customHeight="1">
      <c r="C242" s="275"/>
      <c r="D242" s="202"/>
      <c r="E242" s="276"/>
      <c r="F242" s="203"/>
      <c r="G242" s="1220" t="s">
        <v>728</v>
      </c>
      <c r="H242" s="1221"/>
      <c r="I242" s="199"/>
    </row>
    <row r="243" spans="2:9" ht="14.1" customHeight="1">
      <c r="C243" s="266" t="s">
        <v>9</v>
      </c>
      <c r="D243" s="272" t="s">
        <v>815</v>
      </c>
      <c r="E243" s="704"/>
      <c r="F243" s="218"/>
      <c r="G243" s="218"/>
      <c r="H243" s="218"/>
      <c r="I243" s="199"/>
    </row>
    <row r="244" spans="2:9" ht="14.1" customHeight="1">
      <c r="C244" s="198"/>
      <c r="D244" s="271"/>
      <c r="E244" s="217"/>
      <c r="F244" s="271"/>
      <c r="G244" s="1220" t="s">
        <v>729</v>
      </c>
      <c r="H244" s="1221"/>
      <c r="I244" s="199"/>
    </row>
    <row r="245" spans="2:9" ht="14.1" customHeight="1">
      <c r="C245" s="206" t="s">
        <v>12</v>
      </c>
      <c r="D245" s="1210" t="s">
        <v>730</v>
      </c>
      <c r="E245" s="1211"/>
      <c r="F245" s="1211"/>
      <c r="G245" s="1206"/>
      <c r="H245" s="1206"/>
      <c r="I245" s="205"/>
    </row>
    <row r="246" spans="2:9" ht="14.1" customHeight="1">
      <c r="C246" s="206" t="s">
        <v>13</v>
      </c>
      <c r="D246" s="1207" t="s">
        <v>816</v>
      </c>
      <c r="E246" s="1208"/>
      <c r="F246" s="1209"/>
      <c r="G246" s="1210" t="s">
        <v>740</v>
      </c>
      <c r="H246" s="1211"/>
      <c r="I246" s="207"/>
    </row>
    <row r="247" spans="2:9" ht="14.1" customHeight="1" thickBot="1">
      <c r="C247" s="208" t="s">
        <v>14</v>
      </c>
      <c r="D247" s="1212" t="s">
        <v>817</v>
      </c>
      <c r="E247" s="1213"/>
      <c r="F247" s="1213"/>
      <c r="G247" s="1213"/>
      <c r="H247" s="1213"/>
      <c r="I247" s="209"/>
    </row>
    <row r="248" spans="2:9" ht="14.1" customHeight="1">
      <c r="C248" s="223"/>
      <c r="D248" s="274"/>
      <c r="E248" s="223"/>
      <c r="F248" s="274"/>
      <c r="G248" s="274"/>
      <c r="H248" s="274"/>
      <c r="I248" s="271"/>
    </row>
    <row r="249" spans="2:9" s="732" customFormat="1" ht="15.95" customHeight="1" thickBot="1">
      <c r="B249" s="731">
        <v>14</v>
      </c>
      <c r="C249" s="181" t="s">
        <v>1107</v>
      </c>
      <c r="E249" s="733"/>
    </row>
    <row r="250" spans="2:9" ht="35.1" customHeight="1" thickBot="1">
      <c r="C250" s="692" t="s">
        <v>840</v>
      </c>
      <c r="D250" s="693" t="s">
        <v>841</v>
      </c>
      <c r="E250" s="693" t="s">
        <v>842</v>
      </c>
      <c r="F250" s="693" t="s">
        <v>843</v>
      </c>
      <c r="G250" s="693" t="s">
        <v>844</v>
      </c>
      <c r="H250" s="694" t="s">
        <v>845</v>
      </c>
      <c r="I250" s="697" t="s">
        <v>846</v>
      </c>
    </row>
    <row r="251" spans="2:9" ht="14.1" customHeight="1">
      <c r="C251" s="689" t="s">
        <v>7</v>
      </c>
      <c r="D251" s="187" t="s">
        <v>810</v>
      </c>
      <c r="E251" s="211"/>
      <c r="F251" s="190"/>
      <c r="G251" s="190"/>
      <c r="H251" s="190"/>
      <c r="I251" s="191"/>
    </row>
    <row r="252" spans="2:9" ht="14.1" customHeight="1">
      <c r="C252" s="186"/>
      <c r="D252" s="190" t="s">
        <v>848</v>
      </c>
      <c r="E252" s="188" t="s">
        <v>35</v>
      </c>
      <c r="F252" s="188" t="s">
        <v>726</v>
      </c>
      <c r="G252" s="189">
        <v>6.7000000000000004E-2</v>
      </c>
      <c r="H252" s="190"/>
      <c r="I252" s="191"/>
    </row>
    <row r="253" spans="2:9" ht="14.1" customHeight="1">
      <c r="C253" s="186"/>
      <c r="D253" s="190" t="s">
        <v>849</v>
      </c>
      <c r="E253" s="188" t="s">
        <v>37</v>
      </c>
      <c r="F253" s="188" t="s">
        <v>726</v>
      </c>
      <c r="G253" s="189">
        <v>6.7000000000000004E-2</v>
      </c>
      <c r="H253" s="190"/>
      <c r="I253" s="191"/>
    </row>
    <row r="254" spans="2:9" ht="14.1" customHeight="1">
      <c r="C254" s="186"/>
      <c r="D254" s="187" t="s">
        <v>10</v>
      </c>
      <c r="E254" s="188" t="s">
        <v>16</v>
      </c>
      <c r="F254" s="188" t="s">
        <v>726</v>
      </c>
      <c r="G254" s="189">
        <v>6.7000000000000004E-2</v>
      </c>
      <c r="H254" s="190"/>
      <c r="I254" s="191"/>
    </row>
    <row r="255" spans="2:9" ht="14.1" customHeight="1">
      <c r="C255" s="186"/>
      <c r="D255" s="187" t="s">
        <v>143</v>
      </c>
      <c r="E255" s="188" t="s">
        <v>22</v>
      </c>
      <c r="F255" s="188" t="s">
        <v>726</v>
      </c>
      <c r="G255" s="189">
        <v>6.7000000000000004E-2</v>
      </c>
      <c r="H255" s="190"/>
      <c r="I255" s="191"/>
    </row>
    <row r="256" spans="2:9" ht="14.1" customHeight="1">
      <c r="C256" s="186"/>
      <c r="D256" s="187" t="s">
        <v>831</v>
      </c>
      <c r="E256" s="188" t="s">
        <v>22</v>
      </c>
      <c r="F256" s="188" t="s">
        <v>726</v>
      </c>
      <c r="G256" s="189">
        <v>0.13400000000000001</v>
      </c>
      <c r="H256" s="190"/>
      <c r="I256" s="191"/>
    </row>
    <row r="257" spans="3:17" ht="14.1" customHeight="1">
      <c r="C257" s="186"/>
      <c r="D257" s="187" t="s">
        <v>20</v>
      </c>
      <c r="E257" s="188" t="s">
        <v>21</v>
      </c>
      <c r="F257" s="188" t="s">
        <v>726</v>
      </c>
      <c r="G257" s="189">
        <v>6.7000000000000004E-2</v>
      </c>
      <c r="H257" s="190"/>
      <c r="I257" s="191"/>
    </row>
    <row r="258" spans="3:17" ht="14.1" customHeight="1">
      <c r="C258" s="192"/>
      <c r="D258" s="193" t="s">
        <v>11</v>
      </c>
      <c r="E258" s="194" t="s">
        <v>17</v>
      </c>
      <c r="F258" s="194" t="s">
        <v>726</v>
      </c>
      <c r="G258" s="195">
        <v>6.7000000000000004E-2</v>
      </c>
      <c r="H258" s="196"/>
      <c r="I258" s="197"/>
    </row>
    <row r="259" spans="3:17" ht="14.1" customHeight="1">
      <c r="C259" s="198"/>
      <c r="D259" s="271"/>
      <c r="E259" s="217"/>
      <c r="F259" s="271"/>
      <c r="G259" s="1216" t="s">
        <v>727</v>
      </c>
      <c r="H259" s="1217"/>
      <c r="I259" s="199"/>
    </row>
    <row r="260" spans="3:17" ht="14.1" customHeight="1">
      <c r="C260" s="182" t="s">
        <v>8</v>
      </c>
      <c r="D260" s="200" t="s">
        <v>811</v>
      </c>
      <c r="E260" s="703"/>
      <c r="F260" s="184"/>
      <c r="G260" s="184"/>
      <c r="H260" s="184"/>
      <c r="I260" s="185"/>
    </row>
    <row r="261" spans="3:17" ht="14.1" customHeight="1">
      <c r="C261" s="192"/>
      <c r="D261" s="215" t="s">
        <v>832</v>
      </c>
      <c r="E261" s="214"/>
      <c r="F261" s="194" t="s">
        <v>814</v>
      </c>
      <c r="G261" s="195">
        <v>6.6760000000000002</v>
      </c>
      <c r="H261" s="196"/>
      <c r="I261" s="197"/>
    </row>
    <row r="262" spans="3:17" ht="14.1" customHeight="1">
      <c r="C262" s="275"/>
      <c r="D262" s="202"/>
      <c r="E262" s="276"/>
      <c r="F262" s="202"/>
      <c r="G262" s="1216" t="s">
        <v>728</v>
      </c>
      <c r="H262" s="1217"/>
      <c r="I262" s="199"/>
    </row>
    <row r="263" spans="3:17" ht="14.1" customHeight="1">
      <c r="C263" s="182" t="s">
        <v>9</v>
      </c>
      <c r="D263" s="274" t="s">
        <v>815</v>
      </c>
      <c r="E263" s="217"/>
      <c r="F263" s="271"/>
      <c r="G263" s="271"/>
      <c r="H263" s="271"/>
      <c r="I263" s="201"/>
    </row>
    <row r="264" spans="3:17" ht="14.1" customHeight="1">
      <c r="C264" s="186"/>
      <c r="D264" s="184" t="s">
        <v>850</v>
      </c>
      <c r="E264" s="703"/>
      <c r="F264" s="210" t="s">
        <v>833</v>
      </c>
      <c r="G264" s="226">
        <v>6.7000000000000004E-2</v>
      </c>
      <c r="H264" s="184"/>
      <c r="I264" s="185"/>
    </row>
    <row r="265" spans="3:17" ht="14.1" customHeight="1">
      <c r="C265" s="192"/>
      <c r="D265" s="196" t="s">
        <v>851</v>
      </c>
      <c r="E265" s="214"/>
      <c r="F265" s="227" t="s">
        <v>834</v>
      </c>
      <c r="G265" s="195">
        <v>1.1000000000000001</v>
      </c>
      <c r="H265" s="196"/>
      <c r="I265" s="197"/>
    </row>
    <row r="266" spans="3:17" ht="14.1" customHeight="1">
      <c r="C266" s="1222"/>
      <c r="D266" s="1223"/>
      <c r="E266" s="1223"/>
      <c r="F266" s="1224"/>
      <c r="G266" s="1205" t="s">
        <v>729</v>
      </c>
      <c r="H266" s="1206"/>
      <c r="I266" s="205"/>
    </row>
    <row r="267" spans="3:17" ht="14.1" customHeight="1">
      <c r="C267" s="206" t="s">
        <v>12</v>
      </c>
      <c r="D267" s="1210" t="s">
        <v>730</v>
      </c>
      <c r="E267" s="1211"/>
      <c r="F267" s="1211"/>
      <c r="G267" s="1211"/>
      <c r="H267" s="1211"/>
      <c r="I267" s="207"/>
    </row>
    <row r="268" spans="3:17" ht="14.1" customHeight="1">
      <c r="C268" s="206" t="s">
        <v>13</v>
      </c>
      <c r="D268" s="1207" t="s">
        <v>816</v>
      </c>
      <c r="E268" s="1208"/>
      <c r="F268" s="1209"/>
      <c r="G268" s="1210" t="s">
        <v>740</v>
      </c>
      <c r="H268" s="1211"/>
      <c r="I268" s="207"/>
    </row>
    <row r="269" spans="3:17" ht="14.1" customHeight="1" thickBot="1">
      <c r="C269" s="208" t="s">
        <v>14</v>
      </c>
      <c r="D269" s="1212" t="s">
        <v>817</v>
      </c>
      <c r="E269" s="1213"/>
      <c r="F269" s="1213"/>
      <c r="G269" s="1213"/>
      <c r="H269" s="1213"/>
      <c r="I269" s="209"/>
    </row>
    <row r="270" spans="3:17" ht="14.1" customHeight="1">
      <c r="D270" s="228" t="s">
        <v>852</v>
      </c>
    </row>
    <row r="271" spans="3:17" ht="14.1" customHeight="1">
      <c r="D271" s="229" t="s">
        <v>853</v>
      </c>
      <c r="E271" s="229" t="s">
        <v>854</v>
      </c>
      <c r="L271" s="230"/>
      <c r="M271" s="230"/>
      <c r="N271" s="230"/>
      <c r="O271" s="230"/>
      <c r="P271" s="230"/>
      <c r="Q271" s="230"/>
    </row>
    <row r="272" spans="3:17" ht="14.1" customHeight="1">
      <c r="D272" s="231">
        <v>1</v>
      </c>
      <c r="E272" s="232">
        <v>1</v>
      </c>
      <c r="L272" s="233"/>
      <c r="M272" s="233"/>
      <c r="N272" s="234"/>
      <c r="O272" s="234"/>
      <c r="P272" s="234"/>
      <c r="Q272" s="234"/>
    </row>
    <row r="273" spans="4:17" ht="14.1" customHeight="1">
      <c r="D273" s="231">
        <v>2</v>
      </c>
      <c r="E273" s="232">
        <v>1</v>
      </c>
      <c r="L273" s="233"/>
      <c r="M273" s="233"/>
      <c r="N273" s="234"/>
      <c r="O273" s="234"/>
      <c r="P273" s="234"/>
      <c r="Q273" s="234"/>
    </row>
    <row r="274" spans="4:17" ht="14.1" customHeight="1">
      <c r="D274" s="231">
        <v>3</v>
      </c>
      <c r="E274" s="232">
        <v>1</v>
      </c>
      <c r="L274" s="233"/>
      <c r="M274" s="233"/>
      <c r="N274" s="234"/>
      <c r="O274" s="234"/>
      <c r="P274" s="234"/>
      <c r="Q274" s="234"/>
    </row>
    <row r="275" spans="4:17" ht="14.1" customHeight="1">
      <c r="D275" s="231">
        <v>4</v>
      </c>
      <c r="E275" s="232">
        <v>1</v>
      </c>
      <c r="L275" s="233"/>
      <c r="M275" s="233"/>
      <c r="N275" s="234"/>
      <c r="O275" s="234"/>
      <c r="P275" s="234"/>
      <c r="Q275" s="234"/>
    </row>
    <row r="276" spans="4:17" ht="14.1" customHeight="1">
      <c r="D276" s="231">
        <v>5</v>
      </c>
      <c r="E276" s="232">
        <v>1</v>
      </c>
      <c r="L276" s="233"/>
      <c r="M276" s="233"/>
      <c r="N276" s="234"/>
      <c r="O276" s="234"/>
      <c r="P276" s="234"/>
      <c r="Q276" s="234"/>
    </row>
    <row r="277" spans="4:17" ht="14.1" customHeight="1">
      <c r="D277" s="231">
        <v>6</v>
      </c>
      <c r="E277" s="232">
        <v>1</v>
      </c>
      <c r="L277" s="233"/>
      <c r="M277" s="233"/>
      <c r="N277" s="234"/>
      <c r="O277" s="234"/>
      <c r="P277" s="234"/>
      <c r="Q277" s="234"/>
    </row>
    <row r="278" spans="4:17" ht="14.1" customHeight="1">
      <c r="D278" s="231">
        <v>7</v>
      </c>
      <c r="E278" s="232">
        <v>1</v>
      </c>
      <c r="L278" s="233"/>
      <c r="M278" s="233"/>
      <c r="N278" s="234"/>
      <c r="O278" s="234"/>
      <c r="P278" s="234"/>
      <c r="Q278" s="234"/>
    </row>
    <row r="279" spans="4:17" ht="14.1" customHeight="1">
      <c r="D279" s="231">
        <v>8</v>
      </c>
      <c r="E279" s="232">
        <v>1.018</v>
      </c>
      <c r="L279" s="233"/>
      <c r="M279" s="233"/>
      <c r="N279" s="234"/>
      <c r="O279" s="234"/>
      <c r="P279" s="234"/>
      <c r="Q279" s="234"/>
    </row>
    <row r="280" spans="4:17" ht="14.1" customHeight="1">
      <c r="D280" s="231">
        <v>9</v>
      </c>
      <c r="E280" s="232">
        <v>1.0369999999999999</v>
      </c>
      <c r="L280" s="233"/>
      <c r="M280" s="233"/>
      <c r="N280" s="234"/>
      <c r="O280" s="234"/>
      <c r="P280" s="234"/>
      <c r="Q280" s="234"/>
    </row>
    <row r="281" spans="4:17" ht="14.1" customHeight="1">
      <c r="D281" s="231">
        <v>10</v>
      </c>
      <c r="E281" s="232">
        <v>1.0549999999999999</v>
      </c>
      <c r="L281" s="233"/>
      <c r="M281" s="233"/>
      <c r="N281" s="234"/>
      <c r="O281" s="234"/>
      <c r="P281" s="234"/>
      <c r="Q281" s="234"/>
    </row>
    <row r="282" spans="4:17" ht="14.1" customHeight="1">
      <c r="D282" s="231">
        <v>11</v>
      </c>
      <c r="E282" s="232">
        <v>1.075</v>
      </c>
      <c r="L282" s="233"/>
      <c r="M282" s="233"/>
      <c r="N282" s="234"/>
      <c r="O282" s="234"/>
      <c r="P282" s="234"/>
      <c r="Q282" s="234"/>
    </row>
    <row r="283" spans="4:17" ht="14.1" customHeight="1">
      <c r="D283" s="231">
        <v>12</v>
      </c>
      <c r="E283" s="232">
        <v>1.0940000000000001</v>
      </c>
      <c r="L283" s="233"/>
      <c r="M283" s="233"/>
      <c r="N283" s="234"/>
      <c r="O283" s="234"/>
      <c r="P283" s="234"/>
      <c r="Q283" s="234"/>
    </row>
    <row r="284" spans="4:17" ht="14.1" customHeight="1">
      <c r="D284" s="231">
        <v>13</v>
      </c>
      <c r="E284" s="232">
        <v>1.1140000000000001</v>
      </c>
      <c r="G284" s="234"/>
      <c r="M284" s="233"/>
      <c r="N284" s="233"/>
      <c r="Q284" s="234"/>
    </row>
    <row r="285" spans="4:17" ht="14.1" customHeight="1">
      <c r="D285" s="231">
        <v>14</v>
      </c>
      <c r="E285" s="232">
        <v>1.1339999999999999</v>
      </c>
      <c r="G285" s="234"/>
      <c r="M285" s="233"/>
      <c r="N285" s="233"/>
      <c r="Q285" s="234"/>
    </row>
    <row r="286" spans="4:17" ht="14.1" customHeight="1">
      <c r="D286" s="231">
        <v>15</v>
      </c>
      <c r="E286" s="232">
        <v>1.155</v>
      </c>
      <c r="G286" s="234"/>
      <c r="M286" s="233"/>
      <c r="N286" s="233"/>
      <c r="Q286" s="234"/>
    </row>
    <row r="287" spans="4:17" ht="14.1" customHeight="1">
      <c r="D287" s="231">
        <v>16</v>
      </c>
      <c r="E287" s="232">
        <v>1.1759999999999999</v>
      </c>
      <c r="G287" s="234"/>
      <c r="M287" s="233"/>
      <c r="N287" s="233"/>
      <c r="Q287" s="234"/>
    </row>
    <row r="288" spans="4:17" ht="14.1" customHeight="1">
      <c r="D288" s="231">
        <v>17</v>
      </c>
      <c r="E288" s="232">
        <v>1.1970000000000001</v>
      </c>
      <c r="G288" s="234"/>
      <c r="M288" s="233"/>
      <c r="N288" s="233"/>
      <c r="Q288" s="234"/>
    </row>
    <row r="289" spans="2:17" ht="14.1" customHeight="1">
      <c r="D289" s="231">
        <v>18</v>
      </c>
      <c r="E289" s="232">
        <v>1.2190000000000001</v>
      </c>
      <c r="G289" s="234"/>
      <c r="M289" s="233"/>
      <c r="N289" s="233"/>
      <c r="Q289" s="234"/>
    </row>
    <row r="290" spans="2:17" ht="14.1" customHeight="1">
      <c r="D290" s="231">
        <v>19</v>
      </c>
      <c r="E290" s="232">
        <v>1.2410000000000001</v>
      </c>
      <c r="G290" s="234"/>
      <c r="M290" s="233"/>
      <c r="N290" s="233"/>
      <c r="Q290" s="234"/>
    </row>
    <row r="291" spans="2:17" ht="14.1" customHeight="1">
      <c r="D291" s="231">
        <v>20</v>
      </c>
      <c r="E291" s="232">
        <v>1.264</v>
      </c>
      <c r="G291" s="234"/>
      <c r="M291" s="233"/>
      <c r="N291" s="233"/>
      <c r="Q291" s="234"/>
    </row>
    <row r="292" spans="2:17" ht="14.1" customHeight="1">
      <c r="D292" s="231">
        <v>21</v>
      </c>
      <c r="E292" s="232">
        <v>1.2869999999999999</v>
      </c>
      <c r="G292" s="234"/>
      <c r="M292" s="233"/>
      <c r="N292" s="233"/>
      <c r="Q292" s="234"/>
    </row>
    <row r="293" spans="2:17" ht="14.1" customHeight="1">
      <c r="D293" s="231">
        <v>22</v>
      </c>
      <c r="E293" s="232">
        <v>1.31</v>
      </c>
      <c r="G293" s="234"/>
      <c r="M293" s="233"/>
      <c r="N293" s="233"/>
      <c r="Q293" s="234"/>
    </row>
    <row r="294" spans="2:17" ht="14.1" customHeight="1">
      <c r="D294" s="231">
        <v>23</v>
      </c>
      <c r="E294" s="232">
        <v>1.3340000000000001</v>
      </c>
      <c r="G294" s="234"/>
      <c r="M294" s="233"/>
      <c r="N294" s="233"/>
      <c r="Q294" s="234"/>
    </row>
    <row r="295" spans="2:17" ht="14.1" customHeight="1">
      <c r="D295" s="231">
        <v>24</v>
      </c>
      <c r="E295" s="232">
        <v>1.3580000000000001</v>
      </c>
      <c r="G295" s="234"/>
      <c r="M295" s="233"/>
      <c r="N295" s="233"/>
      <c r="Q295" s="234"/>
    </row>
    <row r="296" spans="2:17" hidden="1"/>
    <row r="298" spans="2:17" s="732" customFormat="1" ht="15.95" customHeight="1" thickBot="1">
      <c r="B298" s="731">
        <v>15</v>
      </c>
      <c r="C298" s="181" t="s">
        <v>1108</v>
      </c>
      <c r="E298" s="733"/>
    </row>
    <row r="299" spans="2:17" ht="35.1" customHeight="1" thickBot="1">
      <c r="C299" s="692" t="s">
        <v>840</v>
      </c>
      <c r="D299" s="710" t="s">
        <v>841</v>
      </c>
      <c r="E299" s="693" t="s">
        <v>842</v>
      </c>
      <c r="F299" s="694" t="s">
        <v>843</v>
      </c>
      <c r="G299" s="693" t="s">
        <v>844</v>
      </c>
      <c r="H299" s="694" t="s">
        <v>845</v>
      </c>
      <c r="I299" s="697" t="s">
        <v>846</v>
      </c>
    </row>
    <row r="300" spans="2:17" ht="14.1" customHeight="1">
      <c r="C300" s="689" t="s">
        <v>7</v>
      </c>
      <c r="D300" s="187" t="s">
        <v>810</v>
      </c>
      <c r="E300" s="211"/>
      <c r="F300" s="190"/>
      <c r="G300" s="190"/>
      <c r="H300" s="190"/>
      <c r="I300" s="191"/>
    </row>
    <row r="301" spans="2:17" ht="14.1" customHeight="1">
      <c r="C301" s="186"/>
      <c r="D301" s="235" t="s">
        <v>848</v>
      </c>
      <c r="E301" s="188" t="s">
        <v>35</v>
      </c>
      <c r="F301" s="188" t="s">
        <v>726</v>
      </c>
      <c r="G301" s="189">
        <v>6.0999999999999999E-2</v>
      </c>
      <c r="H301" s="190"/>
      <c r="I301" s="191"/>
    </row>
    <row r="302" spans="2:17" ht="14.1" customHeight="1">
      <c r="C302" s="186"/>
      <c r="D302" s="235" t="s">
        <v>855</v>
      </c>
      <c r="E302" s="188" t="s">
        <v>37</v>
      </c>
      <c r="F302" s="188" t="s">
        <v>726</v>
      </c>
      <c r="G302" s="189">
        <v>6.0999999999999999E-2</v>
      </c>
      <c r="H302" s="190"/>
      <c r="I302" s="191"/>
    </row>
    <row r="303" spans="2:17" ht="14.1" customHeight="1">
      <c r="C303" s="186"/>
      <c r="D303" s="213" t="s">
        <v>10</v>
      </c>
      <c r="E303" s="188" t="s">
        <v>16</v>
      </c>
      <c r="F303" s="188" t="s">
        <v>726</v>
      </c>
      <c r="G303" s="189">
        <v>6.0999999999999999E-2</v>
      </c>
      <c r="H303" s="190"/>
      <c r="I303" s="191"/>
    </row>
    <row r="304" spans="2:17" ht="14.1" customHeight="1">
      <c r="C304" s="186"/>
      <c r="D304" s="213" t="s">
        <v>143</v>
      </c>
      <c r="E304" s="188" t="s">
        <v>22</v>
      </c>
      <c r="F304" s="188" t="s">
        <v>726</v>
      </c>
      <c r="G304" s="189">
        <v>6.0999999999999999E-2</v>
      </c>
      <c r="H304" s="190"/>
      <c r="I304" s="191"/>
    </row>
    <row r="305" spans="3:16" ht="14.1" customHeight="1">
      <c r="C305" s="186"/>
      <c r="D305" s="213" t="s">
        <v>831</v>
      </c>
      <c r="E305" s="188" t="s">
        <v>22</v>
      </c>
      <c r="F305" s="188" t="s">
        <v>726</v>
      </c>
      <c r="G305" s="189">
        <v>0.122</v>
      </c>
      <c r="H305" s="190"/>
      <c r="I305" s="191"/>
    </row>
    <row r="306" spans="3:16" ht="14.1" customHeight="1">
      <c r="C306" s="186"/>
      <c r="D306" s="213" t="s">
        <v>20</v>
      </c>
      <c r="E306" s="188" t="s">
        <v>21</v>
      </c>
      <c r="F306" s="188" t="s">
        <v>726</v>
      </c>
      <c r="G306" s="189">
        <v>6.0999999999999999E-2</v>
      </c>
      <c r="H306" s="190"/>
      <c r="I306" s="191"/>
    </row>
    <row r="307" spans="3:16" ht="14.1" customHeight="1">
      <c r="C307" s="192"/>
      <c r="D307" s="216" t="s">
        <v>11</v>
      </c>
      <c r="E307" s="194" t="s">
        <v>17</v>
      </c>
      <c r="F307" s="194" t="s">
        <v>726</v>
      </c>
      <c r="G307" s="195">
        <v>6.0999999999999999E-2</v>
      </c>
      <c r="H307" s="196"/>
      <c r="I307" s="197"/>
    </row>
    <row r="308" spans="3:16" ht="14.1" customHeight="1">
      <c r="C308" s="275"/>
      <c r="D308" s="202"/>
      <c r="E308" s="276"/>
      <c r="F308" s="203"/>
      <c r="G308" s="1232" t="s">
        <v>727</v>
      </c>
      <c r="H308" s="1233"/>
      <c r="I308" s="199"/>
    </row>
    <row r="309" spans="3:16" ht="14.1" customHeight="1">
      <c r="C309" s="182" t="s">
        <v>8</v>
      </c>
      <c r="D309" s="200" t="s">
        <v>811</v>
      </c>
      <c r="E309" s="703"/>
      <c r="F309" s="184"/>
      <c r="G309" s="184"/>
      <c r="H309" s="184"/>
      <c r="I309" s="185"/>
    </row>
    <row r="310" spans="3:16" ht="14.1" customHeight="1">
      <c r="C310" s="192"/>
      <c r="D310" s="215" t="s">
        <v>832</v>
      </c>
      <c r="E310" s="214"/>
      <c r="F310" s="194" t="s">
        <v>814</v>
      </c>
      <c r="G310" s="195">
        <v>6.11</v>
      </c>
      <c r="H310" s="196"/>
      <c r="I310" s="197"/>
    </row>
    <row r="311" spans="3:16" ht="14.1" customHeight="1">
      <c r="C311" s="198"/>
      <c r="D311" s="271"/>
      <c r="E311" s="217"/>
      <c r="F311" s="271"/>
      <c r="G311" s="1232" t="s">
        <v>728</v>
      </c>
      <c r="H311" s="1233"/>
      <c r="I311" s="199"/>
    </row>
    <row r="312" spans="3:16" ht="14.1" customHeight="1">
      <c r="C312" s="182" t="s">
        <v>9</v>
      </c>
      <c r="D312" s="183" t="s">
        <v>815</v>
      </c>
      <c r="E312" s="703"/>
      <c r="F312" s="184"/>
      <c r="G312" s="184"/>
      <c r="H312" s="184"/>
      <c r="I312" s="185"/>
    </row>
    <row r="313" spans="3:16" ht="14.1" customHeight="1">
      <c r="C313" s="186"/>
      <c r="D313" s="190" t="s">
        <v>850</v>
      </c>
      <c r="E313" s="211"/>
      <c r="F313" s="212" t="s">
        <v>833</v>
      </c>
      <c r="G313" s="189">
        <v>6.0999999999999999E-2</v>
      </c>
      <c r="H313" s="190"/>
      <c r="I313" s="191"/>
    </row>
    <row r="314" spans="3:16" ht="14.1" customHeight="1">
      <c r="C314" s="192"/>
      <c r="D314" s="196" t="s">
        <v>856</v>
      </c>
      <c r="E314" s="214"/>
      <c r="F314" s="215" t="s">
        <v>833</v>
      </c>
      <c r="G314" s="195">
        <v>1.1000000000000001</v>
      </c>
      <c r="H314" s="196"/>
      <c r="I314" s="197"/>
    </row>
    <row r="315" spans="3:16" ht="14.1" customHeight="1">
      <c r="C315" s="1222"/>
      <c r="D315" s="1223"/>
      <c r="E315" s="1223"/>
      <c r="F315" s="1224"/>
      <c r="G315" s="1205" t="s">
        <v>729</v>
      </c>
      <c r="H315" s="1206"/>
      <c r="I315" s="205"/>
    </row>
    <row r="316" spans="3:16" ht="14.1" customHeight="1">
      <c r="C316" s="206" t="s">
        <v>12</v>
      </c>
      <c r="D316" s="1210" t="s">
        <v>730</v>
      </c>
      <c r="E316" s="1211"/>
      <c r="F316" s="1211"/>
      <c r="G316" s="1211"/>
      <c r="H316" s="1211"/>
      <c r="I316" s="207"/>
    </row>
    <row r="317" spans="3:16" ht="14.1" customHeight="1">
      <c r="C317" s="206" t="s">
        <v>13</v>
      </c>
      <c r="D317" s="1207" t="s">
        <v>816</v>
      </c>
      <c r="E317" s="1208"/>
      <c r="F317" s="1208"/>
      <c r="G317" s="1210" t="s">
        <v>740</v>
      </c>
      <c r="H317" s="1211"/>
      <c r="I317" s="207"/>
    </row>
    <row r="318" spans="3:16" ht="14.1" customHeight="1" thickBot="1">
      <c r="C318" s="208" t="s">
        <v>14</v>
      </c>
      <c r="D318" s="1212" t="s">
        <v>817</v>
      </c>
      <c r="E318" s="1213"/>
      <c r="F318" s="1213"/>
      <c r="G318" s="1213"/>
      <c r="H318" s="1213"/>
      <c r="I318" s="209"/>
    </row>
    <row r="319" spans="3:16" ht="14.1" customHeight="1">
      <c r="C319" s="228" t="s">
        <v>857</v>
      </c>
    </row>
    <row r="320" spans="3:16" ht="14.1" customHeight="1">
      <c r="D320" s="236" t="s">
        <v>853</v>
      </c>
      <c r="E320" s="229" t="s">
        <v>858</v>
      </c>
      <c r="G320" s="949"/>
      <c r="H320" s="949"/>
      <c r="L320" s="230"/>
      <c r="N320" s="230"/>
      <c r="O320" s="230"/>
      <c r="P320" s="230"/>
    </row>
    <row r="321" spans="4:16" ht="14.1" customHeight="1">
      <c r="D321" s="237">
        <v>1</v>
      </c>
      <c r="E321" s="232">
        <v>1</v>
      </c>
      <c r="L321" s="233"/>
      <c r="N321" s="234"/>
      <c r="O321" s="234"/>
      <c r="P321" s="234"/>
    </row>
    <row r="322" spans="4:16" ht="14.1" customHeight="1">
      <c r="D322" s="237">
        <v>2</v>
      </c>
      <c r="E322" s="232">
        <v>1</v>
      </c>
      <c r="L322" s="233"/>
      <c r="N322" s="234"/>
      <c r="O322" s="234"/>
      <c r="P322" s="234"/>
    </row>
    <row r="323" spans="4:16" ht="14.1" customHeight="1">
      <c r="D323" s="237">
        <v>3</v>
      </c>
      <c r="E323" s="232">
        <v>1</v>
      </c>
      <c r="L323" s="233"/>
      <c r="N323" s="234"/>
      <c r="O323" s="234"/>
      <c r="P323" s="234"/>
    </row>
    <row r="324" spans="4:16" ht="14.1" customHeight="1">
      <c r="D324" s="237">
        <v>4</v>
      </c>
      <c r="E324" s="232">
        <v>1</v>
      </c>
      <c r="L324" s="233"/>
      <c r="N324" s="234"/>
      <c r="O324" s="234"/>
      <c r="P324" s="234"/>
    </row>
    <row r="325" spans="4:16" ht="14.1" customHeight="1">
      <c r="D325" s="237">
        <v>5</v>
      </c>
      <c r="E325" s="232">
        <v>1</v>
      </c>
      <c r="L325" s="233"/>
      <c r="N325" s="234"/>
      <c r="O325" s="234"/>
      <c r="P325" s="234"/>
    </row>
    <row r="326" spans="4:16" ht="14.1" customHeight="1">
      <c r="D326" s="237">
        <v>6</v>
      </c>
      <c r="E326" s="232">
        <v>1</v>
      </c>
      <c r="L326" s="233"/>
      <c r="N326" s="234"/>
      <c r="O326" s="234"/>
      <c r="P326" s="234"/>
    </row>
    <row r="327" spans="4:16" ht="14.1" customHeight="1">
      <c r="D327" s="237">
        <v>7</v>
      </c>
      <c r="E327" s="232">
        <v>1</v>
      </c>
      <c r="L327" s="233"/>
      <c r="N327" s="234"/>
      <c r="O327" s="234"/>
      <c r="P327" s="234"/>
    </row>
    <row r="328" spans="4:16" ht="14.1" customHeight="1">
      <c r="D328" s="237">
        <v>8</v>
      </c>
      <c r="E328" s="232">
        <v>1.0109999999999999</v>
      </c>
      <c r="L328" s="233"/>
      <c r="N328" s="234"/>
      <c r="O328" s="234"/>
      <c r="P328" s="234"/>
    </row>
    <row r="329" spans="4:16" ht="14.1" customHeight="1">
      <c r="D329" s="237">
        <v>9</v>
      </c>
      <c r="E329" s="232">
        <v>1.022</v>
      </c>
      <c r="L329" s="233"/>
      <c r="N329" s="234"/>
      <c r="O329" s="234"/>
      <c r="P329" s="234"/>
    </row>
    <row r="330" spans="4:16" ht="14.1" customHeight="1">
      <c r="D330" s="237">
        <v>10</v>
      </c>
      <c r="E330" s="232">
        <v>1.034</v>
      </c>
      <c r="L330" s="233"/>
      <c r="N330" s="234"/>
      <c r="O330" s="234"/>
      <c r="P330" s="234"/>
    </row>
    <row r="331" spans="4:16" ht="14.1" customHeight="1">
      <c r="D331" s="237">
        <v>11</v>
      </c>
      <c r="E331" s="232">
        <v>1.0449999999999999</v>
      </c>
      <c r="L331" s="233"/>
      <c r="N331" s="234"/>
      <c r="O331" s="234"/>
      <c r="P331" s="234"/>
    </row>
    <row r="332" spans="4:16" ht="14.1" customHeight="1">
      <c r="D332" s="237">
        <v>12</v>
      </c>
      <c r="E332" s="232">
        <v>1.0569999999999999</v>
      </c>
      <c r="L332" s="233"/>
      <c r="N332" s="234"/>
      <c r="O332" s="234"/>
      <c r="P332" s="234"/>
    </row>
    <row r="333" spans="4:16" ht="14.1" customHeight="1">
      <c r="D333" s="237">
        <v>13</v>
      </c>
      <c r="E333" s="232">
        <v>1.0680000000000001</v>
      </c>
      <c r="G333" s="947"/>
      <c r="H333" s="948"/>
      <c r="L333" s="233"/>
      <c r="N333" s="234"/>
      <c r="O333" s="234"/>
      <c r="P333" s="234"/>
    </row>
    <row r="334" spans="4:16" ht="14.1" customHeight="1">
      <c r="D334" s="237">
        <v>14</v>
      </c>
      <c r="E334" s="232">
        <v>1.08</v>
      </c>
      <c r="G334" s="947"/>
      <c r="H334" s="948"/>
      <c r="L334" s="233"/>
      <c r="N334" s="234"/>
      <c r="O334" s="234"/>
      <c r="P334" s="234"/>
    </row>
    <row r="335" spans="4:16" ht="14.1" customHeight="1">
      <c r="D335" s="237">
        <v>15</v>
      </c>
      <c r="E335" s="232">
        <v>1.0920000000000001</v>
      </c>
      <c r="G335" s="947"/>
      <c r="H335" s="948"/>
      <c r="L335" s="233"/>
      <c r="N335" s="234"/>
      <c r="O335" s="234"/>
      <c r="P335" s="234"/>
    </row>
    <row r="336" spans="4:16" ht="14.1" customHeight="1">
      <c r="D336" s="237">
        <v>16</v>
      </c>
      <c r="E336" s="232">
        <v>1.1040000000000001</v>
      </c>
      <c r="G336" s="947"/>
      <c r="H336" s="948"/>
      <c r="L336" s="233"/>
      <c r="N336" s="234"/>
      <c r="O336" s="234"/>
      <c r="P336" s="234"/>
    </row>
    <row r="337" spans="2:16" ht="14.1" customHeight="1">
      <c r="D337" s="237">
        <v>17</v>
      </c>
      <c r="E337" s="232">
        <v>1.1160000000000001</v>
      </c>
      <c r="G337" s="947"/>
      <c r="H337" s="948"/>
      <c r="L337" s="233"/>
      <c r="N337" s="234"/>
      <c r="O337" s="234"/>
      <c r="P337" s="234"/>
    </row>
    <row r="338" spans="2:16" ht="14.1" customHeight="1">
      <c r="D338" s="237">
        <v>18</v>
      </c>
      <c r="E338" s="232">
        <v>1.129</v>
      </c>
      <c r="G338" s="947"/>
      <c r="H338" s="948"/>
      <c r="L338" s="233"/>
      <c r="N338" s="234"/>
      <c r="O338" s="234"/>
      <c r="P338" s="234"/>
    </row>
    <row r="339" spans="2:16" ht="14.1" customHeight="1">
      <c r="D339" s="237">
        <v>19</v>
      </c>
      <c r="E339" s="232">
        <v>1.141</v>
      </c>
      <c r="G339" s="947"/>
      <c r="H339" s="948"/>
      <c r="L339" s="233"/>
      <c r="N339" s="234"/>
      <c r="O339" s="234"/>
      <c r="P339" s="234"/>
    </row>
    <row r="340" spans="2:16" ht="14.1" customHeight="1">
      <c r="D340" s="237">
        <v>20</v>
      </c>
      <c r="E340" s="232">
        <v>1.1539999999999999</v>
      </c>
      <c r="G340" s="947"/>
      <c r="H340" s="948"/>
      <c r="L340" s="233"/>
      <c r="N340" s="234"/>
      <c r="O340" s="234"/>
      <c r="P340" s="234"/>
    </row>
    <row r="341" spans="2:16" ht="14.1" customHeight="1">
      <c r="D341" s="237">
        <v>21</v>
      </c>
      <c r="E341" s="232">
        <v>1.1659999999999999</v>
      </c>
      <c r="G341" s="947"/>
      <c r="H341" s="948"/>
      <c r="L341" s="233"/>
      <c r="N341" s="234"/>
      <c r="O341" s="234"/>
      <c r="P341" s="234"/>
    </row>
    <row r="342" spans="2:16" ht="14.1" customHeight="1">
      <c r="D342" s="237">
        <v>22</v>
      </c>
      <c r="E342" s="232">
        <v>1.179</v>
      </c>
      <c r="G342" s="947"/>
      <c r="H342" s="948"/>
      <c r="L342" s="233"/>
      <c r="N342" s="234"/>
      <c r="O342" s="234"/>
      <c r="P342" s="234"/>
    </row>
    <row r="343" spans="2:16" ht="14.1" customHeight="1">
      <c r="D343" s="237">
        <v>23</v>
      </c>
      <c r="E343" s="232">
        <v>1.1919999999999999</v>
      </c>
      <c r="G343" s="947"/>
      <c r="H343" s="948"/>
      <c r="L343" s="233"/>
      <c r="N343" s="234"/>
      <c r="O343" s="234"/>
      <c r="P343" s="234"/>
    </row>
    <row r="344" spans="2:16" ht="14.1" customHeight="1">
      <c r="D344" s="237">
        <v>24</v>
      </c>
      <c r="E344" s="232">
        <v>1.206</v>
      </c>
    </row>
    <row r="345" spans="2:16" ht="14.1" customHeight="1">
      <c r="D345" s="947"/>
      <c r="E345" s="948"/>
    </row>
    <row r="346" spans="2:16" s="732" customFormat="1" ht="14.1" customHeight="1" thickBot="1">
      <c r="B346" s="731">
        <v>16</v>
      </c>
      <c r="C346" s="181" t="s">
        <v>1109</v>
      </c>
      <c r="E346" s="733"/>
    </row>
    <row r="347" spans="2:16" ht="14.1" customHeight="1" thickBot="1">
      <c r="C347" s="692" t="s">
        <v>840</v>
      </c>
      <c r="D347" s="694" t="s">
        <v>841</v>
      </c>
      <c r="E347" s="693" t="s">
        <v>842</v>
      </c>
      <c r="F347" s="694" t="s">
        <v>843</v>
      </c>
      <c r="G347" s="693" t="s">
        <v>844</v>
      </c>
      <c r="H347" s="694" t="s">
        <v>845</v>
      </c>
      <c r="I347" s="697" t="s">
        <v>846</v>
      </c>
    </row>
    <row r="348" spans="2:16" ht="14.1" customHeight="1">
      <c r="C348" s="689" t="s">
        <v>7</v>
      </c>
      <c r="D348" s="187" t="s">
        <v>810</v>
      </c>
      <c r="E348" s="211"/>
      <c r="F348" s="190"/>
      <c r="G348" s="190"/>
      <c r="H348" s="190"/>
      <c r="I348" s="191"/>
    </row>
    <row r="349" spans="2:16" ht="14.1" customHeight="1">
      <c r="C349" s="186"/>
      <c r="D349" s="190" t="s">
        <v>848</v>
      </c>
      <c r="E349" s="188" t="s">
        <v>35</v>
      </c>
      <c r="F349" s="188" t="s">
        <v>726</v>
      </c>
      <c r="G349" s="189">
        <v>8.3000000000000004E-2</v>
      </c>
      <c r="H349" s="190"/>
      <c r="I349" s="191"/>
    </row>
    <row r="350" spans="2:16" ht="14.1" customHeight="1">
      <c r="C350" s="186"/>
      <c r="D350" s="190" t="s">
        <v>859</v>
      </c>
      <c r="E350" s="188" t="s">
        <v>37</v>
      </c>
      <c r="F350" s="188" t="s">
        <v>726</v>
      </c>
      <c r="G350" s="189">
        <v>8.3000000000000004E-2</v>
      </c>
      <c r="H350" s="190"/>
      <c r="I350" s="191"/>
    </row>
    <row r="351" spans="2:16" ht="14.1" customHeight="1">
      <c r="C351" s="186"/>
      <c r="D351" s="187" t="s">
        <v>10</v>
      </c>
      <c r="E351" s="188" t="s">
        <v>16</v>
      </c>
      <c r="F351" s="188" t="s">
        <v>726</v>
      </c>
      <c r="G351" s="189">
        <v>8.3000000000000004E-2</v>
      </c>
      <c r="H351" s="190"/>
      <c r="I351" s="191"/>
    </row>
    <row r="352" spans="2:16" ht="14.1" customHeight="1">
      <c r="C352" s="186"/>
      <c r="D352" s="187" t="s">
        <v>143</v>
      </c>
      <c r="E352" s="188" t="s">
        <v>22</v>
      </c>
      <c r="F352" s="188" t="s">
        <v>726</v>
      </c>
      <c r="G352" s="189">
        <v>8.3000000000000004E-2</v>
      </c>
      <c r="H352" s="190"/>
      <c r="I352" s="191"/>
    </row>
    <row r="353" spans="3:15" ht="14.1" customHeight="1">
      <c r="C353" s="186"/>
      <c r="D353" s="187" t="s">
        <v>831</v>
      </c>
      <c r="E353" s="188" t="s">
        <v>22</v>
      </c>
      <c r="F353" s="188" t="s">
        <v>726</v>
      </c>
      <c r="G353" s="189">
        <v>0.16600000000000001</v>
      </c>
      <c r="H353" s="190"/>
      <c r="I353" s="191"/>
    </row>
    <row r="354" spans="3:15" ht="14.1" customHeight="1">
      <c r="C354" s="186"/>
      <c r="D354" s="187" t="s">
        <v>20</v>
      </c>
      <c r="E354" s="188" t="s">
        <v>21</v>
      </c>
      <c r="F354" s="188" t="s">
        <v>726</v>
      </c>
      <c r="G354" s="189">
        <v>8.3000000000000004E-2</v>
      </c>
      <c r="H354" s="190"/>
      <c r="I354" s="191"/>
    </row>
    <row r="355" spans="3:15" ht="14.1" customHeight="1">
      <c r="C355" s="192"/>
      <c r="D355" s="193" t="s">
        <v>11</v>
      </c>
      <c r="E355" s="194" t="s">
        <v>17</v>
      </c>
      <c r="F355" s="194" t="s">
        <v>726</v>
      </c>
      <c r="G355" s="195">
        <v>8.3000000000000004E-2</v>
      </c>
      <c r="H355" s="196"/>
      <c r="I355" s="197"/>
    </row>
    <row r="356" spans="3:15" ht="14.1" customHeight="1">
      <c r="C356" s="198"/>
      <c r="D356" s="271"/>
      <c r="E356" s="217"/>
      <c r="F356" s="271"/>
      <c r="G356" s="1243" t="s">
        <v>727</v>
      </c>
      <c r="H356" s="1243"/>
      <c r="I356" s="201"/>
    </row>
    <row r="357" spans="3:15" ht="14.1" customHeight="1">
      <c r="C357" s="182" t="s">
        <v>8</v>
      </c>
      <c r="D357" s="238" t="s">
        <v>811</v>
      </c>
      <c r="E357" s="703"/>
      <c r="F357" s="184"/>
      <c r="G357" s="184"/>
      <c r="H357" s="184"/>
      <c r="I357" s="185"/>
    </row>
    <row r="358" spans="3:15" ht="14.1" customHeight="1">
      <c r="C358" s="192"/>
      <c r="D358" s="239" t="s">
        <v>832</v>
      </c>
      <c r="E358" s="214"/>
      <c r="F358" s="194" t="s">
        <v>814</v>
      </c>
      <c r="G358" s="195">
        <v>8.2769999999999992</v>
      </c>
      <c r="H358" s="196"/>
      <c r="I358" s="197"/>
    </row>
    <row r="359" spans="3:15" ht="14.1" customHeight="1">
      <c r="C359" s="198"/>
      <c r="D359" s="271"/>
      <c r="E359" s="217"/>
      <c r="F359" s="271"/>
      <c r="G359" s="1234" t="s">
        <v>728</v>
      </c>
      <c r="H359" s="1234"/>
      <c r="I359" s="201"/>
    </row>
    <row r="360" spans="3:15" ht="14.1" customHeight="1">
      <c r="C360" s="182" t="s">
        <v>9</v>
      </c>
      <c r="D360" s="183" t="s">
        <v>815</v>
      </c>
      <c r="E360" s="703"/>
      <c r="F360" s="184"/>
      <c r="G360" s="184"/>
      <c r="H360" s="184"/>
      <c r="I360" s="185"/>
    </row>
    <row r="361" spans="3:15" ht="14.1" customHeight="1">
      <c r="C361" s="186"/>
      <c r="D361" s="190" t="s">
        <v>850</v>
      </c>
      <c r="E361" s="211"/>
      <c r="F361" s="188" t="s">
        <v>833</v>
      </c>
      <c r="G361" s="189">
        <v>8.3000000000000004E-2</v>
      </c>
      <c r="H361" s="190"/>
      <c r="I361" s="191"/>
    </row>
    <row r="362" spans="3:15" ht="14.1" customHeight="1">
      <c r="C362" s="192"/>
      <c r="D362" s="196" t="s">
        <v>851</v>
      </c>
      <c r="E362" s="214"/>
      <c r="F362" s="194" t="s">
        <v>834</v>
      </c>
      <c r="G362" s="195">
        <v>2.2000000000000002</v>
      </c>
      <c r="H362" s="196"/>
      <c r="I362" s="197"/>
    </row>
    <row r="363" spans="3:15" ht="14.1" customHeight="1">
      <c r="C363" s="275"/>
      <c r="D363" s="202"/>
      <c r="E363" s="276"/>
      <c r="F363" s="203"/>
      <c r="G363" s="1220" t="s">
        <v>729</v>
      </c>
      <c r="H363" s="1221"/>
      <c r="I363" s="199"/>
    </row>
    <row r="364" spans="3:15" ht="14.1" customHeight="1">
      <c r="C364" s="204" t="s">
        <v>12</v>
      </c>
      <c r="D364" s="1205" t="s">
        <v>730</v>
      </c>
      <c r="E364" s="1206"/>
      <c r="F364" s="1206"/>
      <c r="G364" s="1206"/>
      <c r="H364" s="1206"/>
      <c r="I364" s="205"/>
    </row>
    <row r="365" spans="3:15" ht="14.1" customHeight="1">
      <c r="C365" s="206" t="s">
        <v>13</v>
      </c>
      <c r="D365" s="1207" t="s">
        <v>816</v>
      </c>
      <c r="E365" s="1208"/>
      <c r="F365" s="1208"/>
      <c r="G365" s="1210" t="s">
        <v>740</v>
      </c>
      <c r="H365" s="1211"/>
      <c r="I365" s="207"/>
    </row>
    <row r="366" spans="3:15" ht="14.1" customHeight="1" thickBot="1">
      <c r="C366" s="208" t="s">
        <v>14</v>
      </c>
      <c r="D366" s="1212" t="s">
        <v>817</v>
      </c>
      <c r="E366" s="1213"/>
      <c r="F366" s="1213"/>
      <c r="G366" s="1213"/>
      <c r="H366" s="1213"/>
      <c r="I366" s="209"/>
    </row>
    <row r="367" spans="3:15" ht="14.1" customHeight="1">
      <c r="C367" s="228" t="s">
        <v>860</v>
      </c>
    </row>
    <row r="368" spans="3:15" ht="14.1" customHeight="1">
      <c r="D368" s="240" t="s">
        <v>853</v>
      </c>
      <c r="E368" s="706" t="s">
        <v>861</v>
      </c>
      <c r="G368" s="949"/>
      <c r="H368" s="949"/>
      <c r="L368" s="230"/>
      <c r="N368" s="230"/>
      <c r="O368" s="230"/>
    </row>
    <row r="369" spans="4:15" ht="14.1" customHeight="1">
      <c r="D369" s="241">
        <v>1</v>
      </c>
      <c r="E369" s="707">
        <v>1</v>
      </c>
      <c r="L369" s="233"/>
      <c r="N369" s="234"/>
      <c r="O369" s="234"/>
    </row>
    <row r="370" spans="4:15" ht="14.1" customHeight="1">
      <c r="D370" s="241">
        <v>2</v>
      </c>
      <c r="E370" s="707">
        <v>1</v>
      </c>
      <c r="L370" s="233"/>
      <c r="N370" s="234"/>
      <c r="O370" s="234"/>
    </row>
    <row r="371" spans="4:15" ht="14.1" customHeight="1">
      <c r="D371" s="241">
        <v>3</v>
      </c>
      <c r="E371" s="707">
        <v>1</v>
      </c>
      <c r="L371" s="233"/>
      <c r="N371" s="234"/>
      <c r="O371" s="234"/>
    </row>
    <row r="372" spans="4:15" ht="14.1" customHeight="1">
      <c r="D372" s="241">
        <v>4</v>
      </c>
      <c r="E372" s="707">
        <v>1</v>
      </c>
      <c r="L372" s="233"/>
      <c r="N372" s="234"/>
      <c r="O372" s="234"/>
    </row>
    <row r="373" spans="4:15" ht="14.1" customHeight="1">
      <c r="D373" s="241">
        <v>5</v>
      </c>
      <c r="E373" s="707">
        <v>1</v>
      </c>
      <c r="L373" s="233"/>
      <c r="N373" s="234"/>
      <c r="O373" s="234"/>
    </row>
    <row r="374" spans="4:15" ht="14.1" customHeight="1">
      <c r="D374" s="241">
        <v>6</v>
      </c>
      <c r="E374" s="707">
        <v>1</v>
      </c>
      <c r="L374" s="233"/>
      <c r="N374" s="234"/>
      <c r="O374" s="234"/>
    </row>
    <row r="375" spans="4:15" ht="14.1" customHeight="1">
      <c r="D375" s="241">
        <v>7</v>
      </c>
      <c r="E375" s="707">
        <v>1</v>
      </c>
      <c r="L375" s="233"/>
      <c r="N375" s="234"/>
      <c r="O375" s="234"/>
    </row>
    <row r="376" spans="4:15" ht="14.1" customHeight="1">
      <c r="D376" s="241">
        <v>8</v>
      </c>
      <c r="E376" s="707">
        <v>1.0249999999999999</v>
      </c>
      <c r="L376" s="233"/>
      <c r="N376" s="234"/>
      <c r="O376" s="234"/>
    </row>
    <row r="377" spans="4:15" ht="14.1" customHeight="1">
      <c r="D377" s="241">
        <v>9</v>
      </c>
      <c r="E377" s="707">
        <v>1.0509999999999999</v>
      </c>
      <c r="L377" s="233"/>
      <c r="N377" s="234"/>
      <c r="O377" s="234"/>
    </row>
    <row r="378" spans="4:15" ht="14.1" customHeight="1">
      <c r="D378" s="241">
        <v>10</v>
      </c>
      <c r="E378" s="707">
        <v>1.0780000000000001</v>
      </c>
      <c r="L378" s="233"/>
      <c r="N378" s="234"/>
      <c r="O378" s="234"/>
    </row>
    <row r="379" spans="4:15" ht="14.1" customHeight="1">
      <c r="D379" s="241">
        <v>11</v>
      </c>
      <c r="E379" s="707">
        <v>1.105</v>
      </c>
      <c r="L379" s="233"/>
      <c r="N379" s="234"/>
      <c r="O379" s="234"/>
    </row>
    <row r="380" spans="4:15" ht="14.1" customHeight="1">
      <c r="D380" s="241">
        <v>12</v>
      </c>
      <c r="E380" s="707">
        <v>1.133</v>
      </c>
      <c r="L380" s="233"/>
      <c r="N380" s="234"/>
      <c r="O380" s="234"/>
    </row>
    <row r="381" spans="4:15" ht="14.1" customHeight="1">
      <c r="D381" s="241">
        <v>13</v>
      </c>
      <c r="E381" s="707">
        <v>1.1619999999999999</v>
      </c>
      <c r="G381" s="947"/>
      <c r="H381" s="948"/>
      <c r="L381" s="233"/>
      <c r="N381" s="234"/>
      <c r="O381" s="234"/>
    </row>
    <row r="382" spans="4:15" ht="14.1" customHeight="1">
      <c r="D382" s="241">
        <v>14</v>
      </c>
      <c r="E382" s="707">
        <v>1.1910000000000001</v>
      </c>
      <c r="G382" s="947"/>
      <c r="H382" s="948"/>
      <c r="L382" s="233"/>
      <c r="N382" s="234"/>
      <c r="O382" s="234"/>
    </row>
    <row r="383" spans="4:15" ht="14.1" customHeight="1">
      <c r="D383" s="241">
        <v>15</v>
      </c>
      <c r="E383" s="707">
        <v>1.2210000000000001</v>
      </c>
      <c r="G383" s="947"/>
      <c r="H383" s="948"/>
      <c r="L383" s="233"/>
      <c r="N383" s="234"/>
      <c r="O383" s="234"/>
    </row>
    <row r="384" spans="4:15" ht="14.1" customHeight="1">
      <c r="D384" s="241">
        <v>16</v>
      </c>
      <c r="E384" s="707">
        <v>1.252</v>
      </c>
      <c r="L384" s="233"/>
      <c r="N384" s="234"/>
    </row>
    <row r="385" spans="2:14" ht="14.1" customHeight="1">
      <c r="D385" s="241">
        <v>17</v>
      </c>
      <c r="E385" s="707">
        <v>1.284</v>
      </c>
      <c r="L385" s="233"/>
      <c r="N385" s="234"/>
    </row>
    <row r="386" spans="2:14" ht="14.1" customHeight="1">
      <c r="D386" s="241">
        <v>18</v>
      </c>
      <c r="E386" s="707">
        <v>1.3169999999999999</v>
      </c>
      <c r="L386" s="233"/>
      <c r="N386" s="234"/>
    </row>
    <row r="387" spans="2:14" ht="14.1" customHeight="1">
      <c r="D387" s="241">
        <v>19</v>
      </c>
      <c r="E387" s="707">
        <v>1.35</v>
      </c>
      <c r="L387" s="233"/>
      <c r="N387" s="234"/>
    </row>
    <row r="388" spans="2:14" ht="14.1" customHeight="1">
      <c r="D388" s="241">
        <v>20</v>
      </c>
      <c r="E388" s="707">
        <v>1.3839999999999999</v>
      </c>
      <c r="L388" s="233"/>
      <c r="N388" s="234"/>
    </row>
    <row r="389" spans="2:14" ht="14.1" customHeight="1">
      <c r="D389" s="241">
        <v>21</v>
      </c>
      <c r="E389" s="707">
        <v>1.419</v>
      </c>
      <c r="L389" s="233"/>
      <c r="N389" s="234"/>
    </row>
    <row r="390" spans="2:14" ht="14.1" customHeight="1">
      <c r="D390" s="241">
        <v>22</v>
      </c>
      <c r="E390" s="707">
        <v>1.4550000000000001</v>
      </c>
      <c r="L390" s="233"/>
      <c r="N390" s="234"/>
    </row>
    <row r="391" spans="2:14" ht="14.1" customHeight="1">
      <c r="D391" s="241">
        <v>23</v>
      </c>
      <c r="E391" s="707">
        <v>1.492</v>
      </c>
      <c r="L391" s="233"/>
      <c r="N391" s="234"/>
    </row>
    <row r="392" spans="2:14" ht="14.1" customHeight="1">
      <c r="D392" s="242">
        <v>24</v>
      </c>
      <c r="E392" s="708">
        <v>1.53</v>
      </c>
      <c r="L392" s="233"/>
      <c r="N392" s="234"/>
    </row>
    <row r="393" spans="2:14" ht="14.1" customHeight="1">
      <c r="L393" s="233"/>
      <c r="N393" s="234"/>
    </row>
    <row r="394" spans="2:14" s="732" customFormat="1" ht="15.95" customHeight="1" thickBot="1">
      <c r="B394" s="731">
        <v>17</v>
      </c>
      <c r="C394" s="181" t="s">
        <v>1110</v>
      </c>
      <c r="E394" s="733"/>
    </row>
    <row r="395" spans="2:14" ht="35.1" customHeight="1" thickBot="1">
      <c r="C395" s="692" t="s">
        <v>840</v>
      </c>
      <c r="D395" s="694" t="s">
        <v>841</v>
      </c>
      <c r="E395" s="694" t="s">
        <v>842</v>
      </c>
      <c r="F395" s="693" t="s">
        <v>843</v>
      </c>
      <c r="G395" s="693" t="s">
        <v>844</v>
      </c>
      <c r="H395" s="694" t="s">
        <v>845</v>
      </c>
      <c r="I395" s="697" t="s">
        <v>846</v>
      </c>
    </row>
    <row r="396" spans="2:14" ht="14.1" customHeight="1">
      <c r="C396" s="689" t="s">
        <v>7</v>
      </c>
      <c r="D396" s="187" t="s">
        <v>810</v>
      </c>
      <c r="E396" s="211"/>
      <c r="F396" s="190"/>
      <c r="G396" s="190"/>
      <c r="H396" s="190"/>
      <c r="I396" s="191"/>
    </row>
    <row r="397" spans="2:14" ht="14.1" customHeight="1">
      <c r="C397" s="186"/>
      <c r="D397" s="190" t="s">
        <v>848</v>
      </c>
      <c r="E397" s="188" t="s">
        <v>35</v>
      </c>
      <c r="F397" s="188" t="s">
        <v>726</v>
      </c>
      <c r="G397" s="189">
        <v>1.9E-2</v>
      </c>
      <c r="H397" s="190"/>
      <c r="I397" s="191"/>
    </row>
    <row r="398" spans="2:14" ht="14.1" customHeight="1">
      <c r="C398" s="186"/>
      <c r="D398" s="190" t="s">
        <v>859</v>
      </c>
      <c r="E398" s="188" t="s">
        <v>37</v>
      </c>
      <c r="F398" s="188" t="s">
        <v>726</v>
      </c>
      <c r="G398" s="189">
        <v>1.9E-2</v>
      </c>
      <c r="H398" s="190"/>
      <c r="I398" s="191"/>
    </row>
    <row r="399" spans="2:14" ht="14.1" customHeight="1">
      <c r="C399" s="186"/>
      <c r="D399" s="243" t="s">
        <v>10</v>
      </c>
      <c r="E399" s="188" t="s">
        <v>16</v>
      </c>
      <c r="F399" s="188" t="s">
        <v>726</v>
      </c>
      <c r="G399" s="189">
        <v>1.9E-2</v>
      </c>
      <c r="H399" s="190"/>
      <c r="I399" s="191"/>
    </row>
    <row r="400" spans="2:14" ht="14.1" customHeight="1">
      <c r="C400" s="192"/>
      <c r="D400" s="239" t="s">
        <v>143</v>
      </c>
      <c r="E400" s="194" t="s">
        <v>22</v>
      </c>
      <c r="F400" s="194" t="s">
        <v>726</v>
      </c>
      <c r="G400" s="195">
        <v>3.7999999999999999E-2</v>
      </c>
      <c r="H400" s="196"/>
      <c r="I400" s="197"/>
    </row>
    <row r="401" spans="2:9" ht="14.1" customHeight="1">
      <c r="C401" s="198"/>
      <c r="D401" s="271"/>
      <c r="E401" s="217"/>
      <c r="F401" s="271"/>
      <c r="G401" s="1216" t="s">
        <v>727</v>
      </c>
      <c r="H401" s="1217"/>
      <c r="I401" s="199"/>
    </row>
    <row r="402" spans="2:9" ht="14.1" customHeight="1">
      <c r="C402" s="182" t="s">
        <v>8</v>
      </c>
      <c r="D402" s="238" t="s">
        <v>811</v>
      </c>
      <c r="E402" s="703"/>
      <c r="F402" s="184"/>
      <c r="G402" s="184"/>
      <c r="H402" s="184"/>
      <c r="I402" s="185"/>
    </row>
    <row r="403" spans="2:9" ht="14.1" customHeight="1">
      <c r="C403" s="192"/>
      <c r="D403" s="239" t="s">
        <v>832</v>
      </c>
      <c r="E403" s="214"/>
      <c r="F403" s="194" t="s">
        <v>814</v>
      </c>
      <c r="G403" s="195">
        <v>1.897</v>
      </c>
      <c r="H403" s="196"/>
      <c r="I403" s="197"/>
    </row>
    <row r="404" spans="2:9" ht="14.1" customHeight="1">
      <c r="C404" s="198"/>
      <c r="D404" s="271"/>
      <c r="E404" s="217"/>
      <c r="F404" s="271"/>
      <c r="G404" s="1241" t="s">
        <v>728</v>
      </c>
      <c r="H404" s="1241"/>
      <c r="I404" s="201"/>
    </row>
    <row r="405" spans="2:9" ht="14.1" customHeight="1">
      <c r="C405" s="182" t="s">
        <v>9</v>
      </c>
      <c r="D405" s="183" t="s">
        <v>815</v>
      </c>
      <c r="E405" s="703"/>
      <c r="F405" s="184"/>
      <c r="G405" s="184"/>
      <c r="H405" s="184"/>
      <c r="I405" s="185"/>
    </row>
    <row r="406" spans="2:9" ht="14.1" customHeight="1">
      <c r="C406" s="192"/>
      <c r="D406" s="196" t="s">
        <v>850</v>
      </c>
      <c r="E406" s="214"/>
      <c r="F406" s="194" t="s">
        <v>833</v>
      </c>
      <c r="G406" s="195">
        <v>1.9E-2</v>
      </c>
      <c r="H406" s="196"/>
      <c r="I406" s="197"/>
    </row>
    <row r="407" spans="2:9" ht="14.1" customHeight="1">
      <c r="C407" s="198"/>
      <c r="D407" s="271"/>
      <c r="E407" s="217"/>
      <c r="F407" s="271"/>
      <c r="G407" s="1242" t="s">
        <v>729</v>
      </c>
      <c r="H407" s="1242"/>
      <c r="I407" s="201"/>
    </row>
    <row r="408" spans="2:9" ht="14.1" customHeight="1">
      <c r="C408" s="206" t="s">
        <v>12</v>
      </c>
      <c r="D408" s="1210" t="s">
        <v>730</v>
      </c>
      <c r="E408" s="1211"/>
      <c r="F408" s="1211"/>
      <c r="G408" s="1211"/>
      <c r="H408" s="1211"/>
      <c r="I408" s="207"/>
    </row>
    <row r="409" spans="2:9" ht="14.1" customHeight="1">
      <c r="C409" s="206" t="s">
        <v>13</v>
      </c>
      <c r="D409" s="1207" t="s">
        <v>816</v>
      </c>
      <c r="E409" s="1208"/>
      <c r="F409" s="1209"/>
      <c r="G409" s="1210" t="s">
        <v>740</v>
      </c>
      <c r="H409" s="1211"/>
      <c r="I409" s="207"/>
    </row>
    <row r="410" spans="2:9" ht="14.1" customHeight="1" thickBot="1">
      <c r="C410" s="208" t="s">
        <v>14</v>
      </c>
      <c r="D410" s="1212" t="s">
        <v>817</v>
      </c>
      <c r="E410" s="1213"/>
      <c r="F410" s="1213"/>
      <c r="G410" s="1213"/>
      <c r="H410" s="1213"/>
      <c r="I410" s="209"/>
    </row>
    <row r="411" spans="2:9" ht="14.1" customHeight="1"/>
    <row r="412" spans="2:9" s="732" customFormat="1" ht="15.95" customHeight="1" thickBot="1">
      <c r="B412" s="731">
        <v>18</v>
      </c>
      <c r="C412" s="181" t="s">
        <v>1111</v>
      </c>
      <c r="E412" s="733"/>
    </row>
    <row r="413" spans="2:9" ht="35.1" customHeight="1" thickBot="1">
      <c r="C413" s="692" t="s">
        <v>840</v>
      </c>
      <c r="D413" s="693" t="s">
        <v>841</v>
      </c>
      <c r="E413" s="693" t="s">
        <v>842</v>
      </c>
      <c r="F413" s="694" t="s">
        <v>843</v>
      </c>
      <c r="G413" s="694" t="s">
        <v>844</v>
      </c>
      <c r="H413" s="694" t="s">
        <v>845</v>
      </c>
      <c r="I413" s="697" t="s">
        <v>846</v>
      </c>
    </row>
    <row r="414" spans="2:9" ht="14.1" customHeight="1">
      <c r="C414" s="689" t="s">
        <v>7</v>
      </c>
      <c r="D414" s="187" t="s">
        <v>810</v>
      </c>
      <c r="E414" s="211"/>
      <c r="F414" s="190"/>
      <c r="G414" s="190"/>
      <c r="H414" s="190"/>
      <c r="I414" s="191"/>
    </row>
    <row r="415" spans="2:9" ht="14.1" customHeight="1">
      <c r="C415" s="186"/>
      <c r="D415" s="235" t="s">
        <v>848</v>
      </c>
      <c r="E415" s="188" t="s">
        <v>35</v>
      </c>
      <c r="F415" s="188" t="s">
        <v>726</v>
      </c>
      <c r="G415" s="189">
        <v>1.9E-2</v>
      </c>
      <c r="H415" s="190"/>
      <c r="I415" s="191"/>
    </row>
    <row r="416" spans="2:9" ht="14.1" customHeight="1">
      <c r="C416" s="186"/>
      <c r="D416" s="235" t="s">
        <v>859</v>
      </c>
      <c r="E416" s="188" t="s">
        <v>37</v>
      </c>
      <c r="F416" s="188" t="s">
        <v>726</v>
      </c>
      <c r="G416" s="189">
        <v>1.9E-2</v>
      </c>
      <c r="H416" s="190"/>
      <c r="I416" s="191"/>
    </row>
    <row r="417" spans="2:10" ht="14.1" customHeight="1">
      <c r="C417" s="186"/>
      <c r="D417" s="213" t="s">
        <v>10</v>
      </c>
      <c r="E417" s="188" t="s">
        <v>16</v>
      </c>
      <c r="F417" s="188" t="s">
        <v>726</v>
      </c>
      <c r="G417" s="189">
        <v>1.9E-2</v>
      </c>
      <c r="H417" s="190"/>
      <c r="I417" s="191"/>
    </row>
    <row r="418" spans="2:10" ht="14.1" customHeight="1">
      <c r="C418" s="192"/>
      <c r="D418" s="216" t="s">
        <v>143</v>
      </c>
      <c r="E418" s="194" t="s">
        <v>22</v>
      </c>
      <c r="F418" s="194" t="s">
        <v>726</v>
      </c>
      <c r="G418" s="195">
        <v>3.7999999999999999E-2</v>
      </c>
      <c r="H418" s="196"/>
      <c r="I418" s="197"/>
    </row>
    <row r="419" spans="2:10" ht="14.1" customHeight="1">
      <c r="C419" s="198"/>
      <c r="D419" s="271"/>
      <c r="E419" s="217"/>
      <c r="F419" s="271"/>
      <c r="G419" s="1216" t="s">
        <v>727</v>
      </c>
      <c r="H419" s="1217"/>
      <c r="I419" s="199"/>
    </row>
    <row r="420" spans="2:10" ht="14.1" customHeight="1">
      <c r="C420" s="182" t="s">
        <v>8</v>
      </c>
      <c r="D420" s="200" t="s">
        <v>811</v>
      </c>
      <c r="E420" s="703"/>
      <c r="F420" s="184"/>
      <c r="G420" s="184"/>
      <c r="H420" s="184"/>
      <c r="I420" s="185"/>
    </row>
    <row r="421" spans="2:10" ht="14.1" customHeight="1">
      <c r="C421" s="192"/>
      <c r="D421" s="215" t="s">
        <v>832</v>
      </c>
      <c r="E421" s="214"/>
      <c r="F421" s="194" t="s">
        <v>814</v>
      </c>
      <c r="G421" s="195">
        <v>1.897</v>
      </c>
      <c r="H421" s="196"/>
      <c r="I421" s="197"/>
    </row>
    <row r="422" spans="2:10" ht="14.1" customHeight="1">
      <c r="C422" s="198"/>
      <c r="D422" s="271"/>
      <c r="E422" s="217"/>
      <c r="F422" s="271"/>
      <c r="G422" s="1241" t="s">
        <v>728</v>
      </c>
      <c r="H422" s="1241"/>
      <c r="I422" s="201"/>
    </row>
    <row r="423" spans="2:10" ht="14.1" customHeight="1">
      <c r="C423" s="182" t="s">
        <v>9</v>
      </c>
      <c r="D423" s="183" t="s">
        <v>815</v>
      </c>
      <c r="E423" s="703"/>
      <c r="F423" s="184"/>
      <c r="G423" s="184"/>
      <c r="H423" s="184"/>
      <c r="I423" s="185"/>
    </row>
    <row r="424" spans="2:10" ht="14.1" customHeight="1">
      <c r="C424" s="192"/>
      <c r="D424" s="196" t="s">
        <v>850</v>
      </c>
      <c r="E424" s="214"/>
      <c r="F424" s="216" t="s">
        <v>833</v>
      </c>
      <c r="G424" s="195">
        <v>1.9E-2</v>
      </c>
      <c r="H424" s="196"/>
      <c r="I424" s="197"/>
    </row>
    <row r="425" spans="2:10" ht="14.1" customHeight="1">
      <c r="C425" s="275"/>
      <c r="D425" s="202"/>
      <c r="E425" s="276"/>
      <c r="F425" s="203"/>
      <c r="G425" s="1220" t="s">
        <v>729</v>
      </c>
      <c r="H425" s="1221"/>
      <c r="I425" s="199"/>
    </row>
    <row r="426" spans="2:10" ht="14.1" customHeight="1">
      <c r="C426" s="206" t="s">
        <v>12</v>
      </c>
      <c r="D426" s="1210" t="s">
        <v>730</v>
      </c>
      <c r="E426" s="1211"/>
      <c r="F426" s="1211"/>
      <c r="G426" s="1211"/>
      <c r="H426" s="1211"/>
      <c r="I426" s="207"/>
    </row>
    <row r="427" spans="2:10" ht="14.1" customHeight="1">
      <c r="C427" s="206" t="s">
        <v>13</v>
      </c>
      <c r="D427" s="1207" t="s">
        <v>816</v>
      </c>
      <c r="E427" s="1208"/>
      <c r="F427" s="1208"/>
      <c r="G427" s="1210" t="s">
        <v>740</v>
      </c>
      <c r="H427" s="1211"/>
      <c r="I427" s="207"/>
    </row>
    <row r="428" spans="2:10" ht="14.1" customHeight="1" thickBot="1">
      <c r="C428" s="208" t="s">
        <v>14</v>
      </c>
      <c r="D428" s="1212" t="s">
        <v>817</v>
      </c>
      <c r="E428" s="1213"/>
      <c r="F428" s="1213"/>
      <c r="G428" s="1213"/>
      <c r="H428" s="1213"/>
      <c r="I428" s="209"/>
    </row>
    <row r="429" spans="2:10" ht="14.1" customHeight="1">
      <c r="C429" s="223"/>
      <c r="D429" s="274"/>
      <c r="E429" s="223"/>
      <c r="F429" s="274"/>
      <c r="G429" s="274"/>
      <c r="H429" s="274"/>
      <c r="I429" s="271"/>
    </row>
    <row r="430" spans="2:10" s="732" customFormat="1" ht="15.95" customHeight="1" thickBot="1">
      <c r="B430" s="731">
        <v>19</v>
      </c>
      <c r="C430" s="181" t="s">
        <v>1112</v>
      </c>
      <c r="E430" s="733"/>
      <c r="J430" s="734"/>
    </row>
    <row r="431" spans="2:10" ht="35.1" customHeight="1" thickBot="1">
      <c r="C431" s="692" t="s">
        <v>840</v>
      </c>
      <c r="D431" s="693" t="s">
        <v>841</v>
      </c>
      <c r="E431" s="694" t="s">
        <v>842</v>
      </c>
      <c r="F431" s="712" t="s">
        <v>3</v>
      </c>
      <c r="G431" s="712" t="s">
        <v>4</v>
      </c>
      <c r="H431" s="712" t="s">
        <v>742</v>
      </c>
      <c r="I431" s="713" t="s">
        <v>736</v>
      </c>
    </row>
    <row r="432" spans="2:10" ht="14.1" customHeight="1">
      <c r="C432" s="689" t="s">
        <v>7</v>
      </c>
      <c r="D432" s="243" t="s">
        <v>810</v>
      </c>
      <c r="E432" s="211"/>
      <c r="F432" s="711"/>
      <c r="G432" s="190"/>
      <c r="H432" s="190"/>
      <c r="I432" s="191"/>
    </row>
    <row r="433" spans="2:9" ht="14.1" customHeight="1">
      <c r="C433" s="714"/>
      <c r="D433" s="245" t="s">
        <v>848</v>
      </c>
      <c r="E433" s="188" t="s">
        <v>35</v>
      </c>
      <c r="F433" s="246"/>
      <c r="G433" s="188" t="s">
        <v>1283</v>
      </c>
      <c r="H433" s="189"/>
      <c r="I433" s="191"/>
    </row>
    <row r="434" spans="2:9" ht="14.1" customHeight="1">
      <c r="C434" s="714"/>
      <c r="D434" s="245" t="s">
        <v>859</v>
      </c>
      <c r="E434" s="188" t="s">
        <v>37</v>
      </c>
      <c r="F434" s="246"/>
      <c r="G434" s="188" t="s">
        <v>1283</v>
      </c>
      <c r="H434" s="189"/>
      <c r="I434" s="191"/>
    </row>
    <row r="435" spans="2:9" ht="14.1" customHeight="1">
      <c r="C435" s="714"/>
      <c r="D435" s="243" t="s">
        <v>10</v>
      </c>
      <c r="E435" s="188" t="s">
        <v>16</v>
      </c>
      <c r="F435" s="246"/>
      <c r="G435" s="188" t="s">
        <v>1283</v>
      </c>
      <c r="H435" s="189"/>
      <c r="I435" s="191"/>
    </row>
    <row r="436" spans="2:9" ht="14.1" customHeight="1">
      <c r="C436" s="715"/>
      <c r="D436" s="239" t="s">
        <v>143</v>
      </c>
      <c r="E436" s="194" t="s">
        <v>22</v>
      </c>
      <c r="F436" s="248"/>
      <c r="G436" s="194" t="s">
        <v>1284</v>
      </c>
      <c r="H436" s="195"/>
      <c r="I436" s="197"/>
    </row>
    <row r="437" spans="2:9" ht="14.1" customHeight="1">
      <c r="C437" s="198"/>
      <c r="D437" s="271"/>
      <c r="E437" s="1214"/>
      <c r="F437" s="1214"/>
      <c r="G437" s="1216" t="s">
        <v>727</v>
      </c>
      <c r="H437" s="1238"/>
      <c r="I437" s="716"/>
    </row>
    <row r="438" spans="2:9" ht="14.1" customHeight="1">
      <c r="C438" s="182" t="s">
        <v>8</v>
      </c>
      <c r="D438" s="200" t="s">
        <v>811</v>
      </c>
      <c r="E438" s="703"/>
      <c r="F438" s="244"/>
      <c r="G438" s="184"/>
      <c r="H438" s="184"/>
      <c r="I438" s="185"/>
    </row>
    <row r="439" spans="2:9" ht="14.1" customHeight="1">
      <c r="C439" s="192"/>
      <c r="D439" s="215" t="s">
        <v>832</v>
      </c>
      <c r="E439" s="214"/>
      <c r="F439" s="247"/>
      <c r="G439" s="778">
        <v>1897</v>
      </c>
      <c r="H439" s="195"/>
      <c r="I439" s="197"/>
    </row>
    <row r="440" spans="2:9" ht="14.1" customHeight="1">
      <c r="C440" s="198"/>
      <c r="D440" s="271"/>
      <c r="E440" s="1214"/>
      <c r="F440" s="1214"/>
      <c r="G440" s="1216" t="s">
        <v>728</v>
      </c>
      <c r="H440" s="1217"/>
      <c r="I440" s="716"/>
    </row>
    <row r="441" spans="2:9" ht="14.1" customHeight="1">
      <c r="C441" s="182" t="s">
        <v>9</v>
      </c>
      <c r="D441" s="183" t="s">
        <v>815</v>
      </c>
      <c r="E441" s="703"/>
      <c r="F441" s="244"/>
      <c r="G441" s="184"/>
      <c r="H441" s="184"/>
      <c r="I441" s="185"/>
    </row>
    <row r="442" spans="2:9" ht="14.1" customHeight="1">
      <c r="C442" s="192"/>
      <c r="D442" s="196" t="s">
        <v>850</v>
      </c>
      <c r="E442" s="214"/>
      <c r="F442" s="247"/>
      <c r="G442" s="194" t="s">
        <v>1285</v>
      </c>
      <c r="H442" s="195"/>
      <c r="I442" s="197"/>
    </row>
    <row r="443" spans="2:9" ht="14.1" customHeight="1">
      <c r="C443" s="198"/>
      <c r="D443" s="271"/>
      <c r="E443" s="1214"/>
      <c r="F443" s="1214"/>
      <c r="G443" s="1239" t="s">
        <v>729</v>
      </c>
      <c r="H443" s="1240"/>
      <c r="I443" s="717"/>
    </row>
    <row r="444" spans="2:9" ht="14.1" customHeight="1">
      <c r="C444" s="266" t="s">
        <v>12</v>
      </c>
      <c r="D444" s="249" t="s">
        <v>730</v>
      </c>
      <c r="E444" s="273"/>
      <c r="F444" s="250"/>
      <c r="G444" s="250"/>
      <c r="H444" s="251"/>
      <c r="I444" s="718"/>
    </row>
    <row r="445" spans="2:9" ht="14.1" customHeight="1">
      <c r="C445" s="204" t="s">
        <v>13</v>
      </c>
      <c r="D445" s="252" t="s">
        <v>816</v>
      </c>
      <c r="E445" s="709"/>
      <c r="F445" s="253"/>
      <c r="G445" s="1236" t="s">
        <v>740</v>
      </c>
      <c r="H445" s="1237"/>
      <c r="I445" s="716"/>
    </row>
    <row r="446" spans="2:9" ht="14.1" customHeight="1" thickBot="1">
      <c r="C446" s="208" t="s">
        <v>14</v>
      </c>
      <c r="D446" s="719" t="s">
        <v>817</v>
      </c>
      <c r="E446" s="720"/>
      <c r="F446" s="721"/>
      <c r="G446" s="721"/>
      <c r="H446" s="721"/>
      <c r="I446" s="722"/>
    </row>
    <row r="447" spans="2:9" ht="14.1" customHeight="1"/>
    <row r="448" spans="2:9" s="732" customFormat="1" ht="15.95" customHeight="1" thickBot="1">
      <c r="B448" s="731">
        <v>20</v>
      </c>
      <c r="C448" s="181" t="s">
        <v>1121</v>
      </c>
      <c r="E448" s="733"/>
    </row>
    <row r="449" spans="2:9" ht="32.1" customHeight="1" thickBot="1">
      <c r="C449" s="692" t="s">
        <v>840</v>
      </c>
      <c r="D449" s="693" t="s">
        <v>841</v>
      </c>
      <c r="E449" s="693" t="s">
        <v>842</v>
      </c>
      <c r="F449" s="693" t="s">
        <v>843</v>
      </c>
      <c r="G449" s="710" t="s">
        <v>844</v>
      </c>
      <c r="H449" s="696" t="s">
        <v>845</v>
      </c>
      <c r="I449" s="697" t="s">
        <v>846</v>
      </c>
    </row>
    <row r="450" spans="2:9" ht="14.1" customHeight="1">
      <c r="C450" s="724" t="s">
        <v>7</v>
      </c>
      <c r="D450" s="193" t="s">
        <v>810</v>
      </c>
      <c r="E450" s="214"/>
      <c r="F450" s="196"/>
      <c r="G450" s="196"/>
      <c r="H450" s="196"/>
      <c r="I450" s="197"/>
    </row>
    <row r="451" spans="2:9" ht="14.1" customHeight="1">
      <c r="C451" s="275"/>
      <c r="D451" s="202"/>
      <c r="E451" s="276"/>
      <c r="F451" s="203"/>
      <c r="G451" s="1232" t="s">
        <v>727</v>
      </c>
      <c r="H451" s="1233"/>
      <c r="I451" s="199"/>
    </row>
    <row r="452" spans="2:9" ht="14.1" customHeight="1">
      <c r="C452" s="182" t="s">
        <v>8</v>
      </c>
      <c r="D452" s="254" t="s">
        <v>811</v>
      </c>
      <c r="E452" s="703"/>
      <c r="F452" s="184"/>
      <c r="G452" s="184"/>
      <c r="H452" s="184"/>
      <c r="I452" s="185"/>
    </row>
    <row r="453" spans="2:9" ht="14.1" customHeight="1">
      <c r="C453" s="186"/>
      <c r="D453" s="255" t="s">
        <v>862</v>
      </c>
      <c r="E453" s="211"/>
      <c r="F453" s="188" t="s">
        <v>734</v>
      </c>
      <c r="G453" s="256">
        <v>1200</v>
      </c>
      <c r="H453" s="190"/>
      <c r="I453" s="191"/>
    </row>
    <row r="454" spans="2:9" ht="14.1" customHeight="1">
      <c r="C454" s="186"/>
      <c r="D454" s="257" t="s">
        <v>835</v>
      </c>
      <c r="E454" s="211"/>
      <c r="F454" s="188" t="s">
        <v>734</v>
      </c>
      <c r="G454" s="258">
        <v>650</v>
      </c>
      <c r="H454" s="190"/>
      <c r="I454" s="191"/>
    </row>
    <row r="455" spans="2:9" ht="14.1" customHeight="1">
      <c r="C455" s="192"/>
      <c r="D455" s="259" t="s">
        <v>274</v>
      </c>
      <c r="E455" s="214"/>
      <c r="F455" s="194" t="s">
        <v>814</v>
      </c>
      <c r="G455" s="260">
        <v>350</v>
      </c>
      <c r="H455" s="196"/>
      <c r="I455" s="197"/>
    </row>
    <row r="456" spans="2:9" ht="14.1" customHeight="1">
      <c r="C456" s="198"/>
      <c r="D456" s="271"/>
      <c r="E456" s="217"/>
      <c r="F456" s="271"/>
      <c r="G456" s="1234" t="s">
        <v>728</v>
      </c>
      <c r="H456" s="1234"/>
      <c r="I456" s="201"/>
    </row>
    <row r="457" spans="2:9" ht="14.1" customHeight="1">
      <c r="C457" s="266" t="s">
        <v>9</v>
      </c>
      <c r="D457" s="272" t="s">
        <v>815</v>
      </c>
      <c r="E457" s="704"/>
      <c r="F457" s="218"/>
      <c r="G457" s="218"/>
      <c r="H457" s="218"/>
      <c r="I457" s="199"/>
    </row>
    <row r="458" spans="2:9" ht="14.1" customHeight="1">
      <c r="C458" s="275"/>
      <c r="D458" s="202"/>
      <c r="E458" s="276"/>
      <c r="F458" s="203"/>
      <c r="G458" s="1220" t="s">
        <v>729</v>
      </c>
      <c r="H458" s="1221"/>
      <c r="I458" s="199"/>
    </row>
    <row r="459" spans="2:9" ht="14.1" customHeight="1">
      <c r="C459" s="204" t="s">
        <v>12</v>
      </c>
      <c r="D459" s="1205" t="s">
        <v>730</v>
      </c>
      <c r="E459" s="1206"/>
      <c r="F459" s="1206"/>
      <c r="G459" s="1206"/>
      <c r="H459" s="1235"/>
      <c r="I459" s="205"/>
    </row>
    <row r="460" spans="2:9" ht="14.1" customHeight="1">
      <c r="C460" s="206" t="s">
        <v>13</v>
      </c>
      <c r="D460" s="1207" t="s">
        <v>816</v>
      </c>
      <c r="E460" s="1208"/>
      <c r="F460" s="1209"/>
      <c r="G460" s="1210" t="s">
        <v>740</v>
      </c>
      <c r="H460" s="1215"/>
      <c r="I460" s="207"/>
    </row>
    <row r="461" spans="2:9" ht="14.1" customHeight="1" thickBot="1">
      <c r="C461" s="208" t="s">
        <v>14</v>
      </c>
      <c r="D461" s="1212" t="s">
        <v>817</v>
      </c>
      <c r="E461" s="1213"/>
      <c r="F461" s="1213"/>
      <c r="G461" s="1213"/>
      <c r="H461" s="1225"/>
      <c r="I461" s="209"/>
    </row>
    <row r="462" spans="2:9" ht="14.1" customHeight="1">
      <c r="C462" s="223"/>
      <c r="D462" s="274"/>
      <c r="E462" s="223"/>
      <c r="F462" s="274"/>
      <c r="G462" s="274"/>
      <c r="H462" s="274"/>
      <c r="I462" s="271"/>
    </row>
    <row r="463" spans="2:9" s="732" customFormat="1" ht="15.95" customHeight="1" thickBot="1">
      <c r="B463" s="731">
        <v>21</v>
      </c>
      <c r="C463" s="181" t="s">
        <v>1122</v>
      </c>
      <c r="E463" s="733"/>
    </row>
    <row r="464" spans="2:9" ht="32.1" customHeight="1" thickBot="1">
      <c r="C464" s="690" t="s">
        <v>840</v>
      </c>
      <c r="D464" s="691" t="s">
        <v>841</v>
      </c>
      <c r="E464" s="691" t="s">
        <v>842</v>
      </c>
      <c r="F464" s="691" t="s">
        <v>843</v>
      </c>
      <c r="G464" s="723" t="s">
        <v>844</v>
      </c>
      <c r="H464" s="698" t="s">
        <v>845</v>
      </c>
      <c r="I464" s="699" t="s">
        <v>846</v>
      </c>
    </row>
    <row r="465" spans="2:9" ht="14.1" customHeight="1">
      <c r="C465" s="724" t="s">
        <v>7</v>
      </c>
      <c r="D465" s="193" t="s">
        <v>810</v>
      </c>
      <c r="E465" s="214"/>
      <c r="F465" s="196"/>
      <c r="G465" s="196"/>
      <c r="H465" s="196"/>
      <c r="I465" s="197"/>
    </row>
    <row r="466" spans="2:9" ht="14.1" customHeight="1">
      <c r="C466" s="198"/>
      <c r="D466" s="271"/>
      <c r="E466" s="217"/>
      <c r="F466" s="271"/>
      <c r="G466" s="1232" t="s">
        <v>727</v>
      </c>
      <c r="H466" s="1233"/>
      <c r="I466" s="199"/>
    </row>
    <row r="467" spans="2:9" ht="14.1" customHeight="1">
      <c r="C467" s="182" t="s">
        <v>8</v>
      </c>
      <c r="D467" s="200" t="s">
        <v>811</v>
      </c>
      <c r="E467" s="703"/>
      <c r="F467" s="184"/>
      <c r="G467" s="184"/>
      <c r="H467" s="184"/>
      <c r="I467" s="185"/>
    </row>
    <row r="468" spans="2:9" ht="14.1" customHeight="1">
      <c r="C468" s="186"/>
      <c r="D468" s="261" t="s">
        <v>862</v>
      </c>
      <c r="E468" s="211"/>
      <c r="F468" s="188" t="s">
        <v>734</v>
      </c>
      <c r="G468" s="262">
        <v>1850</v>
      </c>
      <c r="H468" s="190"/>
      <c r="I468" s="191"/>
    </row>
    <row r="469" spans="2:9" ht="14.1" customHeight="1">
      <c r="C469" s="192"/>
      <c r="D469" s="215" t="s">
        <v>274</v>
      </c>
      <c r="E469" s="214"/>
      <c r="F469" s="194" t="s">
        <v>814</v>
      </c>
      <c r="G469" s="263">
        <v>400</v>
      </c>
      <c r="H469" s="196"/>
      <c r="I469" s="197"/>
    </row>
    <row r="470" spans="2:9" ht="14.1" customHeight="1">
      <c r="C470" s="198"/>
      <c r="D470" s="271"/>
      <c r="E470" s="217"/>
      <c r="F470" s="271"/>
      <c r="G470" s="1234" t="s">
        <v>728</v>
      </c>
      <c r="H470" s="1234"/>
      <c r="I470" s="201"/>
    </row>
    <row r="471" spans="2:9" ht="14.1" customHeight="1">
      <c r="C471" s="266" t="s">
        <v>9</v>
      </c>
      <c r="D471" s="272" t="s">
        <v>815</v>
      </c>
      <c r="E471" s="704"/>
      <c r="F471" s="218"/>
      <c r="G471" s="218"/>
      <c r="H471" s="218"/>
      <c r="I471" s="199"/>
    </row>
    <row r="472" spans="2:9" ht="14.1" customHeight="1">
      <c r="C472" s="275"/>
      <c r="D472" s="202"/>
      <c r="E472" s="276"/>
      <c r="F472" s="203"/>
      <c r="G472" s="1220" t="s">
        <v>729</v>
      </c>
      <c r="H472" s="1221"/>
      <c r="I472" s="199"/>
    </row>
    <row r="473" spans="2:9" ht="14.1" customHeight="1">
      <c r="C473" s="204" t="s">
        <v>12</v>
      </c>
      <c r="D473" s="1205" t="s">
        <v>730</v>
      </c>
      <c r="E473" s="1206"/>
      <c r="F473" s="1206"/>
      <c r="G473" s="1206"/>
      <c r="H473" s="1235"/>
      <c r="I473" s="205"/>
    </row>
    <row r="474" spans="2:9" ht="14.1" customHeight="1">
      <c r="C474" s="206" t="s">
        <v>13</v>
      </c>
      <c r="D474" s="1207" t="s">
        <v>816</v>
      </c>
      <c r="E474" s="1208"/>
      <c r="F474" s="1209"/>
      <c r="G474" s="1210" t="s">
        <v>740</v>
      </c>
      <c r="H474" s="1215"/>
      <c r="I474" s="207"/>
    </row>
    <row r="475" spans="2:9" ht="14.1" customHeight="1" thickBot="1">
      <c r="C475" s="208" t="s">
        <v>14</v>
      </c>
      <c r="D475" s="1212" t="s">
        <v>817</v>
      </c>
      <c r="E475" s="1213"/>
      <c r="F475" s="1213"/>
      <c r="G475" s="1213"/>
      <c r="H475" s="1225"/>
      <c r="I475" s="209"/>
    </row>
    <row r="476" spans="2:9" ht="14.1" customHeight="1">
      <c r="C476" s="223"/>
      <c r="D476" s="274"/>
      <c r="E476" s="223"/>
      <c r="F476" s="274"/>
      <c r="G476" s="274"/>
      <c r="H476" s="274"/>
      <c r="I476" s="271"/>
    </row>
    <row r="477" spans="2:9" s="732" customFormat="1" ht="15.95" customHeight="1" thickBot="1">
      <c r="B477" s="731">
        <v>22</v>
      </c>
      <c r="C477" s="181" t="s">
        <v>1123</v>
      </c>
      <c r="E477" s="733"/>
    </row>
    <row r="478" spans="2:9" ht="32.1" customHeight="1" thickBot="1">
      <c r="C478" s="692" t="s">
        <v>840</v>
      </c>
      <c r="D478" s="693" t="s">
        <v>841</v>
      </c>
      <c r="E478" s="693" t="s">
        <v>842</v>
      </c>
      <c r="F478" s="693" t="s">
        <v>843</v>
      </c>
      <c r="G478" s="694" t="s">
        <v>844</v>
      </c>
      <c r="H478" s="725" t="s">
        <v>845</v>
      </c>
      <c r="I478" s="697" t="s">
        <v>846</v>
      </c>
    </row>
    <row r="479" spans="2:9" ht="14.1" customHeight="1">
      <c r="C479" s="689" t="s">
        <v>7</v>
      </c>
      <c r="D479" s="187" t="s">
        <v>810</v>
      </c>
      <c r="E479" s="211"/>
      <c r="F479" s="190"/>
      <c r="G479" s="190"/>
      <c r="H479" s="245"/>
      <c r="I479" s="726"/>
    </row>
    <row r="480" spans="2:9" ht="14.1" customHeight="1">
      <c r="C480" s="186"/>
      <c r="D480" s="187" t="s">
        <v>143</v>
      </c>
      <c r="E480" s="188" t="s">
        <v>22</v>
      </c>
      <c r="F480" s="188" t="s">
        <v>726</v>
      </c>
      <c r="G480" s="189">
        <v>0.36699999999999999</v>
      </c>
      <c r="H480" s="245"/>
      <c r="I480" s="726"/>
    </row>
    <row r="481" spans="2:9" ht="14.1" customHeight="1">
      <c r="C481" s="186"/>
      <c r="D481" s="187" t="s">
        <v>20</v>
      </c>
      <c r="E481" s="188" t="s">
        <v>21</v>
      </c>
      <c r="F481" s="188" t="s">
        <v>726</v>
      </c>
      <c r="G481" s="189">
        <v>7.3999999999999996E-2</v>
      </c>
      <c r="H481" s="245"/>
      <c r="I481" s="726"/>
    </row>
    <row r="482" spans="2:9" ht="14.1" customHeight="1">
      <c r="C482" s="192"/>
      <c r="D482" s="193" t="s">
        <v>11</v>
      </c>
      <c r="E482" s="194" t="s">
        <v>17</v>
      </c>
      <c r="F482" s="194" t="s">
        <v>726</v>
      </c>
      <c r="G482" s="195">
        <v>3.6999999999999998E-2</v>
      </c>
      <c r="H482" s="247"/>
      <c r="I482" s="727"/>
    </row>
    <row r="483" spans="2:9" ht="14.1" customHeight="1">
      <c r="C483" s="198"/>
      <c r="D483" s="271"/>
      <c r="E483" s="217"/>
      <c r="F483" s="271"/>
      <c r="G483" s="1226" t="s">
        <v>727</v>
      </c>
      <c r="H483" s="1227"/>
      <c r="I483" s="716"/>
    </row>
    <row r="484" spans="2:9" ht="14.1" customHeight="1">
      <c r="C484" s="266" t="s">
        <v>8</v>
      </c>
      <c r="D484" s="222" t="s">
        <v>811</v>
      </c>
      <c r="E484" s="704"/>
      <c r="F484" s="218"/>
      <c r="G484" s="218"/>
      <c r="H484" s="264"/>
      <c r="I484" s="728"/>
    </row>
    <row r="485" spans="2:9" ht="14.1" customHeight="1">
      <c r="C485" s="198"/>
      <c r="D485" s="271"/>
      <c r="E485" s="217"/>
      <c r="F485" s="271"/>
      <c r="G485" s="1226" t="s">
        <v>728</v>
      </c>
      <c r="H485" s="1227"/>
      <c r="I485" s="716"/>
    </row>
    <row r="486" spans="2:9" ht="14.1" customHeight="1">
      <c r="C486" s="266" t="s">
        <v>9</v>
      </c>
      <c r="D486" s="272" t="s">
        <v>815</v>
      </c>
      <c r="E486" s="704"/>
      <c r="F486" s="218"/>
      <c r="G486" s="218"/>
      <c r="H486" s="264"/>
      <c r="I486" s="728"/>
    </row>
    <row r="487" spans="2:9" ht="14.1" customHeight="1">
      <c r="C487" s="275"/>
      <c r="D487" s="202"/>
      <c r="E487" s="276"/>
      <c r="F487" s="203"/>
      <c r="G487" s="1226" t="s">
        <v>729</v>
      </c>
      <c r="H487" s="1227"/>
      <c r="I487" s="716"/>
    </row>
    <row r="488" spans="2:9" ht="14.1" customHeight="1">
      <c r="C488" s="729" t="s">
        <v>12</v>
      </c>
      <c r="D488" s="1228" t="s">
        <v>730</v>
      </c>
      <c r="E488" s="1228"/>
      <c r="F488" s="1228"/>
      <c r="G488" s="1228"/>
      <c r="H488" s="1228"/>
      <c r="I488" s="1229"/>
    </row>
    <row r="489" spans="2:9" ht="14.1" customHeight="1">
      <c r="C489" s="729" t="s">
        <v>13</v>
      </c>
      <c r="D489" s="1230" t="s">
        <v>816</v>
      </c>
      <c r="E489" s="1230"/>
      <c r="F489" s="1230"/>
      <c r="G489" s="1226" t="s">
        <v>740</v>
      </c>
      <c r="H489" s="1231"/>
      <c r="I489" s="716"/>
    </row>
    <row r="490" spans="2:9" ht="14.1" customHeight="1" thickBot="1">
      <c r="C490" s="730" t="s">
        <v>14</v>
      </c>
      <c r="D490" s="1218" t="s">
        <v>817</v>
      </c>
      <c r="E490" s="1218"/>
      <c r="F490" s="1218"/>
      <c r="G490" s="1218"/>
      <c r="H490" s="1218"/>
      <c r="I490" s="1219"/>
    </row>
    <row r="491" spans="2:9" ht="14.1" customHeight="1"/>
    <row r="492" spans="2:9" s="732" customFormat="1" ht="15.95" customHeight="1" thickBot="1">
      <c r="B492" s="731">
        <v>23</v>
      </c>
      <c r="C492" s="181" t="s">
        <v>1124</v>
      </c>
      <c r="E492" s="733"/>
    </row>
    <row r="493" spans="2:9" ht="35.1" customHeight="1" thickBot="1">
      <c r="C493" s="692" t="s">
        <v>840</v>
      </c>
      <c r="D493" s="693" t="s">
        <v>841</v>
      </c>
      <c r="E493" s="693" t="s">
        <v>842</v>
      </c>
      <c r="F493" s="693" t="s">
        <v>843</v>
      </c>
      <c r="G493" s="694" t="s">
        <v>844</v>
      </c>
      <c r="H493" s="694" t="s">
        <v>845</v>
      </c>
      <c r="I493" s="697" t="s">
        <v>846</v>
      </c>
    </row>
    <row r="494" spans="2:9" ht="14.1" customHeight="1">
      <c r="C494" s="689" t="s">
        <v>7</v>
      </c>
      <c r="D494" s="187" t="s">
        <v>810</v>
      </c>
      <c r="E494" s="211"/>
      <c r="F494" s="190"/>
      <c r="G494" s="190"/>
      <c r="H494" s="190"/>
      <c r="I494" s="191"/>
    </row>
    <row r="495" spans="2:9" ht="14.1" customHeight="1">
      <c r="C495" s="186"/>
      <c r="D495" s="187" t="s">
        <v>10</v>
      </c>
      <c r="E495" s="188" t="s">
        <v>16</v>
      </c>
      <c r="F495" s="188" t="s">
        <v>726</v>
      </c>
      <c r="G495" s="189">
        <v>0.14699999999999999</v>
      </c>
      <c r="H495" s="190"/>
      <c r="I495" s="191"/>
    </row>
    <row r="496" spans="2:9" ht="14.1" customHeight="1">
      <c r="C496" s="186"/>
      <c r="D496" s="187" t="s">
        <v>26</v>
      </c>
      <c r="E496" s="188" t="s">
        <v>22</v>
      </c>
      <c r="F496" s="188" t="s">
        <v>726</v>
      </c>
      <c r="G496" s="189">
        <v>0.14699999999999999</v>
      </c>
      <c r="H496" s="190"/>
      <c r="I496" s="191"/>
    </row>
    <row r="497" spans="2:9" ht="14.1" customHeight="1">
      <c r="C497" s="186"/>
      <c r="D497" s="187" t="s">
        <v>20</v>
      </c>
      <c r="E497" s="188" t="s">
        <v>21</v>
      </c>
      <c r="F497" s="188" t="s">
        <v>726</v>
      </c>
      <c r="G497" s="189">
        <v>1.4999999999999999E-2</v>
      </c>
      <c r="H497" s="190"/>
      <c r="I497" s="191"/>
    </row>
    <row r="498" spans="2:9" ht="14.1" customHeight="1">
      <c r="C498" s="192"/>
      <c r="D498" s="193" t="s">
        <v>11</v>
      </c>
      <c r="E498" s="194" t="s">
        <v>17</v>
      </c>
      <c r="F498" s="194" t="s">
        <v>726</v>
      </c>
      <c r="G498" s="195">
        <v>5.0000000000000001E-3</v>
      </c>
      <c r="H498" s="196"/>
      <c r="I498" s="197"/>
    </row>
    <row r="499" spans="2:9" ht="14.1" customHeight="1">
      <c r="C499" s="198"/>
      <c r="D499" s="271"/>
      <c r="E499" s="217"/>
      <c r="F499" s="271"/>
      <c r="G499" s="1220" t="s">
        <v>727</v>
      </c>
      <c r="H499" s="1221"/>
      <c r="I499" s="199"/>
    </row>
    <row r="500" spans="2:9" ht="14.1" customHeight="1">
      <c r="C500" s="182" t="s">
        <v>8</v>
      </c>
      <c r="D500" s="265" t="s">
        <v>811</v>
      </c>
      <c r="E500" s="703"/>
      <c r="F500" s="184"/>
      <c r="G500" s="184"/>
      <c r="H500" s="184"/>
      <c r="I500" s="185"/>
    </row>
    <row r="501" spans="2:9" ht="14.1" customHeight="1">
      <c r="C501" s="186"/>
      <c r="D501" s="213" t="s">
        <v>820</v>
      </c>
      <c r="E501" s="211"/>
      <c r="F501" s="211" t="s">
        <v>750</v>
      </c>
      <c r="G501" s="189">
        <v>1.2E-2</v>
      </c>
      <c r="H501" s="190"/>
      <c r="I501" s="191"/>
    </row>
    <row r="502" spans="2:9" ht="14.1" customHeight="1">
      <c r="C502" s="186"/>
      <c r="D502" s="213" t="s">
        <v>836</v>
      </c>
      <c r="E502" s="211"/>
      <c r="F502" s="211" t="s">
        <v>750</v>
      </c>
      <c r="G502" s="189">
        <v>4.0000000000000001E-3</v>
      </c>
      <c r="H502" s="190"/>
      <c r="I502" s="191"/>
    </row>
    <row r="503" spans="2:9" ht="14.1" customHeight="1">
      <c r="C503" s="192"/>
      <c r="D503" s="216" t="s">
        <v>826</v>
      </c>
      <c r="E503" s="214"/>
      <c r="F503" s="194" t="s">
        <v>734</v>
      </c>
      <c r="G503" s="195">
        <v>0.26400000000000001</v>
      </c>
      <c r="H503" s="196"/>
      <c r="I503" s="197"/>
    </row>
    <row r="504" spans="2:9" ht="14.1" customHeight="1">
      <c r="C504" s="198"/>
      <c r="D504" s="271"/>
      <c r="E504" s="217"/>
      <c r="F504" s="271"/>
      <c r="G504" s="1220" t="s">
        <v>728</v>
      </c>
      <c r="H504" s="1221"/>
      <c r="I504" s="199"/>
    </row>
    <row r="505" spans="2:9" ht="14.1" customHeight="1">
      <c r="C505" s="182" t="s">
        <v>9</v>
      </c>
      <c r="D505" s="183" t="s">
        <v>815</v>
      </c>
      <c r="E505" s="703"/>
      <c r="F505" s="184"/>
      <c r="G505" s="184"/>
      <c r="H505" s="184"/>
      <c r="I505" s="185"/>
    </row>
    <row r="506" spans="2:9" ht="14.1" customHeight="1">
      <c r="C506" s="192"/>
      <c r="D506" s="196"/>
      <c r="E506" s="214"/>
      <c r="F506" s="196"/>
      <c r="G506" s="196"/>
      <c r="H506" s="196"/>
      <c r="I506" s="197"/>
    </row>
    <row r="507" spans="2:9" ht="14.1" customHeight="1">
      <c r="C507" s="1222"/>
      <c r="D507" s="1223"/>
      <c r="E507" s="1223"/>
      <c r="F507" s="1224"/>
      <c r="G507" s="1205" t="s">
        <v>729</v>
      </c>
      <c r="H507" s="1206"/>
      <c r="I507" s="205"/>
    </row>
    <row r="508" spans="2:9" ht="14.1" customHeight="1">
      <c r="C508" s="206" t="s">
        <v>12</v>
      </c>
      <c r="D508" s="1210" t="s">
        <v>730</v>
      </c>
      <c r="E508" s="1211"/>
      <c r="F508" s="1211"/>
      <c r="G508" s="1211"/>
      <c r="H508" s="1211"/>
      <c r="I508" s="207"/>
    </row>
    <row r="509" spans="2:9" ht="14.1" customHeight="1">
      <c r="C509" s="206" t="s">
        <v>13</v>
      </c>
      <c r="D509" s="1210" t="s">
        <v>837</v>
      </c>
      <c r="E509" s="1215"/>
      <c r="F509" s="220"/>
      <c r="G509" s="1210" t="s">
        <v>740</v>
      </c>
      <c r="H509" s="1211"/>
      <c r="I509" s="207"/>
    </row>
    <row r="510" spans="2:9" ht="14.1" customHeight="1" thickBot="1">
      <c r="C510" s="208" t="s">
        <v>14</v>
      </c>
      <c r="D510" s="1212" t="s">
        <v>817</v>
      </c>
      <c r="E510" s="1213"/>
      <c r="F510" s="1213"/>
      <c r="G510" s="1213"/>
      <c r="H510" s="1213"/>
      <c r="I510" s="209"/>
    </row>
    <row r="511" spans="2:9" ht="14.1" customHeight="1">
      <c r="C511" s="223"/>
      <c r="D511" s="274"/>
      <c r="E511" s="223"/>
      <c r="F511" s="274"/>
      <c r="G511" s="274"/>
      <c r="H511" s="274"/>
      <c r="I511" s="271"/>
    </row>
    <row r="512" spans="2:9" s="732" customFormat="1" ht="15.95" customHeight="1" thickBot="1">
      <c r="B512" s="731">
        <v>24</v>
      </c>
      <c r="C512" s="181" t="s">
        <v>1125</v>
      </c>
      <c r="E512" s="733"/>
    </row>
    <row r="513" spans="3:9" ht="35.1" customHeight="1" thickBot="1">
      <c r="C513" s="692" t="s">
        <v>840</v>
      </c>
      <c r="D513" s="693" t="s">
        <v>841</v>
      </c>
      <c r="E513" s="693" t="s">
        <v>842</v>
      </c>
      <c r="F513" s="693" t="s">
        <v>843</v>
      </c>
      <c r="G513" s="694" t="s">
        <v>844</v>
      </c>
      <c r="H513" s="694" t="s">
        <v>845</v>
      </c>
      <c r="I513" s="697" t="s">
        <v>846</v>
      </c>
    </row>
    <row r="514" spans="3:9" ht="14.1" customHeight="1">
      <c r="C514" s="689" t="s">
        <v>7</v>
      </c>
      <c r="D514" s="187" t="s">
        <v>810</v>
      </c>
      <c r="E514" s="211"/>
      <c r="F514" s="190"/>
      <c r="G514" s="190"/>
      <c r="H514" s="190"/>
      <c r="I514" s="191"/>
    </row>
    <row r="515" spans="3:9" ht="14.1" customHeight="1">
      <c r="C515" s="186"/>
      <c r="D515" s="187" t="s">
        <v>10</v>
      </c>
      <c r="E515" s="188" t="s">
        <v>16</v>
      </c>
      <c r="F515" s="188" t="s">
        <v>726</v>
      </c>
      <c r="G515" s="189">
        <v>0.22</v>
      </c>
      <c r="H515" s="190"/>
      <c r="I515" s="191"/>
    </row>
    <row r="516" spans="3:9" ht="14.1" customHeight="1">
      <c r="C516" s="186"/>
      <c r="D516" s="187" t="s">
        <v>26</v>
      </c>
      <c r="E516" s="188" t="s">
        <v>22</v>
      </c>
      <c r="F516" s="188" t="s">
        <v>726</v>
      </c>
      <c r="G516" s="189">
        <v>2.1999999999999999E-2</v>
      </c>
      <c r="H516" s="190"/>
      <c r="I516" s="191"/>
    </row>
    <row r="517" spans="3:9" ht="14.1" customHeight="1">
      <c r="C517" s="186"/>
      <c r="D517" s="187" t="s">
        <v>148</v>
      </c>
      <c r="E517" s="188" t="s">
        <v>22</v>
      </c>
      <c r="F517" s="188" t="s">
        <v>726</v>
      </c>
      <c r="G517" s="189">
        <v>0.22</v>
      </c>
      <c r="H517" s="190"/>
      <c r="I517" s="191"/>
    </row>
    <row r="518" spans="3:9" ht="14.1" customHeight="1">
      <c r="C518" s="192"/>
      <c r="D518" s="193" t="s">
        <v>11</v>
      </c>
      <c r="E518" s="194" t="s">
        <v>17</v>
      </c>
      <c r="F518" s="194" t="s">
        <v>726</v>
      </c>
      <c r="G518" s="195">
        <v>1.0999999999999999E-2</v>
      </c>
      <c r="H518" s="196"/>
      <c r="I518" s="197"/>
    </row>
    <row r="519" spans="3:9" ht="14.1" customHeight="1">
      <c r="C519" s="198"/>
      <c r="D519" s="271"/>
      <c r="E519" s="217"/>
      <c r="F519" s="271"/>
      <c r="G519" s="1216" t="s">
        <v>727</v>
      </c>
      <c r="H519" s="1217"/>
      <c r="I519" s="199"/>
    </row>
    <row r="520" spans="3:9" ht="14.1" customHeight="1">
      <c r="C520" s="266" t="s">
        <v>8</v>
      </c>
      <c r="D520" s="222" t="s">
        <v>811</v>
      </c>
      <c r="E520" s="704"/>
      <c r="F520" s="218"/>
      <c r="G520" s="218"/>
      <c r="H520" s="218"/>
      <c r="I520" s="199"/>
    </row>
    <row r="521" spans="3:9" ht="14.1" customHeight="1">
      <c r="C521" s="275"/>
      <c r="D521" s="202"/>
      <c r="E521" s="276"/>
      <c r="F521" s="203"/>
      <c r="G521" s="1216" t="s">
        <v>728</v>
      </c>
      <c r="H521" s="1217"/>
      <c r="I521" s="199"/>
    </row>
    <row r="522" spans="3:9" ht="14.1" customHeight="1">
      <c r="C522" s="182" t="s">
        <v>9</v>
      </c>
      <c r="D522" s="183" t="s">
        <v>815</v>
      </c>
      <c r="E522" s="703"/>
      <c r="F522" s="184"/>
      <c r="G522" s="184"/>
      <c r="H522" s="184"/>
      <c r="I522" s="185"/>
    </row>
    <row r="523" spans="3:9" ht="14.1" customHeight="1">
      <c r="C523" s="192"/>
      <c r="D523" s="196"/>
      <c r="E523" s="214"/>
      <c r="F523" s="196"/>
      <c r="G523" s="196"/>
      <c r="H523" s="196"/>
      <c r="I523" s="197"/>
    </row>
    <row r="524" spans="3:9" ht="14.1" customHeight="1">
      <c r="C524" s="275"/>
      <c r="D524" s="202"/>
      <c r="E524" s="276"/>
      <c r="F524" s="203"/>
      <c r="G524" s="1216" t="s">
        <v>729</v>
      </c>
      <c r="H524" s="1217"/>
      <c r="I524" s="199"/>
    </row>
    <row r="525" spans="3:9" ht="14.1" customHeight="1">
      <c r="C525" s="204" t="s">
        <v>12</v>
      </c>
      <c r="D525" s="1205" t="s">
        <v>730</v>
      </c>
      <c r="E525" s="1206"/>
      <c r="F525" s="1206"/>
      <c r="G525" s="1206"/>
      <c r="H525" s="1206"/>
      <c r="I525" s="205"/>
    </row>
    <row r="526" spans="3:9" ht="14.1" customHeight="1">
      <c r="C526" s="206" t="s">
        <v>13</v>
      </c>
      <c r="D526" s="1207" t="s">
        <v>816</v>
      </c>
      <c r="E526" s="1208"/>
      <c r="F526" s="1209"/>
      <c r="G526" s="1210" t="s">
        <v>740</v>
      </c>
      <c r="H526" s="1211"/>
      <c r="I526" s="207"/>
    </row>
    <row r="527" spans="3:9" ht="14.1" customHeight="1" thickBot="1">
      <c r="C527" s="208" t="s">
        <v>14</v>
      </c>
      <c r="D527" s="1212" t="s">
        <v>817</v>
      </c>
      <c r="E527" s="1213"/>
      <c r="F527" s="1213"/>
      <c r="G527" s="1213"/>
      <c r="H527" s="1213"/>
      <c r="I527" s="209"/>
    </row>
  </sheetData>
  <mergeCells count="178">
    <mergeCell ref="G11:H11"/>
    <mergeCell ref="G17:H17"/>
    <mergeCell ref="G20:H20"/>
    <mergeCell ref="D21:H21"/>
    <mergeCell ref="D22:F22"/>
    <mergeCell ref="G22:H22"/>
    <mergeCell ref="D44:H44"/>
    <mergeCell ref="G53:H53"/>
    <mergeCell ref="G59:H59"/>
    <mergeCell ref="C62:F62"/>
    <mergeCell ref="G62:H62"/>
    <mergeCell ref="D63:H63"/>
    <mergeCell ref="D23:H23"/>
    <mergeCell ref="G32:H32"/>
    <mergeCell ref="G38:H38"/>
    <mergeCell ref="G41:H41"/>
    <mergeCell ref="D42:H42"/>
    <mergeCell ref="D43:F43"/>
    <mergeCell ref="G43:H43"/>
    <mergeCell ref="D83:H83"/>
    <mergeCell ref="D84:F84"/>
    <mergeCell ref="G84:H84"/>
    <mergeCell ref="D85:H85"/>
    <mergeCell ref="G94:H94"/>
    <mergeCell ref="C102:F102"/>
    <mergeCell ref="G102:H102"/>
    <mergeCell ref="D64:F64"/>
    <mergeCell ref="G64:H64"/>
    <mergeCell ref="D65:H65"/>
    <mergeCell ref="G74:H74"/>
    <mergeCell ref="G80:H80"/>
    <mergeCell ref="G82:H82"/>
    <mergeCell ref="G116:H116"/>
    <mergeCell ref="G123:H123"/>
    <mergeCell ref="G125:H125"/>
    <mergeCell ref="D126:H126"/>
    <mergeCell ref="D127:F127"/>
    <mergeCell ref="G127:H127"/>
    <mergeCell ref="C104:F104"/>
    <mergeCell ref="G104:H104"/>
    <mergeCell ref="D105:H105"/>
    <mergeCell ref="D106:F106"/>
    <mergeCell ref="G106:H106"/>
    <mergeCell ref="D107:H107"/>
    <mergeCell ref="D147:H147"/>
    <mergeCell ref="D148:F148"/>
    <mergeCell ref="G148:H148"/>
    <mergeCell ref="D149:H149"/>
    <mergeCell ref="G157:H157"/>
    <mergeCell ref="G159:H159"/>
    <mergeCell ref="D128:H128"/>
    <mergeCell ref="G137:H137"/>
    <mergeCell ref="C144:F144"/>
    <mergeCell ref="G144:H144"/>
    <mergeCell ref="C146:F146"/>
    <mergeCell ref="G146:H146"/>
    <mergeCell ref="G174:H174"/>
    <mergeCell ref="G177:H177"/>
    <mergeCell ref="D178:H178"/>
    <mergeCell ref="D179:F179"/>
    <mergeCell ref="G179:H179"/>
    <mergeCell ref="D180:H180"/>
    <mergeCell ref="G161:H161"/>
    <mergeCell ref="D162:H162"/>
    <mergeCell ref="D163:F163"/>
    <mergeCell ref="G163:H163"/>
    <mergeCell ref="D164:H164"/>
    <mergeCell ref="G172:H172"/>
    <mergeCell ref="D196:H196"/>
    <mergeCell ref="G206:H206"/>
    <mergeCell ref="C208:F208"/>
    <mergeCell ref="G208:H208"/>
    <mergeCell ref="G210:H210"/>
    <mergeCell ref="D211:H211"/>
    <mergeCell ref="G188:H188"/>
    <mergeCell ref="G190:H190"/>
    <mergeCell ref="G193:H193"/>
    <mergeCell ref="D194:H194"/>
    <mergeCell ref="D195:F195"/>
    <mergeCell ref="G195:H195"/>
    <mergeCell ref="D228:H228"/>
    <mergeCell ref="D229:F229"/>
    <mergeCell ref="G229:H229"/>
    <mergeCell ref="D230:H230"/>
    <mergeCell ref="G240:H240"/>
    <mergeCell ref="G242:H242"/>
    <mergeCell ref="D212:F212"/>
    <mergeCell ref="G212:H212"/>
    <mergeCell ref="D213:H213"/>
    <mergeCell ref="G223:H223"/>
    <mergeCell ref="G225:H225"/>
    <mergeCell ref="G227:H227"/>
    <mergeCell ref="G262:H262"/>
    <mergeCell ref="C266:F266"/>
    <mergeCell ref="G266:H266"/>
    <mergeCell ref="D267:H267"/>
    <mergeCell ref="D268:F268"/>
    <mergeCell ref="G268:H268"/>
    <mergeCell ref="G244:H244"/>
    <mergeCell ref="D245:H245"/>
    <mergeCell ref="D246:F246"/>
    <mergeCell ref="G246:H246"/>
    <mergeCell ref="D247:H247"/>
    <mergeCell ref="G259:H259"/>
    <mergeCell ref="D317:F317"/>
    <mergeCell ref="G317:H317"/>
    <mergeCell ref="D318:H318"/>
    <mergeCell ref="G356:H356"/>
    <mergeCell ref="G359:H359"/>
    <mergeCell ref="D269:H269"/>
    <mergeCell ref="G308:H308"/>
    <mergeCell ref="G311:H311"/>
    <mergeCell ref="C315:F315"/>
    <mergeCell ref="G315:H315"/>
    <mergeCell ref="D316:H316"/>
    <mergeCell ref="G404:H404"/>
    <mergeCell ref="G407:H407"/>
    <mergeCell ref="D408:H408"/>
    <mergeCell ref="D409:F409"/>
    <mergeCell ref="G409:H409"/>
    <mergeCell ref="D410:H410"/>
    <mergeCell ref="G363:H363"/>
    <mergeCell ref="D364:H364"/>
    <mergeCell ref="D365:F365"/>
    <mergeCell ref="G365:H365"/>
    <mergeCell ref="D366:H366"/>
    <mergeCell ref="G401:H401"/>
    <mergeCell ref="D428:H428"/>
    <mergeCell ref="E437:F437"/>
    <mergeCell ref="G437:H437"/>
    <mergeCell ref="E440:F440"/>
    <mergeCell ref="G440:H440"/>
    <mergeCell ref="E443:F443"/>
    <mergeCell ref="G443:H443"/>
    <mergeCell ref="G419:H419"/>
    <mergeCell ref="G422:H422"/>
    <mergeCell ref="G425:H425"/>
    <mergeCell ref="D426:H426"/>
    <mergeCell ref="D427:F427"/>
    <mergeCell ref="G427:H427"/>
    <mergeCell ref="D461:H461"/>
    <mergeCell ref="G466:H466"/>
    <mergeCell ref="G470:H470"/>
    <mergeCell ref="G472:H472"/>
    <mergeCell ref="D473:H473"/>
    <mergeCell ref="D474:F474"/>
    <mergeCell ref="G474:H474"/>
    <mergeCell ref="G445:H445"/>
    <mergeCell ref="G451:H451"/>
    <mergeCell ref="G456:H456"/>
    <mergeCell ref="G458:H458"/>
    <mergeCell ref="D459:H459"/>
    <mergeCell ref="D460:F460"/>
    <mergeCell ref="G460:H460"/>
    <mergeCell ref="D525:H525"/>
    <mergeCell ref="D526:F526"/>
    <mergeCell ref="G526:H526"/>
    <mergeCell ref="D527:H527"/>
    <mergeCell ref="C3:I3"/>
    <mergeCell ref="D509:E509"/>
    <mergeCell ref="G509:H509"/>
    <mergeCell ref="D510:H510"/>
    <mergeCell ref="G519:H519"/>
    <mergeCell ref="G521:H521"/>
    <mergeCell ref="G524:H524"/>
    <mergeCell ref="D490:I490"/>
    <mergeCell ref="G499:H499"/>
    <mergeCell ref="G504:H504"/>
    <mergeCell ref="C507:F507"/>
    <mergeCell ref="G507:H507"/>
    <mergeCell ref="D508:H508"/>
    <mergeCell ref="D475:H475"/>
    <mergeCell ref="G483:H483"/>
    <mergeCell ref="G485:H485"/>
    <mergeCell ref="G487:H487"/>
    <mergeCell ref="D488:I488"/>
    <mergeCell ref="D489:F489"/>
    <mergeCell ref="G489:H489"/>
  </mergeCells>
  <pageMargins left="0.51181102362204722" right="0.70866141732283472" top="0.74803149606299213" bottom="0.74803149606299213" header="0.31496062992125984" footer="0.31496062992125984"/>
  <pageSetup paperSize="258" scale="95" firstPageNumber="53" fitToHeight="0" orientation="portrait" useFirstPageNumber="1" r:id="rId1"/>
  <headerFooter>
    <oddFooter>&amp;R&amp;P</oddFooter>
  </headerFooter>
  <rowBreaks count="11" manualBreakCount="11">
    <brk id="44" max="16383" man="1"/>
    <brk id="86" min="1" max="8" man="1"/>
    <brk id="128" max="16383" man="1"/>
    <brk id="164" max="16383" man="1"/>
    <brk id="213" max="16383" man="1"/>
    <brk id="247" max="16383" man="1"/>
    <brk id="297" max="16383" man="1"/>
    <brk id="345" max="16383" man="1"/>
    <brk id="393" max="16383" man="1"/>
    <brk id="429" max="16383" man="1"/>
    <brk id="476" max="16383" man="1"/>
  </rowBreaks>
  <colBreaks count="1" manualBreakCount="1">
    <brk id="9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theme="3" tint="0.59999389629810485"/>
  </sheetPr>
  <dimension ref="B1:K572"/>
  <sheetViews>
    <sheetView showGridLines="0" view="pageBreakPreview" zoomScale="85" zoomScaleNormal="70" zoomScaleSheetLayoutView="85" workbookViewId="0">
      <selection activeCell="B1" sqref="B1"/>
    </sheetView>
  </sheetViews>
  <sheetFormatPr defaultRowHeight="12.75"/>
  <cols>
    <col min="1" max="1" width="9.140625" style="2"/>
    <col min="2" max="2" width="4.7109375" style="4" customWidth="1"/>
    <col min="3" max="3" width="4.5703125" style="4" customWidth="1"/>
    <col min="4" max="4" width="28" style="2" customWidth="1"/>
    <col min="5" max="5" width="9.140625" style="679" customWidth="1"/>
    <col min="6" max="6" width="8.28515625" style="4" customWidth="1"/>
    <col min="7" max="7" width="11" style="55" bestFit="1" customWidth="1"/>
    <col min="8" max="8" width="12.7109375" style="6" customWidth="1"/>
    <col min="9" max="9" width="13.85546875" style="6" customWidth="1"/>
    <col min="10" max="10" width="9.140625" style="2" customWidth="1"/>
    <col min="11" max="16384" width="9.140625" style="2"/>
  </cols>
  <sheetData>
    <row r="1" spans="2:9">
      <c r="B1" s="10" t="s">
        <v>461</v>
      </c>
      <c r="C1" s="63" t="str">
        <f>'[1]Lamp_1 (Konstruksi 1-199)'!$D$1432</f>
        <v>PEKERJAAN PLESTERAN</v>
      </c>
    </row>
    <row r="2" spans="2:9" s="567" customFormat="1" ht="15.95" customHeight="1" thickBot="1">
      <c r="B2" s="598">
        <v>1</v>
      </c>
      <c r="C2" s="566" t="s">
        <v>1133</v>
      </c>
      <c r="E2" s="596"/>
    </row>
    <row r="3" spans="2:9" s="580" customFormat="1" ht="35.1" customHeight="1" thickBot="1">
      <c r="B3" s="602"/>
      <c r="C3" s="334" t="s">
        <v>840</v>
      </c>
      <c r="D3" s="335" t="s">
        <v>841</v>
      </c>
      <c r="E3" s="335" t="s">
        <v>842</v>
      </c>
      <c r="F3" s="335" t="s">
        <v>843</v>
      </c>
      <c r="G3" s="431" t="s">
        <v>844</v>
      </c>
      <c r="H3" s="431" t="s">
        <v>845</v>
      </c>
      <c r="I3" s="337" t="s">
        <v>846</v>
      </c>
    </row>
    <row r="4" spans="2:9" s="580" customFormat="1" ht="14.1" customHeight="1">
      <c r="B4" s="602"/>
      <c r="C4" s="543" t="s">
        <v>7</v>
      </c>
      <c r="D4" s="289" t="s">
        <v>810</v>
      </c>
      <c r="E4" s="581"/>
      <c r="F4" s="299"/>
      <c r="G4" s="581"/>
      <c r="H4" s="581"/>
      <c r="I4" s="300"/>
    </row>
    <row r="5" spans="2:9" s="580" customFormat="1" ht="14.1" customHeight="1">
      <c r="B5" s="602"/>
      <c r="C5" s="298"/>
      <c r="D5" s="289" t="s">
        <v>10</v>
      </c>
      <c r="E5" s="285" t="s">
        <v>16</v>
      </c>
      <c r="F5" s="285" t="s">
        <v>726</v>
      </c>
      <c r="G5" s="286">
        <v>0.3</v>
      </c>
      <c r="H5" s="581"/>
      <c r="I5" s="300"/>
    </row>
    <row r="6" spans="2:9" s="580" customFormat="1" ht="14.1" customHeight="1">
      <c r="B6" s="602"/>
      <c r="C6" s="298"/>
      <c r="D6" s="289" t="s">
        <v>143</v>
      </c>
      <c r="E6" s="285" t="s">
        <v>21</v>
      </c>
      <c r="F6" s="285" t="s">
        <v>726</v>
      </c>
      <c r="G6" s="286">
        <v>0.15</v>
      </c>
      <c r="H6" s="581"/>
      <c r="I6" s="300"/>
    </row>
    <row r="7" spans="2:9" s="580" customFormat="1" ht="14.1" customHeight="1">
      <c r="B7" s="602"/>
      <c r="C7" s="298"/>
      <c r="D7" s="289" t="s">
        <v>20</v>
      </c>
      <c r="E7" s="285" t="s">
        <v>21</v>
      </c>
      <c r="F7" s="285" t="s">
        <v>726</v>
      </c>
      <c r="G7" s="286">
        <v>1.4999999999999999E-2</v>
      </c>
      <c r="H7" s="581"/>
      <c r="I7" s="300"/>
    </row>
    <row r="8" spans="2:9" s="580" customFormat="1" ht="14.1" customHeight="1">
      <c r="B8" s="602"/>
      <c r="C8" s="301"/>
      <c r="D8" s="177" t="s">
        <v>11</v>
      </c>
      <c r="E8" s="287" t="s">
        <v>17</v>
      </c>
      <c r="F8" s="287" t="s">
        <v>726</v>
      </c>
      <c r="G8" s="288">
        <v>1.4999999999999999E-2</v>
      </c>
      <c r="H8" s="586"/>
      <c r="I8" s="303"/>
    </row>
    <row r="9" spans="2:9" s="580" customFormat="1" ht="14.1" customHeight="1">
      <c r="B9" s="602"/>
      <c r="C9" s="314"/>
      <c r="D9" s="582"/>
      <c r="E9" s="315"/>
      <c r="F9" s="590"/>
      <c r="G9" s="1166" t="s">
        <v>727</v>
      </c>
      <c r="H9" s="1167"/>
      <c r="I9" s="584"/>
    </row>
    <row r="10" spans="2:9" s="580" customFormat="1" ht="14.1" customHeight="1">
      <c r="B10" s="602"/>
      <c r="C10" s="292" t="s">
        <v>8</v>
      </c>
      <c r="D10" s="293" t="s">
        <v>811</v>
      </c>
      <c r="E10" s="585"/>
      <c r="F10" s="296"/>
      <c r="G10" s="585"/>
      <c r="H10" s="585"/>
      <c r="I10" s="297"/>
    </row>
    <row r="11" spans="2:9" s="580" customFormat="1" ht="14.1" customHeight="1">
      <c r="B11" s="602"/>
      <c r="C11" s="298"/>
      <c r="D11" s="289" t="s">
        <v>156</v>
      </c>
      <c r="E11" s="581"/>
      <c r="F11" s="285" t="s">
        <v>734</v>
      </c>
      <c r="G11" s="286">
        <v>15.504</v>
      </c>
      <c r="H11" s="581"/>
      <c r="I11" s="300"/>
    </row>
    <row r="12" spans="2:9" s="580" customFormat="1" ht="14.1" customHeight="1">
      <c r="B12" s="602"/>
      <c r="C12" s="301"/>
      <c r="D12" s="177" t="s">
        <v>1126</v>
      </c>
      <c r="E12" s="586"/>
      <c r="F12" s="586" t="s">
        <v>750</v>
      </c>
      <c r="G12" s="288">
        <v>1.6E-2</v>
      </c>
      <c r="H12" s="586"/>
      <c r="I12" s="303"/>
    </row>
    <row r="13" spans="2:9" s="580" customFormat="1" ht="14.1" customHeight="1">
      <c r="B13" s="602"/>
      <c r="C13" s="609"/>
      <c r="D13" s="316"/>
      <c r="E13" s="593"/>
      <c r="F13" s="316"/>
      <c r="G13" s="1166" t="s">
        <v>728</v>
      </c>
      <c r="H13" s="1167"/>
      <c r="I13" s="584"/>
    </row>
    <row r="14" spans="2:9" s="580" customFormat="1" ht="14.1" customHeight="1">
      <c r="B14" s="602"/>
      <c r="C14" s="292" t="s">
        <v>9</v>
      </c>
      <c r="D14" s="293" t="s">
        <v>815</v>
      </c>
      <c r="E14" s="585"/>
      <c r="F14" s="296"/>
      <c r="G14" s="585"/>
      <c r="H14" s="585"/>
      <c r="I14" s="297"/>
    </row>
    <row r="15" spans="2:9" s="580" customFormat="1" ht="14.1" customHeight="1">
      <c r="B15" s="602"/>
      <c r="C15" s="301"/>
      <c r="D15" s="302"/>
      <c r="E15" s="586"/>
      <c r="F15" s="302"/>
      <c r="G15" s="586"/>
      <c r="H15" s="586"/>
      <c r="I15" s="303"/>
    </row>
    <row r="16" spans="2:9" s="580" customFormat="1" ht="14.1" customHeight="1">
      <c r="B16" s="602"/>
      <c r="C16" s="314"/>
      <c r="D16" s="582"/>
      <c r="E16" s="315"/>
      <c r="F16" s="590"/>
      <c r="G16" s="1166" t="s">
        <v>729</v>
      </c>
      <c r="H16" s="1167"/>
      <c r="I16" s="584"/>
    </row>
    <row r="17" spans="2:9" s="580" customFormat="1" ht="14.1" customHeight="1">
      <c r="B17" s="602"/>
      <c r="C17" s="290" t="s">
        <v>12</v>
      </c>
      <c r="D17" s="1113" t="s">
        <v>730</v>
      </c>
      <c r="E17" s="1114"/>
      <c r="F17" s="1114"/>
      <c r="G17" s="1114"/>
      <c r="H17" s="1114"/>
      <c r="I17" s="306"/>
    </row>
    <row r="18" spans="2:9" s="580" customFormat="1" ht="14.1" customHeight="1">
      <c r="B18" s="602"/>
      <c r="C18" s="290" t="s">
        <v>13</v>
      </c>
      <c r="D18" s="1116" t="s">
        <v>816</v>
      </c>
      <c r="E18" s="1117"/>
      <c r="F18" s="1118"/>
      <c r="G18" s="1168" t="s">
        <v>740</v>
      </c>
      <c r="H18" s="1169"/>
      <c r="I18" s="306"/>
    </row>
    <row r="19" spans="2:9" s="580" customFormat="1" ht="14.1" customHeight="1" thickBot="1">
      <c r="B19" s="602"/>
      <c r="C19" s="291" t="s">
        <v>14</v>
      </c>
      <c r="D19" s="1119" t="s">
        <v>817</v>
      </c>
      <c r="E19" s="1120"/>
      <c r="F19" s="1120"/>
      <c r="G19" s="1120"/>
      <c r="H19" s="1120"/>
      <c r="I19" s="307"/>
    </row>
    <row r="20" spans="2:9" s="580" customFormat="1" ht="14.1" customHeight="1">
      <c r="B20" s="602"/>
      <c r="C20" s="589"/>
      <c r="E20" s="589"/>
      <c r="G20" s="589"/>
      <c r="H20" s="589"/>
    </row>
    <row r="21" spans="2:9" s="567" customFormat="1" ht="15.95" customHeight="1" thickBot="1">
      <c r="B21" s="598">
        <v>2</v>
      </c>
      <c r="C21" s="566" t="s">
        <v>1134</v>
      </c>
      <c r="E21" s="596"/>
    </row>
    <row r="22" spans="2:9" s="580" customFormat="1" ht="35.1" customHeight="1" thickBot="1">
      <c r="B22" s="602"/>
      <c r="C22" s="334" t="s">
        <v>840</v>
      </c>
      <c r="D22" s="335" t="s">
        <v>841</v>
      </c>
      <c r="E22" s="335" t="s">
        <v>842</v>
      </c>
      <c r="F22" s="335" t="s">
        <v>843</v>
      </c>
      <c r="G22" s="335" t="s">
        <v>844</v>
      </c>
      <c r="H22" s="431" t="s">
        <v>845</v>
      </c>
      <c r="I22" s="337" t="s">
        <v>846</v>
      </c>
    </row>
    <row r="23" spans="2:9" s="580" customFormat="1" ht="14.1" customHeight="1">
      <c r="B23" s="602"/>
      <c r="C23" s="543" t="s">
        <v>7</v>
      </c>
      <c r="D23" s="289" t="s">
        <v>810</v>
      </c>
      <c r="E23" s="581"/>
      <c r="F23" s="299"/>
      <c r="G23" s="581"/>
      <c r="H23" s="581"/>
      <c r="I23" s="300"/>
    </row>
    <row r="24" spans="2:9" s="580" customFormat="1" ht="14.1" customHeight="1">
      <c r="B24" s="602"/>
      <c r="C24" s="298"/>
      <c r="D24" s="289" t="s">
        <v>10</v>
      </c>
      <c r="E24" s="285" t="s">
        <v>16</v>
      </c>
      <c r="F24" s="285" t="s">
        <v>726</v>
      </c>
      <c r="G24" s="286">
        <v>0.3</v>
      </c>
      <c r="H24" s="581"/>
      <c r="I24" s="300"/>
    </row>
    <row r="25" spans="2:9" s="580" customFormat="1" ht="14.1" customHeight="1">
      <c r="B25" s="602"/>
      <c r="C25" s="298"/>
      <c r="D25" s="289" t="s">
        <v>143</v>
      </c>
      <c r="E25" s="285" t="s">
        <v>21</v>
      </c>
      <c r="F25" s="285" t="s">
        <v>726</v>
      </c>
      <c r="G25" s="286">
        <v>0.15</v>
      </c>
      <c r="H25" s="581"/>
      <c r="I25" s="300"/>
    </row>
    <row r="26" spans="2:9" s="580" customFormat="1" ht="14.1" customHeight="1">
      <c r="B26" s="602"/>
      <c r="C26" s="298"/>
      <c r="D26" s="289" t="s">
        <v>20</v>
      </c>
      <c r="E26" s="285" t="s">
        <v>21</v>
      </c>
      <c r="F26" s="285" t="s">
        <v>726</v>
      </c>
      <c r="G26" s="286">
        <v>1.4999999999999999E-2</v>
      </c>
      <c r="H26" s="581"/>
      <c r="I26" s="300"/>
    </row>
    <row r="27" spans="2:9" s="580" customFormat="1" ht="14.1" customHeight="1">
      <c r="B27" s="602"/>
      <c r="C27" s="301"/>
      <c r="D27" s="177" t="s">
        <v>11</v>
      </c>
      <c r="E27" s="287" t="s">
        <v>17</v>
      </c>
      <c r="F27" s="287" t="s">
        <v>726</v>
      </c>
      <c r="G27" s="288">
        <v>1.4999999999999999E-2</v>
      </c>
      <c r="H27" s="586"/>
      <c r="I27" s="303"/>
    </row>
    <row r="28" spans="2:9" s="580" customFormat="1" ht="14.1" customHeight="1">
      <c r="B28" s="602"/>
      <c r="C28" s="314"/>
      <c r="D28" s="582"/>
      <c r="E28" s="315"/>
      <c r="F28" s="590"/>
      <c r="G28" s="1166" t="s">
        <v>727</v>
      </c>
      <c r="H28" s="1167"/>
      <c r="I28" s="631"/>
    </row>
    <row r="29" spans="2:9" s="580" customFormat="1" ht="14.1" customHeight="1">
      <c r="B29" s="602"/>
      <c r="C29" s="292" t="s">
        <v>8</v>
      </c>
      <c r="D29" s="293" t="s">
        <v>811</v>
      </c>
      <c r="E29" s="585"/>
      <c r="F29" s="296"/>
      <c r="G29" s="585"/>
      <c r="H29" s="585"/>
      <c r="I29" s="297"/>
    </row>
    <row r="30" spans="2:9" s="580" customFormat="1" ht="14.1" customHeight="1">
      <c r="B30" s="602"/>
      <c r="C30" s="298"/>
      <c r="D30" s="653" t="s">
        <v>156</v>
      </c>
      <c r="E30" s="581"/>
      <c r="F30" s="285" t="s">
        <v>734</v>
      </c>
      <c r="G30" s="286">
        <v>10.224</v>
      </c>
      <c r="H30" s="581"/>
      <c r="I30" s="300"/>
    </row>
    <row r="31" spans="2:9" s="580" customFormat="1" ht="14.1" customHeight="1">
      <c r="B31" s="602"/>
      <c r="C31" s="301"/>
      <c r="D31" s="654" t="s">
        <v>1126</v>
      </c>
      <c r="E31" s="586"/>
      <c r="F31" s="586" t="s">
        <v>750</v>
      </c>
      <c r="G31" s="288">
        <v>0.02</v>
      </c>
      <c r="H31" s="586"/>
      <c r="I31" s="303"/>
    </row>
    <row r="32" spans="2:9" s="580" customFormat="1" ht="14.1" customHeight="1">
      <c r="B32" s="602"/>
      <c r="C32" s="609"/>
      <c r="D32" s="316"/>
      <c r="E32" s="593"/>
      <c r="F32" s="316"/>
      <c r="G32" s="1166" t="s">
        <v>728</v>
      </c>
      <c r="H32" s="1167"/>
      <c r="I32" s="584"/>
    </row>
    <row r="33" spans="2:9" s="580" customFormat="1" ht="14.1" customHeight="1">
      <c r="B33" s="602"/>
      <c r="C33" s="292" t="s">
        <v>9</v>
      </c>
      <c r="D33" s="293" t="s">
        <v>815</v>
      </c>
      <c r="E33" s="585"/>
      <c r="F33" s="296"/>
      <c r="G33" s="585"/>
      <c r="H33" s="585"/>
      <c r="I33" s="297"/>
    </row>
    <row r="34" spans="2:9" s="580" customFormat="1" ht="14.1" customHeight="1">
      <c r="B34" s="602"/>
      <c r="C34" s="301"/>
      <c r="D34" s="302"/>
      <c r="E34" s="586"/>
      <c r="F34" s="302"/>
      <c r="G34" s="586"/>
      <c r="H34" s="586"/>
      <c r="I34" s="303"/>
    </row>
    <row r="35" spans="2:9" s="580" customFormat="1" ht="14.1" customHeight="1">
      <c r="B35" s="602"/>
      <c r="C35" s="314"/>
      <c r="D35" s="582"/>
      <c r="E35" s="315"/>
      <c r="F35" s="590"/>
      <c r="G35" s="1166" t="s">
        <v>729</v>
      </c>
      <c r="H35" s="1167"/>
      <c r="I35" s="584"/>
    </row>
    <row r="36" spans="2:9" s="580" customFormat="1" ht="14.1" customHeight="1">
      <c r="B36" s="602"/>
      <c r="C36" s="603" t="s">
        <v>12</v>
      </c>
      <c r="D36" s="1154" t="s">
        <v>730</v>
      </c>
      <c r="E36" s="1154"/>
      <c r="F36" s="1154"/>
      <c r="G36" s="1154"/>
      <c r="H36" s="1154"/>
      <c r="I36" s="584"/>
    </row>
    <row r="37" spans="2:9" s="580" customFormat="1" ht="14.1" customHeight="1">
      <c r="B37" s="602"/>
      <c r="C37" s="574" t="s">
        <v>13</v>
      </c>
      <c r="D37" s="1198" t="s">
        <v>816</v>
      </c>
      <c r="E37" s="1199"/>
      <c r="F37" s="1200"/>
      <c r="G37" s="1251" t="s">
        <v>740</v>
      </c>
      <c r="H37" s="1252"/>
      <c r="I37" s="305"/>
    </row>
    <row r="38" spans="2:9" s="580" customFormat="1" ht="14.1" customHeight="1" thickBot="1">
      <c r="B38" s="602"/>
      <c r="C38" s="291" t="s">
        <v>14</v>
      </c>
      <c r="D38" s="1119" t="s">
        <v>817</v>
      </c>
      <c r="E38" s="1120"/>
      <c r="F38" s="1120"/>
      <c r="G38" s="1120"/>
      <c r="H38" s="1120"/>
      <c r="I38" s="307"/>
    </row>
    <row r="39" spans="2:9" s="580" customFormat="1" ht="14.1" customHeight="1">
      <c r="B39" s="602"/>
      <c r="C39" s="295"/>
      <c r="D39" s="284"/>
      <c r="E39" s="295"/>
      <c r="F39" s="284"/>
      <c r="G39" s="295"/>
      <c r="H39" s="295"/>
      <c r="I39" s="316"/>
    </row>
    <row r="40" spans="2:9" s="567" customFormat="1" ht="15.95" customHeight="1" thickBot="1">
      <c r="B40" s="598">
        <v>3</v>
      </c>
      <c r="C40" s="566" t="s">
        <v>1135</v>
      </c>
      <c r="E40" s="596"/>
    </row>
    <row r="41" spans="2:9" s="580" customFormat="1" ht="35.1" customHeight="1" thickBot="1">
      <c r="B41" s="602"/>
      <c r="C41" s="334" t="s">
        <v>840</v>
      </c>
      <c r="D41" s="335" t="s">
        <v>841</v>
      </c>
      <c r="E41" s="335" t="s">
        <v>842</v>
      </c>
      <c r="F41" s="335" t="s">
        <v>843</v>
      </c>
      <c r="G41" s="335" t="s">
        <v>844</v>
      </c>
      <c r="H41" s="431" t="s">
        <v>845</v>
      </c>
      <c r="I41" s="337" t="s">
        <v>846</v>
      </c>
    </row>
    <row r="42" spans="2:9" s="580" customFormat="1" ht="14.1" customHeight="1">
      <c r="B42" s="602"/>
      <c r="C42" s="543" t="s">
        <v>7</v>
      </c>
      <c r="D42" s="289" t="s">
        <v>810</v>
      </c>
      <c r="E42" s="581"/>
      <c r="F42" s="299"/>
      <c r="G42" s="581"/>
      <c r="H42" s="581"/>
      <c r="I42" s="300"/>
    </row>
    <row r="43" spans="2:9" s="580" customFormat="1" ht="14.1" customHeight="1">
      <c r="B43" s="602"/>
      <c r="C43" s="298"/>
      <c r="D43" s="289" t="s">
        <v>10</v>
      </c>
      <c r="E43" s="285" t="s">
        <v>16</v>
      </c>
      <c r="F43" s="285" t="s">
        <v>726</v>
      </c>
      <c r="G43" s="286">
        <v>0.3</v>
      </c>
      <c r="H43" s="581"/>
      <c r="I43" s="300"/>
    </row>
    <row r="44" spans="2:9" s="580" customFormat="1" ht="14.1" customHeight="1">
      <c r="B44" s="602"/>
      <c r="C44" s="298"/>
      <c r="D44" s="289" t="s">
        <v>143</v>
      </c>
      <c r="E44" s="285" t="s">
        <v>21</v>
      </c>
      <c r="F44" s="285" t="s">
        <v>726</v>
      </c>
      <c r="G44" s="286">
        <v>0.15</v>
      </c>
      <c r="H44" s="581"/>
      <c r="I44" s="300"/>
    </row>
    <row r="45" spans="2:9" s="580" customFormat="1" ht="14.1" customHeight="1">
      <c r="B45" s="602"/>
      <c r="C45" s="298"/>
      <c r="D45" s="289" t="s">
        <v>20</v>
      </c>
      <c r="E45" s="285" t="s">
        <v>21</v>
      </c>
      <c r="F45" s="285" t="s">
        <v>726</v>
      </c>
      <c r="G45" s="286">
        <v>1.4999999999999999E-2</v>
      </c>
      <c r="H45" s="581"/>
      <c r="I45" s="300"/>
    </row>
    <row r="46" spans="2:9" s="580" customFormat="1" ht="14.1" customHeight="1">
      <c r="B46" s="602"/>
      <c r="C46" s="301"/>
      <c r="D46" s="177" t="s">
        <v>11</v>
      </c>
      <c r="E46" s="287" t="s">
        <v>17</v>
      </c>
      <c r="F46" s="287" t="s">
        <v>726</v>
      </c>
      <c r="G46" s="288">
        <v>1.4999999999999999E-2</v>
      </c>
      <c r="H46" s="586"/>
      <c r="I46" s="303"/>
    </row>
    <row r="47" spans="2:9" s="580" customFormat="1" ht="14.1" customHeight="1">
      <c r="B47" s="602"/>
      <c r="C47" s="314"/>
      <c r="D47" s="582"/>
      <c r="E47" s="315"/>
      <c r="F47" s="590"/>
      <c r="G47" s="1166" t="s">
        <v>727</v>
      </c>
      <c r="H47" s="1167"/>
      <c r="I47" s="584"/>
    </row>
    <row r="48" spans="2:9" s="580" customFormat="1" ht="14.1" customHeight="1">
      <c r="B48" s="602"/>
      <c r="C48" s="292" t="s">
        <v>8</v>
      </c>
      <c r="D48" s="293" t="s">
        <v>811</v>
      </c>
      <c r="E48" s="585"/>
      <c r="F48" s="296"/>
      <c r="G48" s="585"/>
      <c r="H48" s="585"/>
      <c r="I48" s="297"/>
    </row>
    <row r="49" spans="2:9" s="580" customFormat="1" ht="14.1" customHeight="1">
      <c r="B49" s="602"/>
      <c r="C49" s="298"/>
      <c r="D49" s="653" t="s">
        <v>156</v>
      </c>
      <c r="E49" s="581"/>
      <c r="F49" s="285" t="s">
        <v>734</v>
      </c>
      <c r="G49" s="286">
        <v>7.7759999999999998</v>
      </c>
      <c r="H49" s="581"/>
      <c r="I49" s="300"/>
    </row>
    <row r="50" spans="2:9" s="580" customFormat="1" ht="14.1" customHeight="1">
      <c r="B50" s="602"/>
      <c r="C50" s="301"/>
      <c r="D50" s="654" t="s">
        <v>1126</v>
      </c>
      <c r="E50" s="586"/>
      <c r="F50" s="586" t="s">
        <v>750</v>
      </c>
      <c r="G50" s="288">
        <v>2.3E-2</v>
      </c>
      <c r="H50" s="586"/>
      <c r="I50" s="303"/>
    </row>
    <row r="51" spans="2:9" s="580" customFormat="1" ht="14.1" customHeight="1">
      <c r="B51" s="602"/>
      <c r="C51" s="609"/>
      <c r="D51" s="316"/>
      <c r="E51" s="593"/>
      <c r="F51" s="316"/>
      <c r="G51" s="1166" t="s">
        <v>728</v>
      </c>
      <c r="H51" s="1167"/>
      <c r="I51" s="584"/>
    </row>
    <row r="52" spans="2:9" s="580" customFormat="1" ht="14.1" customHeight="1">
      <c r="B52" s="602"/>
      <c r="C52" s="292" t="s">
        <v>9</v>
      </c>
      <c r="D52" s="293" t="s">
        <v>815</v>
      </c>
      <c r="E52" s="585"/>
      <c r="F52" s="296"/>
      <c r="G52" s="585"/>
      <c r="H52" s="585"/>
      <c r="I52" s="297"/>
    </row>
    <row r="53" spans="2:9" s="580" customFormat="1" ht="14.1" customHeight="1">
      <c r="B53" s="602"/>
      <c r="C53" s="301"/>
      <c r="D53" s="302"/>
      <c r="E53" s="586"/>
      <c r="F53" s="302"/>
      <c r="G53" s="586"/>
      <c r="H53" s="586"/>
      <c r="I53" s="303"/>
    </row>
    <row r="54" spans="2:9" s="580" customFormat="1" ht="14.1" customHeight="1">
      <c r="B54" s="602"/>
      <c r="C54" s="314"/>
      <c r="D54" s="582"/>
      <c r="E54" s="315"/>
      <c r="F54" s="590"/>
      <c r="G54" s="1166" t="s">
        <v>729</v>
      </c>
      <c r="H54" s="1167"/>
      <c r="I54" s="584"/>
    </row>
    <row r="55" spans="2:9" s="580" customFormat="1" ht="14.1" customHeight="1">
      <c r="B55" s="602"/>
      <c r="C55" s="574" t="s">
        <v>12</v>
      </c>
      <c r="D55" s="1125" t="s">
        <v>730</v>
      </c>
      <c r="E55" s="1160"/>
      <c r="F55" s="1160"/>
      <c r="G55" s="1160"/>
      <c r="H55" s="1160"/>
      <c r="I55" s="305"/>
    </row>
    <row r="56" spans="2:9" s="580" customFormat="1" ht="14.1" customHeight="1">
      <c r="B56" s="602"/>
      <c r="C56" s="290" t="s">
        <v>13</v>
      </c>
      <c r="D56" s="1116" t="s">
        <v>816</v>
      </c>
      <c r="E56" s="1117"/>
      <c r="F56" s="1118"/>
      <c r="G56" s="1168" t="s">
        <v>740</v>
      </c>
      <c r="H56" s="1169"/>
      <c r="I56" s="306"/>
    </row>
    <row r="57" spans="2:9" s="580" customFormat="1" ht="14.1" customHeight="1" thickBot="1">
      <c r="B57" s="602"/>
      <c r="C57" s="291" t="s">
        <v>14</v>
      </c>
      <c r="D57" s="1119" t="s">
        <v>817</v>
      </c>
      <c r="E57" s="1120"/>
      <c r="F57" s="1120"/>
      <c r="G57" s="1120"/>
      <c r="H57" s="1120"/>
      <c r="I57" s="307"/>
    </row>
    <row r="58" spans="2:9" s="580" customFormat="1" ht="14.1" customHeight="1">
      <c r="B58" s="602"/>
      <c r="C58" s="589"/>
      <c r="E58" s="589"/>
      <c r="G58" s="589"/>
      <c r="H58" s="589"/>
    </row>
    <row r="59" spans="2:9" s="567" customFormat="1" ht="15.95" customHeight="1" thickBot="1">
      <c r="B59" s="598">
        <v>4</v>
      </c>
      <c r="C59" s="566" t="s">
        <v>1136</v>
      </c>
      <c r="E59" s="596"/>
    </row>
    <row r="60" spans="2:9" s="580" customFormat="1" ht="35.1" customHeight="1" thickBot="1">
      <c r="B60" s="602"/>
      <c r="C60" s="334" t="s">
        <v>840</v>
      </c>
      <c r="D60" s="335" t="s">
        <v>841</v>
      </c>
      <c r="E60" s="335" t="s">
        <v>842</v>
      </c>
      <c r="F60" s="335" t="s">
        <v>843</v>
      </c>
      <c r="G60" s="335" t="s">
        <v>844</v>
      </c>
      <c r="H60" s="431" t="s">
        <v>845</v>
      </c>
      <c r="I60" s="337" t="s">
        <v>846</v>
      </c>
    </row>
    <row r="61" spans="2:9" s="580" customFormat="1" ht="14.1" customHeight="1">
      <c r="B61" s="602"/>
      <c r="C61" s="543" t="s">
        <v>7</v>
      </c>
      <c r="D61" s="289" t="s">
        <v>810</v>
      </c>
      <c r="E61" s="581"/>
      <c r="F61" s="299"/>
      <c r="G61" s="581"/>
      <c r="H61" s="581"/>
      <c r="I61" s="300"/>
    </row>
    <row r="62" spans="2:9" s="580" customFormat="1" ht="14.1" customHeight="1">
      <c r="B62" s="602"/>
      <c r="C62" s="298"/>
      <c r="D62" s="289" t="s">
        <v>10</v>
      </c>
      <c r="E62" s="285" t="s">
        <v>16</v>
      </c>
      <c r="F62" s="285" t="s">
        <v>726</v>
      </c>
      <c r="G62" s="286">
        <v>0.3</v>
      </c>
      <c r="H62" s="581"/>
      <c r="I62" s="300"/>
    </row>
    <row r="63" spans="2:9" s="580" customFormat="1" ht="14.1" customHeight="1">
      <c r="B63" s="602"/>
      <c r="C63" s="298"/>
      <c r="D63" s="289" t="s">
        <v>143</v>
      </c>
      <c r="E63" s="285" t="s">
        <v>21</v>
      </c>
      <c r="F63" s="285" t="s">
        <v>726</v>
      </c>
      <c r="G63" s="286">
        <v>0.15</v>
      </c>
      <c r="H63" s="581"/>
      <c r="I63" s="300"/>
    </row>
    <row r="64" spans="2:9" s="580" customFormat="1" ht="14.1" customHeight="1">
      <c r="B64" s="602"/>
      <c r="C64" s="298"/>
      <c r="D64" s="289" t="s">
        <v>20</v>
      </c>
      <c r="E64" s="285" t="s">
        <v>21</v>
      </c>
      <c r="F64" s="285" t="s">
        <v>726</v>
      </c>
      <c r="G64" s="286">
        <v>1.4999999999999999E-2</v>
      </c>
      <c r="H64" s="581"/>
      <c r="I64" s="300"/>
    </row>
    <row r="65" spans="2:9" s="580" customFormat="1" ht="14.1" customHeight="1">
      <c r="B65" s="602"/>
      <c r="C65" s="301"/>
      <c r="D65" s="177" t="s">
        <v>11</v>
      </c>
      <c r="E65" s="287" t="s">
        <v>17</v>
      </c>
      <c r="F65" s="287" t="s">
        <v>726</v>
      </c>
      <c r="G65" s="288">
        <v>1.4999999999999999E-2</v>
      </c>
      <c r="H65" s="586"/>
      <c r="I65" s="303"/>
    </row>
    <row r="66" spans="2:9" s="580" customFormat="1" ht="14.1" customHeight="1">
      <c r="B66" s="602"/>
      <c r="C66" s="609"/>
      <c r="D66" s="316"/>
      <c r="E66" s="593"/>
      <c r="F66" s="316"/>
      <c r="G66" s="1166" t="s">
        <v>727</v>
      </c>
      <c r="H66" s="1167"/>
      <c r="I66" s="584"/>
    </row>
    <row r="67" spans="2:9" s="580" customFormat="1" ht="14.1" customHeight="1">
      <c r="B67" s="602"/>
      <c r="C67" s="292" t="s">
        <v>8</v>
      </c>
      <c r="D67" s="293" t="s">
        <v>811</v>
      </c>
      <c r="E67" s="585"/>
      <c r="F67" s="296"/>
      <c r="G67" s="585"/>
      <c r="H67" s="585"/>
      <c r="I67" s="297"/>
    </row>
    <row r="68" spans="2:9" s="580" customFormat="1" ht="14.1" customHeight="1">
      <c r="B68" s="602"/>
      <c r="C68" s="298"/>
      <c r="D68" s="653" t="s">
        <v>156</v>
      </c>
      <c r="E68" s="581"/>
      <c r="F68" s="285" t="s">
        <v>734</v>
      </c>
      <c r="G68" s="286">
        <v>6.24</v>
      </c>
      <c r="H68" s="581"/>
      <c r="I68" s="300"/>
    </row>
    <row r="69" spans="2:9" s="580" customFormat="1" ht="14.1" customHeight="1">
      <c r="B69" s="602"/>
      <c r="C69" s="301"/>
      <c r="D69" s="654" t="s">
        <v>1126</v>
      </c>
      <c r="E69" s="586"/>
      <c r="F69" s="586" t="s">
        <v>750</v>
      </c>
      <c r="G69" s="288">
        <v>2.4E-2</v>
      </c>
      <c r="H69" s="586"/>
      <c r="I69" s="303"/>
    </row>
    <row r="70" spans="2:9" s="580" customFormat="1" ht="14.1" customHeight="1">
      <c r="B70" s="602"/>
      <c r="C70" s="609"/>
      <c r="D70" s="316"/>
      <c r="E70" s="593"/>
      <c r="F70" s="316"/>
      <c r="G70" s="1170" t="s">
        <v>728</v>
      </c>
      <c r="H70" s="1170"/>
      <c r="I70" s="631"/>
    </row>
    <row r="71" spans="2:9" s="580" customFormat="1" ht="14.1" customHeight="1">
      <c r="B71" s="602"/>
      <c r="C71" s="292" t="s">
        <v>9</v>
      </c>
      <c r="D71" s="293" t="s">
        <v>815</v>
      </c>
      <c r="E71" s="585"/>
      <c r="F71" s="296"/>
      <c r="G71" s="585"/>
      <c r="H71" s="585"/>
      <c r="I71" s="297"/>
    </row>
    <row r="72" spans="2:9" s="580" customFormat="1" ht="14.1" customHeight="1">
      <c r="B72" s="602"/>
      <c r="C72" s="301"/>
      <c r="D72" s="302"/>
      <c r="E72" s="586"/>
      <c r="F72" s="302"/>
      <c r="G72" s="586"/>
      <c r="H72" s="586"/>
      <c r="I72" s="303"/>
    </row>
    <row r="73" spans="2:9" s="580" customFormat="1" ht="14.1" customHeight="1">
      <c r="B73" s="602"/>
      <c r="C73" s="314"/>
      <c r="D73" s="582"/>
      <c r="E73" s="315"/>
      <c r="F73" s="590"/>
      <c r="G73" s="1166" t="s">
        <v>729</v>
      </c>
      <c r="H73" s="1167"/>
      <c r="I73" s="584"/>
    </row>
    <row r="74" spans="2:9" s="580" customFormat="1" ht="14.1" customHeight="1">
      <c r="B74" s="602"/>
      <c r="C74" s="574" t="s">
        <v>12</v>
      </c>
      <c r="D74" s="1125" t="s">
        <v>730</v>
      </c>
      <c r="E74" s="1160"/>
      <c r="F74" s="1160"/>
      <c r="G74" s="1160"/>
      <c r="H74" s="1160"/>
      <c r="I74" s="305"/>
    </row>
    <row r="75" spans="2:9" s="580" customFormat="1" ht="14.1" customHeight="1">
      <c r="B75" s="602"/>
      <c r="C75" s="290" t="s">
        <v>13</v>
      </c>
      <c r="D75" s="1116" t="s">
        <v>816</v>
      </c>
      <c r="E75" s="1117"/>
      <c r="F75" s="1118"/>
      <c r="G75" s="1168" t="s">
        <v>740</v>
      </c>
      <c r="H75" s="1169"/>
      <c r="I75" s="306"/>
    </row>
    <row r="76" spans="2:9" s="580" customFormat="1" ht="14.1" customHeight="1" thickBot="1">
      <c r="B76" s="602"/>
      <c r="C76" s="291" t="s">
        <v>14</v>
      </c>
      <c r="D76" s="1119" t="s">
        <v>817</v>
      </c>
      <c r="E76" s="1120"/>
      <c r="F76" s="1120"/>
      <c r="G76" s="1120"/>
      <c r="H76" s="1120"/>
      <c r="I76" s="307"/>
    </row>
    <row r="77" spans="2:9" s="580" customFormat="1" ht="14.1" customHeight="1">
      <c r="B77" s="602"/>
      <c r="C77" s="295"/>
      <c r="D77" s="284"/>
      <c r="E77" s="295"/>
      <c r="F77" s="284"/>
      <c r="G77" s="295"/>
      <c r="H77" s="295"/>
      <c r="I77" s="316"/>
    </row>
    <row r="78" spans="2:9" s="567" customFormat="1" ht="15.95" customHeight="1" thickBot="1">
      <c r="B78" s="598">
        <v>5</v>
      </c>
      <c r="C78" s="566" t="s">
        <v>1137</v>
      </c>
      <c r="E78" s="596"/>
    </row>
    <row r="79" spans="2:9" s="580" customFormat="1" ht="35.1" customHeight="1" thickBot="1">
      <c r="B79" s="602"/>
      <c r="C79" s="334" t="s">
        <v>840</v>
      </c>
      <c r="D79" s="335" t="s">
        <v>841</v>
      </c>
      <c r="E79" s="335" t="s">
        <v>842</v>
      </c>
      <c r="F79" s="335" t="s">
        <v>843</v>
      </c>
      <c r="G79" s="335" t="s">
        <v>844</v>
      </c>
      <c r="H79" s="431" t="s">
        <v>845</v>
      </c>
      <c r="I79" s="337" t="s">
        <v>846</v>
      </c>
    </row>
    <row r="80" spans="2:9" s="580" customFormat="1" ht="14.1" customHeight="1">
      <c r="B80" s="602"/>
      <c r="C80" s="543" t="s">
        <v>7</v>
      </c>
      <c r="D80" s="289" t="s">
        <v>810</v>
      </c>
      <c r="E80" s="581"/>
      <c r="F80" s="299"/>
      <c r="G80" s="581"/>
      <c r="H80" s="581"/>
      <c r="I80" s="300"/>
    </row>
    <row r="81" spans="2:9" s="580" customFormat="1" ht="14.1" customHeight="1">
      <c r="B81" s="602"/>
      <c r="C81" s="298"/>
      <c r="D81" s="289" t="s">
        <v>10</v>
      </c>
      <c r="E81" s="285" t="s">
        <v>16</v>
      </c>
      <c r="F81" s="285" t="s">
        <v>726</v>
      </c>
      <c r="G81" s="286">
        <v>0.3</v>
      </c>
      <c r="H81" s="581"/>
      <c r="I81" s="300"/>
    </row>
    <row r="82" spans="2:9" s="580" customFormat="1" ht="14.1" customHeight="1">
      <c r="B82" s="602"/>
      <c r="C82" s="298"/>
      <c r="D82" s="289" t="s">
        <v>143</v>
      </c>
      <c r="E82" s="285" t="s">
        <v>21</v>
      </c>
      <c r="F82" s="285" t="s">
        <v>726</v>
      </c>
      <c r="G82" s="286">
        <v>0.15</v>
      </c>
      <c r="H82" s="581"/>
      <c r="I82" s="300"/>
    </row>
    <row r="83" spans="2:9" s="580" customFormat="1" ht="14.1" customHeight="1">
      <c r="B83" s="602"/>
      <c r="C83" s="298"/>
      <c r="D83" s="289" t="s">
        <v>20</v>
      </c>
      <c r="E83" s="285" t="s">
        <v>21</v>
      </c>
      <c r="F83" s="285" t="s">
        <v>726</v>
      </c>
      <c r="G83" s="286">
        <v>1.4999999999999999E-2</v>
      </c>
      <c r="H83" s="581"/>
      <c r="I83" s="300"/>
    </row>
    <row r="84" spans="2:9" s="580" customFormat="1" ht="14.1" customHeight="1">
      <c r="B84" s="602"/>
      <c r="C84" s="301"/>
      <c r="D84" s="177" t="s">
        <v>11</v>
      </c>
      <c r="E84" s="287" t="s">
        <v>17</v>
      </c>
      <c r="F84" s="287" t="s">
        <v>726</v>
      </c>
      <c r="G84" s="288">
        <v>1.4999999999999999E-2</v>
      </c>
      <c r="H84" s="586"/>
      <c r="I84" s="303"/>
    </row>
    <row r="85" spans="2:9" s="580" customFormat="1" ht="14.1" customHeight="1">
      <c r="B85" s="602"/>
      <c r="C85" s="609"/>
      <c r="D85" s="316"/>
      <c r="E85" s="593"/>
      <c r="F85" s="316"/>
      <c r="G85" s="1166" t="s">
        <v>727</v>
      </c>
      <c r="H85" s="1167"/>
      <c r="I85" s="584"/>
    </row>
    <row r="86" spans="2:9" s="580" customFormat="1" ht="14.1" customHeight="1">
      <c r="B86" s="602"/>
      <c r="C86" s="292" t="s">
        <v>8</v>
      </c>
      <c r="D86" s="293" t="s">
        <v>811</v>
      </c>
      <c r="E86" s="585"/>
      <c r="F86" s="296"/>
      <c r="G86" s="585"/>
      <c r="H86" s="585"/>
      <c r="I86" s="297"/>
    </row>
    <row r="87" spans="2:9" s="580" customFormat="1" ht="14.1" customHeight="1">
      <c r="B87" s="602"/>
      <c r="C87" s="298"/>
      <c r="D87" s="653" t="s">
        <v>156</v>
      </c>
      <c r="E87" s="581"/>
      <c r="F87" s="285" t="s">
        <v>734</v>
      </c>
      <c r="G87" s="286">
        <v>5.1840000000000002</v>
      </c>
      <c r="H87" s="581"/>
      <c r="I87" s="300"/>
    </row>
    <row r="88" spans="2:9" s="580" customFormat="1" ht="14.1" customHeight="1">
      <c r="B88" s="602"/>
      <c r="C88" s="301"/>
      <c r="D88" s="654" t="s">
        <v>1126</v>
      </c>
      <c r="E88" s="586"/>
      <c r="F88" s="586" t="s">
        <v>750</v>
      </c>
      <c r="G88" s="288">
        <v>2.5999999999999999E-2</v>
      </c>
      <c r="H88" s="586"/>
      <c r="I88" s="303"/>
    </row>
    <row r="89" spans="2:9" s="580" customFormat="1" ht="14.1" customHeight="1">
      <c r="B89" s="602"/>
      <c r="C89" s="609"/>
      <c r="D89" s="316"/>
      <c r="E89" s="593"/>
      <c r="F89" s="316"/>
      <c r="G89" s="1170" t="s">
        <v>728</v>
      </c>
      <c r="H89" s="1170"/>
      <c r="I89" s="631"/>
    </row>
    <row r="90" spans="2:9" s="580" customFormat="1" ht="14.1" customHeight="1">
      <c r="B90" s="602"/>
      <c r="C90" s="292" t="s">
        <v>9</v>
      </c>
      <c r="D90" s="293" t="s">
        <v>815</v>
      </c>
      <c r="E90" s="585"/>
      <c r="F90" s="296"/>
      <c r="G90" s="585"/>
      <c r="H90" s="585"/>
      <c r="I90" s="297"/>
    </row>
    <row r="91" spans="2:9" s="580" customFormat="1" ht="14.1" customHeight="1">
      <c r="B91" s="602"/>
      <c r="C91" s="301"/>
      <c r="D91" s="302"/>
      <c r="E91" s="586"/>
      <c r="F91" s="302"/>
      <c r="G91" s="586"/>
      <c r="H91" s="586"/>
      <c r="I91" s="303"/>
    </row>
    <row r="92" spans="2:9" s="580" customFormat="1" ht="14.1" customHeight="1">
      <c r="B92" s="602"/>
      <c r="C92" s="314"/>
      <c r="D92" s="582"/>
      <c r="E92" s="315"/>
      <c r="F92" s="590"/>
      <c r="G92" s="1166" t="s">
        <v>729</v>
      </c>
      <c r="H92" s="1167"/>
      <c r="I92" s="584"/>
    </row>
    <row r="93" spans="2:9" s="580" customFormat="1" ht="14.1" customHeight="1">
      <c r="B93" s="602"/>
      <c r="C93" s="574" t="s">
        <v>12</v>
      </c>
      <c r="D93" s="1125" t="s">
        <v>730</v>
      </c>
      <c r="E93" s="1160"/>
      <c r="F93" s="1160"/>
      <c r="G93" s="1160"/>
      <c r="H93" s="1160"/>
      <c r="I93" s="305"/>
    </row>
    <row r="94" spans="2:9" s="580" customFormat="1" ht="14.1" customHeight="1">
      <c r="B94" s="602"/>
      <c r="C94" s="290" t="s">
        <v>13</v>
      </c>
      <c r="D94" s="1116" t="s">
        <v>816</v>
      </c>
      <c r="E94" s="1117"/>
      <c r="F94" s="1118"/>
      <c r="G94" s="1168" t="s">
        <v>740</v>
      </c>
      <c r="H94" s="1169"/>
      <c r="I94" s="306"/>
    </row>
    <row r="95" spans="2:9" s="580" customFormat="1" ht="14.1" customHeight="1" thickBot="1">
      <c r="B95" s="602"/>
      <c r="C95" s="291" t="s">
        <v>14</v>
      </c>
      <c r="D95" s="1119" t="s">
        <v>817</v>
      </c>
      <c r="E95" s="1120"/>
      <c r="F95" s="1120"/>
      <c r="G95" s="1120"/>
      <c r="H95" s="1120"/>
      <c r="I95" s="307"/>
    </row>
    <row r="96" spans="2:9" s="580" customFormat="1" ht="14.1" customHeight="1">
      <c r="B96" s="602"/>
      <c r="C96" s="589"/>
      <c r="E96" s="589"/>
      <c r="G96" s="589"/>
      <c r="H96" s="589"/>
    </row>
    <row r="97" spans="2:9" s="567" customFormat="1" ht="15.95" customHeight="1" thickBot="1">
      <c r="B97" s="598">
        <v>6</v>
      </c>
      <c r="C97" s="566" t="s">
        <v>1138</v>
      </c>
      <c r="E97" s="596"/>
    </row>
    <row r="98" spans="2:9" s="580" customFormat="1" ht="35.1" customHeight="1" thickBot="1">
      <c r="B98" s="602"/>
      <c r="C98" s="334" t="s">
        <v>840</v>
      </c>
      <c r="D98" s="335" t="s">
        <v>841</v>
      </c>
      <c r="E98" s="335" t="s">
        <v>842</v>
      </c>
      <c r="F98" s="335" t="s">
        <v>843</v>
      </c>
      <c r="G98" s="335" t="s">
        <v>844</v>
      </c>
      <c r="H98" s="431" t="s">
        <v>845</v>
      </c>
      <c r="I98" s="337" t="s">
        <v>846</v>
      </c>
    </row>
    <row r="99" spans="2:9" s="580" customFormat="1" ht="14.1" customHeight="1">
      <c r="B99" s="602"/>
      <c r="C99" s="543" t="s">
        <v>7</v>
      </c>
      <c r="D99" s="289" t="s">
        <v>810</v>
      </c>
      <c r="E99" s="581"/>
      <c r="F99" s="299"/>
      <c r="G99" s="581"/>
      <c r="H99" s="581"/>
      <c r="I99" s="300"/>
    </row>
    <row r="100" spans="2:9" s="580" customFormat="1" ht="14.1" customHeight="1">
      <c r="B100" s="602"/>
      <c r="C100" s="298"/>
      <c r="D100" s="289" t="s">
        <v>10</v>
      </c>
      <c r="E100" s="285" t="s">
        <v>16</v>
      </c>
      <c r="F100" s="285" t="s">
        <v>726</v>
      </c>
      <c r="G100" s="286">
        <v>0.3</v>
      </c>
      <c r="H100" s="581"/>
      <c r="I100" s="300"/>
    </row>
    <row r="101" spans="2:9" s="580" customFormat="1" ht="14.1" customHeight="1">
      <c r="B101" s="602"/>
      <c r="C101" s="298"/>
      <c r="D101" s="289" t="s">
        <v>143</v>
      </c>
      <c r="E101" s="285" t="s">
        <v>21</v>
      </c>
      <c r="F101" s="285" t="s">
        <v>726</v>
      </c>
      <c r="G101" s="286">
        <v>0.15</v>
      </c>
      <c r="H101" s="581"/>
      <c r="I101" s="300"/>
    </row>
    <row r="102" spans="2:9" s="580" customFormat="1" ht="14.1" customHeight="1">
      <c r="B102" s="602"/>
      <c r="C102" s="298"/>
      <c r="D102" s="289" t="s">
        <v>20</v>
      </c>
      <c r="E102" s="285" t="s">
        <v>21</v>
      </c>
      <c r="F102" s="285" t="s">
        <v>726</v>
      </c>
      <c r="G102" s="286">
        <v>1.4999999999999999E-2</v>
      </c>
      <c r="H102" s="581"/>
      <c r="I102" s="300"/>
    </row>
    <row r="103" spans="2:9" s="580" customFormat="1" ht="14.1" customHeight="1">
      <c r="B103" s="602"/>
      <c r="C103" s="301"/>
      <c r="D103" s="177" t="s">
        <v>11</v>
      </c>
      <c r="E103" s="287" t="s">
        <v>17</v>
      </c>
      <c r="F103" s="287" t="s">
        <v>726</v>
      </c>
      <c r="G103" s="288">
        <v>1.4999999999999999E-2</v>
      </c>
      <c r="H103" s="586"/>
      <c r="I103" s="303"/>
    </row>
    <row r="104" spans="2:9" s="580" customFormat="1" ht="14.1" customHeight="1">
      <c r="B104" s="602"/>
      <c r="C104" s="609"/>
      <c r="D104" s="316"/>
      <c r="E104" s="593"/>
      <c r="F104" s="316"/>
      <c r="G104" s="1170" t="s">
        <v>727</v>
      </c>
      <c r="H104" s="1170"/>
      <c r="I104" s="584"/>
    </row>
    <row r="105" spans="2:9" s="580" customFormat="1" ht="14.1" customHeight="1">
      <c r="B105" s="602"/>
      <c r="C105" s="292" t="s">
        <v>8</v>
      </c>
      <c r="D105" s="293" t="s">
        <v>811</v>
      </c>
      <c r="E105" s="585"/>
      <c r="F105" s="296"/>
      <c r="G105" s="585"/>
      <c r="H105" s="585"/>
      <c r="I105" s="297"/>
    </row>
    <row r="106" spans="2:9" s="580" customFormat="1" ht="14.1" customHeight="1">
      <c r="B106" s="602"/>
      <c r="C106" s="298"/>
      <c r="D106" s="653" t="s">
        <v>156</v>
      </c>
      <c r="E106" s="581"/>
      <c r="F106" s="285" t="s">
        <v>734</v>
      </c>
      <c r="G106" s="286">
        <v>4.4160000000000004</v>
      </c>
      <c r="H106" s="581"/>
      <c r="I106" s="300"/>
    </row>
    <row r="107" spans="2:9" s="580" customFormat="1" ht="14.1" customHeight="1">
      <c r="B107" s="602"/>
      <c r="C107" s="301"/>
      <c r="D107" s="654" t="s">
        <v>1126</v>
      </c>
      <c r="E107" s="586"/>
      <c r="F107" s="586" t="s">
        <v>750</v>
      </c>
      <c r="G107" s="288">
        <v>2.7E-2</v>
      </c>
      <c r="H107" s="586"/>
      <c r="I107" s="303"/>
    </row>
    <row r="108" spans="2:9" s="580" customFormat="1" ht="14.1" customHeight="1">
      <c r="B108" s="602"/>
      <c r="C108" s="609"/>
      <c r="D108" s="316"/>
      <c r="E108" s="593"/>
      <c r="F108" s="316"/>
      <c r="G108" s="1166" t="s">
        <v>728</v>
      </c>
      <c r="H108" s="1167"/>
      <c r="I108" s="584"/>
    </row>
    <row r="109" spans="2:9" s="580" customFormat="1" ht="14.1" customHeight="1">
      <c r="B109" s="602"/>
      <c r="C109" s="292" t="s">
        <v>9</v>
      </c>
      <c r="D109" s="293" t="s">
        <v>815</v>
      </c>
      <c r="E109" s="585"/>
      <c r="F109" s="296"/>
      <c r="G109" s="585"/>
      <c r="H109" s="585"/>
      <c r="I109" s="297"/>
    </row>
    <row r="110" spans="2:9" s="580" customFormat="1" ht="14.1" customHeight="1">
      <c r="B110" s="602"/>
      <c r="C110" s="301"/>
      <c r="D110" s="302"/>
      <c r="E110" s="586"/>
      <c r="F110" s="302"/>
      <c r="G110" s="586"/>
      <c r="H110" s="586"/>
      <c r="I110" s="303"/>
    </row>
    <row r="111" spans="2:9" s="580" customFormat="1" ht="14.1" customHeight="1">
      <c r="B111" s="602"/>
      <c r="C111" s="776"/>
      <c r="D111" s="582"/>
      <c r="E111" s="777"/>
      <c r="F111" s="590"/>
      <c r="G111" s="1166" t="s">
        <v>729</v>
      </c>
      <c r="H111" s="1167"/>
      <c r="I111" s="584"/>
    </row>
    <row r="112" spans="2:9" s="580" customFormat="1" ht="14.1" customHeight="1">
      <c r="B112" s="602"/>
      <c r="C112" s="603" t="s">
        <v>12</v>
      </c>
      <c r="D112" s="1154" t="s">
        <v>730</v>
      </c>
      <c r="E112" s="1154"/>
      <c r="F112" s="1154"/>
      <c r="G112" s="1154"/>
      <c r="H112" s="1154"/>
      <c r="I112" s="584"/>
    </row>
    <row r="113" spans="2:9" s="580" customFormat="1" ht="14.1" customHeight="1">
      <c r="B113" s="602"/>
      <c r="C113" s="603" t="s">
        <v>13</v>
      </c>
      <c r="D113" s="1161" t="s">
        <v>816</v>
      </c>
      <c r="E113" s="1161"/>
      <c r="F113" s="1161"/>
      <c r="G113" s="1250" t="s">
        <v>740</v>
      </c>
      <c r="H113" s="1250"/>
      <c r="I113" s="584"/>
    </row>
    <row r="114" spans="2:9" s="580" customFormat="1" ht="14.1" customHeight="1" thickBot="1">
      <c r="B114" s="602"/>
      <c r="C114" s="604" t="s">
        <v>14</v>
      </c>
      <c r="D114" s="1162" t="s">
        <v>817</v>
      </c>
      <c r="E114" s="1162"/>
      <c r="F114" s="1162"/>
      <c r="G114" s="1162"/>
      <c r="H114" s="1162"/>
      <c r="I114" s="605"/>
    </row>
    <row r="115" spans="2:9" s="580" customFormat="1" ht="14.1" customHeight="1">
      <c r="B115" s="602"/>
      <c r="C115" s="295"/>
      <c r="D115" s="284"/>
      <c r="E115" s="295"/>
      <c r="F115" s="284"/>
      <c r="G115" s="295"/>
      <c r="H115" s="295"/>
      <c r="I115" s="316"/>
    </row>
    <row r="116" spans="2:9" s="567" customFormat="1" ht="15.95" customHeight="1" thickBot="1">
      <c r="B116" s="598">
        <v>7</v>
      </c>
      <c r="C116" s="566" t="s">
        <v>1139</v>
      </c>
      <c r="E116" s="596"/>
    </row>
    <row r="117" spans="2:9" s="580" customFormat="1" ht="35.1" customHeight="1" thickBot="1">
      <c r="B117" s="602"/>
      <c r="C117" s="334" t="s">
        <v>840</v>
      </c>
      <c r="D117" s="335" t="s">
        <v>841</v>
      </c>
      <c r="E117" s="335" t="s">
        <v>842</v>
      </c>
      <c r="F117" s="335" t="s">
        <v>843</v>
      </c>
      <c r="G117" s="335" t="s">
        <v>844</v>
      </c>
      <c r="H117" s="431" t="s">
        <v>845</v>
      </c>
      <c r="I117" s="337" t="s">
        <v>846</v>
      </c>
    </row>
    <row r="118" spans="2:9" s="580" customFormat="1" ht="14.1" customHeight="1">
      <c r="B118" s="602"/>
      <c r="C118" s="543" t="s">
        <v>7</v>
      </c>
      <c r="D118" s="289" t="s">
        <v>810</v>
      </c>
      <c r="E118" s="581"/>
      <c r="F118" s="299"/>
      <c r="G118" s="581"/>
      <c r="H118" s="581"/>
      <c r="I118" s="300"/>
    </row>
    <row r="119" spans="2:9" s="580" customFormat="1" ht="14.1" customHeight="1">
      <c r="B119" s="602"/>
      <c r="C119" s="298"/>
      <c r="D119" s="289" t="s">
        <v>10</v>
      </c>
      <c r="E119" s="285" t="s">
        <v>16</v>
      </c>
      <c r="F119" s="285" t="s">
        <v>726</v>
      </c>
      <c r="G119" s="286">
        <v>0.3</v>
      </c>
      <c r="H119" s="581"/>
      <c r="I119" s="300"/>
    </row>
    <row r="120" spans="2:9" s="580" customFormat="1" ht="14.1" customHeight="1">
      <c r="B120" s="602"/>
      <c r="C120" s="298"/>
      <c r="D120" s="289" t="s">
        <v>143</v>
      </c>
      <c r="E120" s="285" t="s">
        <v>21</v>
      </c>
      <c r="F120" s="285" t="s">
        <v>726</v>
      </c>
      <c r="G120" s="286">
        <v>0.15</v>
      </c>
      <c r="H120" s="581"/>
      <c r="I120" s="300"/>
    </row>
    <row r="121" spans="2:9" s="580" customFormat="1" ht="14.1" customHeight="1">
      <c r="B121" s="602"/>
      <c r="C121" s="298"/>
      <c r="D121" s="289" t="s">
        <v>20</v>
      </c>
      <c r="E121" s="285" t="s">
        <v>21</v>
      </c>
      <c r="F121" s="285" t="s">
        <v>726</v>
      </c>
      <c r="G121" s="286">
        <v>1.4999999999999999E-2</v>
      </c>
      <c r="H121" s="581"/>
      <c r="I121" s="300"/>
    </row>
    <row r="122" spans="2:9" s="580" customFormat="1" ht="14.1" customHeight="1">
      <c r="B122" s="602"/>
      <c r="C122" s="301"/>
      <c r="D122" s="177" t="s">
        <v>11</v>
      </c>
      <c r="E122" s="287" t="s">
        <v>17</v>
      </c>
      <c r="F122" s="287" t="s">
        <v>726</v>
      </c>
      <c r="G122" s="288">
        <v>1.4999999999999999E-2</v>
      </c>
      <c r="H122" s="586"/>
      <c r="I122" s="303"/>
    </row>
    <row r="123" spans="2:9" s="580" customFormat="1" ht="14.1" customHeight="1">
      <c r="B123" s="602"/>
      <c r="C123" s="609"/>
      <c r="D123" s="316"/>
      <c r="E123" s="593"/>
      <c r="F123" s="316"/>
      <c r="G123" s="1166" t="s">
        <v>727</v>
      </c>
      <c r="H123" s="1167"/>
      <c r="I123" s="584"/>
    </row>
    <row r="124" spans="2:9" s="580" customFormat="1" ht="14.1" customHeight="1">
      <c r="B124" s="602"/>
      <c r="C124" s="292" t="s">
        <v>8</v>
      </c>
      <c r="D124" s="293" t="s">
        <v>811</v>
      </c>
      <c r="E124" s="585"/>
      <c r="F124" s="296"/>
      <c r="G124" s="585"/>
      <c r="H124" s="585"/>
      <c r="I124" s="297"/>
    </row>
    <row r="125" spans="2:9" s="580" customFormat="1" ht="14.1" customHeight="1">
      <c r="B125" s="602"/>
      <c r="C125" s="298"/>
      <c r="D125" s="653" t="s">
        <v>156</v>
      </c>
      <c r="E125" s="581"/>
      <c r="F125" s="285" t="s">
        <v>734</v>
      </c>
      <c r="G125" s="286">
        <v>3.9359999999999999</v>
      </c>
      <c r="H125" s="581"/>
      <c r="I125" s="300"/>
    </row>
    <row r="126" spans="2:9" s="580" customFormat="1" ht="14.1" customHeight="1">
      <c r="B126" s="602"/>
      <c r="C126" s="301"/>
      <c r="D126" s="654" t="s">
        <v>1126</v>
      </c>
      <c r="E126" s="586"/>
      <c r="F126" s="586" t="s">
        <v>750</v>
      </c>
      <c r="G126" s="288">
        <v>2.8000000000000001E-2</v>
      </c>
      <c r="H126" s="586"/>
      <c r="I126" s="303"/>
    </row>
    <row r="127" spans="2:9" s="580" customFormat="1" ht="14.1" customHeight="1">
      <c r="B127" s="602"/>
      <c r="C127" s="609"/>
      <c r="D127" s="316"/>
      <c r="E127" s="593"/>
      <c r="F127" s="316"/>
      <c r="G127" s="1166" t="s">
        <v>728</v>
      </c>
      <c r="H127" s="1167"/>
      <c r="I127" s="584"/>
    </row>
    <row r="128" spans="2:9" s="580" customFormat="1" ht="14.1" customHeight="1">
      <c r="B128" s="602"/>
      <c r="C128" s="292" t="s">
        <v>9</v>
      </c>
      <c r="D128" s="293" t="s">
        <v>815</v>
      </c>
      <c r="E128" s="585"/>
      <c r="F128" s="296"/>
      <c r="G128" s="585"/>
      <c r="H128" s="585"/>
      <c r="I128" s="297"/>
    </row>
    <row r="129" spans="2:9" s="580" customFormat="1" ht="14.1" customHeight="1">
      <c r="B129" s="602"/>
      <c r="C129" s="301"/>
      <c r="D129" s="302"/>
      <c r="E129" s="586"/>
      <c r="F129" s="302"/>
      <c r="G129" s="586"/>
      <c r="H129" s="586"/>
      <c r="I129" s="303"/>
    </row>
    <row r="130" spans="2:9" s="580" customFormat="1" ht="14.1" customHeight="1">
      <c r="B130" s="602"/>
      <c r="C130" s="314"/>
      <c r="D130" s="582"/>
      <c r="E130" s="315"/>
      <c r="F130" s="590"/>
      <c r="G130" s="1166" t="s">
        <v>729</v>
      </c>
      <c r="H130" s="1167"/>
      <c r="I130" s="584"/>
    </row>
    <row r="131" spans="2:9" s="580" customFormat="1" ht="14.1" customHeight="1">
      <c r="B131" s="602"/>
      <c r="C131" s="574" t="s">
        <v>12</v>
      </c>
      <c r="D131" s="1125" t="s">
        <v>730</v>
      </c>
      <c r="E131" s="1160"/>
      <c r="F131" s="1160"/>
      <c r="G131" s="1160"/>
      <c r="H131" s="1160"/>
      <c r="I131" s="305"/>
    </row>
    <row r="132" spans="2:9" s="580" customFormat="1" ht="14.1" customHeight="1">
      <c r="B132" s="602"/>
      <c r="C132" s="290" t="s">
        <v>13</v>
      </c>
      <c r="D132" s="1116" t="s">
        <v>816</v>
      </c>
      <c r="E132" s="1117"/>
      <c r="F132" s="1118"/>
      <c r="G132" s="1168" t="s">
        <v>740</v>
      </c>
      <c r="H132" s="1169"/>
      <c r="I132" s="306"/>
    </row>
    <row r="133" spans="2:9" s="580" customFormat="1" ht="14.1" customHeight="1" thickBot="1">
      <c r="B133" s="602"/>
      <c r="C133" s="291" t="s">
        <v>14</v>
      </c>
      <c r="D133" s="1119" t="s">
        <v>817</v>
      </c>
      <c r="E133" s="1120"/>
      <c r="F133" s="1120"/>
      <c r="G133" s="1120"/>
      <c r="H133" s="1120"/>
      <c r="I133" s="307"/>
    </row>
    <row r="134" spans="2:9" s="580" customFormat="1" ht="14.1" customHeight="1">
      <c r="B134" s="602"/>
      <c r="C134" s="589"/>
      <c r="E134" s="589"/>
      <c r="G134" s="589"/>
      <c r="H134" s="589"/>
    </row>
    <row r="135" spans="2:9" s="567" customFormat="1" ht="15.95" customHeight="1" thickBot="1">
      <c r="B135" s="598">
        <v>8</v>
      </c>
      <c r="C135" s="566" t="s">
        <v>1140</v>
      </c>
      <c r="E135" s="596"/>
    </row>
    <row r="136" spans="2:9" s="580" customFormat="1" ht="35.1" customHeight="1" thickBot="1">
      <c r="B136" s="602"/>
      <c r="C136" s="334" t="s">
        <v>840</v>
      </c>
      <c r="D136" s="335" t="s">
        <v>841</v>
      </c>
      <c r="E136" s="335" t="s">
        <v>842</v>
      </c>
      <c r="F136" s="335" t="s">
        <v>843</v>
      </c>
      <c r="G136" s="335" t="s">
        <v>844</v>
      </c>
      <c r="H136" s="431" t="s">
        <v>845</v>
      </c>
      <c r="I136" s="337" t="s">
        <v>846</v>
      </c>
    </row>
    <row r="137" spans="2:9" s="580" customFormat="1" ht="14.1" customHeight="1">
      <c r="B137" s="602"/>
      <c r="C137" s="543" t="s">
        <v>7</v>
      </c>
      <c r="D137" s="289" t="s">
        <v>810</v>
      </c>
      <c r="E137" s="581"/>
      <c r="F137" s="299"/>
      <c r="G137" s="581"/>
      <c r="H137" s="581"/>
      <c r="I137" s="300"/>
    </row>
    <row r="138" spans="2:9" s="580" customFormat="1" ht="14.1" customHeight="1">
      <c r="B138" s="602"/>
      <c r="C138" s="298"/>
      <c r="D138" s="289" t="s">
        <v>10</v>
      </c>
      <c r="E138" s="285" t="s">
        <v>16</v>
      </c>
      <c r="F138" s="285" t="s">
        <v>726</v>
      </c>
      <c r="G138" s="286">
        <v>0.3</v>
      </c>
      <c r="H138" s="581"/>
      <c r="I138" s="300"/>
    </row>
    <row r="139" spans="2:9" s="580" customFormat="1" ht="14.1" customHeight="1">
      <c r="B139" s="602"/>
      <c r="C139" s="298"/>
      <c r="D139" s="289" t="s">
        <v>143</v>
      </c>
      <c r="E139" s="285" t="s">
        <v>21</v>
      </c>
      <c r="F139" s="285" t="s">
        <v>726</v>
      </c>
      <c r="G139" s="286">
        <v>0.15</v>
      </c>
      <c r="H139" s="581"/>
      <c r="I139" s="300"/>
    </row>
    <row r="140" spans="2:9" s="580" customFormat="1" ht="14.1" customHeight="1">
      <c r="B140" s="602"/>
      <c r="C140" s="298"/>
      <c r="D140" s="289" t="s">
        <v>20</v>
      </c>
      <c r="E140" s="285" t="s">
        <v>21</v>
      </c>
      <c r="F140" s="285" t="s">
        <v>726</v>
      </c>
      <c r="G140" s="286">
        <v>1.4999999999999999E-2</v>
      </c>
      <c r="H140" s="581"/>
      <c r="I140" s="300"/>
    </row>
    <row r="141" spans="2:9" s="580" customFormat="1" ht="14.1" customHeight="1">
      <c r="B141" s="602"/>
      <c r="C141" s="301"/>
      <c r="D141" s="177" t="s">
        <v>11</v>
      </c>
      <c r="E141" s="287" t="s">
        <v>17</v>
      </c>
      <c r="F141" s="287" t="s">
        <v>726</v>
      </c>
      <c r="G141" s="288">
        <v>1.4999999999999999E-2</v>
      </c>
      <c r="H141" s="586"/>
      <c r="I141" s="303"/>
    </row>
    <row r="142" spans="2:9" s="580" customFormat="1" ht="14.1" customHeight="1">
      <c r="B142" s="602"/>
      <c r="C142" s="609"/>
      <c r="D142" s="316"/>
      <c r="E142" s="593"/>
      <c r="F142" s="316"/>
      <c r="G142" s="1166" t="s">
        <v>727</v>
      </c>
      <c r="H142" s="1167"/>
      <c r="I142" s="584"/>
    </row>
    <row r="143" spans="2:9" s="580" customFormat="1" ht="14.1" customHeight="1">
      <c r="B143" s="602"/>
      <c r="C143" s="292" t="s">
        <v>8</v>
      </c>
      <c r="D143" s="293" t="s">
        <v>811</v>
      </c>
      <c r="E143" s="585"/>
      <c r="F143" s="296"/>
      <c r="G143" s="585"/>
      <c r="H143" s="585"/>
      <c r="I143" s="297"/>
    </row>
    <row r="144" spans="2:9" s="580" customFormat="1" ht="14.1" customHeight="1">
      <c r="B144" s="602"/>
      <c r="C144" s="298"/>
      <c r="D144" s="653" t="s">
        <v>156</v>
      </c>
      <c r="E144" s="581"/>
      <c r="F144" s="285" t="s">
        <v>734</v>
      </c>
      <c r="G144" s="286">
        <v>3.456</v>
      </c>
      <c r="H144" s="581"/>
      <c r="I144" s="300"/>
    </row>
    <row r="145" spans="2:9" s="580" customFormat="1" ht="14.1" customHeight="1">
      <c r="B145" s="602"/>
      <c r="C145" s="301"/>
      <c r="D145" s="654" t="s">
        <v>1126</v>
      </c>
      <c r="E145" s="586"/>
      <c r="F145" s="586" t="s">
        <v>750</v>
      </c>
      <c r="G145" s="288">
        <v>2.9000000000000001E-2</v>
      </c>
      <c r="H145" s="586"/>
      <c r="I145" s="303"/>
    </row>
    <row r="146" spans="2:9" s="580" customFormat="1" ht="14.1" customHeight="1">
      <c r="B146" s="602"/>
      <c r="C146" s="609"/>
      <c r="D146" s="316"/>
      <c r="E146" s="593"/>
      <c r="F146" s="316"/>
      <c r="G146" s="1166" t="s">
        <v>728</v>
      </c>
      <c r="H146" s="1167"/>
      <c r="I146" s="584"/>
    </row>
    <row r="147" spans="2:9" s="580" customFormat="1" ht="14.1" customHeight="1">
      <c r="B147" s="602"/>
      <c r="C147" s="292" t="s">
        <v>9</v>
      </c>
      <c r="D147" s="293" t="s">
        <v>815</v>
      </c>
      <c r="E147" s="585"/>
      <c r="F147" s="296"/>
      <c r="G147" s="585"/>
      <c r="H147" s="585"/>
      <c r="I147" s="297"/>
    </row>
    <row r="148" spans="2:9" s="580" customFormat="1" ht="14.1" customHeight="1">
      <c r="B148" s="602"/>
      <c r="C148" s="301"/>
      <c r="D148" s="302"/>
      <c r="E148" s="586"/>
      <c r="F148" s="302"/>
      <c r="G148" s="586"/>
      <c r="H148" s="586"/>
      <c r="I148" s="303"/>
    </row>
    <row r="149" spans="2:9" s="580" customFormat="1" ht="14.1" customHeight="1">
      <c r="B149" s="602"/>
      <c r="C149" s="609"/>
      <c r="D149" s="316"/>
      <c r="E149" s="593"/>
      <c r="F149" s="316"/>
      <c r="G149" s="1170" t="s">
        <v>729</v>
      </c>
      <c r="H149" s="1170"/>
      <c r="I149" s="631"/>
    </row>
    <row r="150" spans="2:9" s="580" customFormat="1" ht="14.1" customHeight="1">
      <c r="B150" s="602"/>
      <c r="C150" s="632"/>
      <c r="D150" s="630"/>
      <c r="E150" s="629"/>
      <c r="F150" s="630"/>
      <c r="G150" s="629"/>
      <c r="H150" s="741"/>
      <c r="I150" s="305"/>
    </row>
    <row r="151" spans="2:9" s="580" customFormat="1" ht="14.1" customHeight="1">
      <c r="B151" s="602"/>
      <c r="C151" s="290" t="s">
        <v>12</v>
      </c>
      <c r="D151" s="1113" t="s">
        <v>730</v>
      </c>
      <c r="E151" s="1114"/>
      <c r="F151" s="1114"/>
      <c r="G151" s="1114"/>
      <c r="H151" s="1114"/>
      <c r="I151" s="306"/>
    </row>
    <row r="152" spans="2:9" s="580" customFormat="1" ht="14.1" customHeight="1">
      <c r="B152" s="602"/>
      <c r="C152" s="290" t="s">
        <v>13</v>
      </c>
      <c r="D152" s="1116" t="s">
        <v>816</v>
      </c>
      <c r="E152" s="1117"/>
      <c r="F152" s="1118"/>
      <c r="G152" s="1168" t="s">
        <v>740</v>
      </c>
      <c r="H152" s="1169"/>
      <c r="I152" s="306"/>
    </row>
    <row r="153" spans="2:9" s="580" customFormat="1" ht="14.1" customHeight="1" thickBot="1">
      <c r="B153" s="602"/>
      <c r="C153" s="291" t="s">
        <v>14</v>
      </c>
      <c r="D153" s="1119" t="s">
        <v>817</v>
      </c>
      <c r="E153" s="1120"/>
      <c r="F153" s="1120"/>
      <c r="G153" s="1120"/>
      <c r="H153" s="1120"/>
      <c r="I153" s="307"/>
    </row>
    <row r="154" spans="2:9" s="580" customFormat="1" ht="14.1" customHeight="1">
      <c r="B154" s="602"/>
      <c r="C154" s="295"/>
      <c r="D154" s="284"/>
      <c r="E154" s="295"/>
      <c r="F154" s="284"/>
      <c r="G154" s="295"/>
      <c r="H154" s="295"/>
      <c r="I154" s="316"/>
    </row>
    <row r="155" spans="2:9" s="567" customFormat="1" ht="15.95" customHeight="1" thickBot="1">
      <c r="B155" s="598">
        <v>9</v>
      </c>
      <c r="C155" s="566" t="s">
        <v>1141</v>
      </c>
      <c r="E155" s="596"/>
    </row>
    <row r="156" spans="2:9" s="580" customFormat="1" ht="35.1" customHeight="1" thickBot="1">
      <c r="B156" s="602"/>
      <c r="C156" s="334" t="s">
        <v>840</v>
      </c>
      <c r="D156" s="335" t="s">
        <v>841</v>
      </c>
      <c r="E156" s="335" t="s">
        <v>842</v>
      </c>
      <c r="F156" s="335" t="s">
        <v>843</v>
      </c>
      <c r="G156" s="335" t="s">
        <v>844</v>
      </c>
      <c r="H156" s="431" t="s">
        <v>845</v>
      </c>
      <c r="I156" s="337" t="s">
        <v>846</v>
      </c>
    </row>
    <row r="157" spans="2:9" s="580" customFormat="1" ht="14.1" customHeight="1">
      <c r="B157" s="602"/>
      <c r="C157" s="491" t="s">
        <v>7</v>
      </c>
      <c r="D157" s="365" t="s">
        <v>810</v>
      </c>
      <c r="E157" s="383"/>
      <c r="F157" s="382"/>
      <c r="G157" s="383"/>
      <c r="H157" s="383"/>
      <c r="I157" s="384"/>
    </row>
    <row r="158" spans="2:9" s="580" customFormat="1" ht="14.1" customHeight="1">
      <c r="B158" s="602"/>
      <c r="C158" s="385"/>
      <c r="D158" s="365" t="s">
        <v>10</v>
      </c>
      <c r="E158" s="351" t="s">
        <v>16</v>
      </c>
      <c r="F158" s="351" t="s">
        <v>726</v>
      </c>
      <c r="G158" s="352">
        <v>0.36</v>
      </c>
      <c r="H158" s="383"/>
      <c r="I158" s="384"/>
    </row>
    <row r="159" spans="2:9" s="580" customFormat="1" ht="14.1" customHeight="1">
      <c r="B159" s="602"/>
      <c r="C159" s="385"/>
      <c r="D159" s="365" t="s">
        <v>143</v>
      </c>
      <c r="E159" s="351" t="s">
        <v>21</v>
      </c>
      <c r="F159" s="351" t="s">
        <v>726</v>
      </c>
      <c r="G159" s="352">
        <v>0.12</v>
      </c>
      <c r="H159" s="383"/>
      <c r="I159" s="384"/>
    </row>
    <row r="160" spans="2:9" s="580" customFormat="1" ht="14.1" customHeight="1">
      <c r="B160" s="602"/>
      <c r="C160" s="385"/>
      <c r="D160" s="365" t="s">
        <v>20</v>
      </c>
      <c r="E160" s="351" t="s">
        <v>21</v>
      </c>
      <c r="F160" s="351" t="s">
        <v>726</v>
      </c>
      <c r="G160" s="352">
        <v>1.2E-2</v>
      </c>
      <c r="H160" s="383"/>
      <c r="I160" s="384"/>
    </row>
    <row r="161" spans="2:9" s="580" customFormat="1" ht="14.1" customHeight="1">
      <c r="B161" s="602"/>
      <c r="C161" s="386"/>
      <c r="D161" s="387" t="s">
        <v>11</v>
      </c>
      <c r="E161" s="354" t="s">
        <v>17</v>
      </c>
      <c r="F161" s="354" t="s">
        <v>726</v>
      </c>
      <c r="G161" s="355">
        <v>1.7999999999999999E-2</v>
      </c>
      <c r="H161" s="459"/>
      <c r="I161" s="389"/>
    </row>
    <row r="162" spans="2:9" s="580" customFormat="1" ht="14.1" customHeight="1">
      <c r="B162" s="602"/>
      <c r="C162" s="443"/>
      <c r="D162" s="440"/>
      <c r="E162" s="635"/>
      <c r="F162" s="440"/>
      <c r="G162" s="1180" t="s">
        <v>727</v>
      </c>
      <c r="H162" s="1181"/>
      <c r="I162" s="435"/>
    </row>
    <row r="163" spans="2:9" s="580" customFormat="1" ht="14.1" customHeight="1">
      <c r="B163" s="602"/>
      <c r="C163" s="457" t="s">
        <v>8</v>
      </c>
      <c r="D163" s="458" t="s">
        <v>811</v>
      </c>
      <c r="E163" s="394"/>
      <c r="F163" s="393"/>
      <c r="G163" s="394"/>
      <c r="H163" s="394"/>
      <c r="I163" s="436"/>
    </row>
    <row r="164" spans="2:9" s="580" customFormat="1" ht="14.1" customHeight="1">
      <c r="B164" s="602"/>
      <c r="C164" s="385"/>
      <c r="D164" s="365" t="s">
        <v>156</v>
      </c>
      <c r="E164" s="383"/>
      <c r="F164" s="351" t="s">
        <v>734</v>
      </c>
      <c r="G164" s="352">
        <v>5.76</v>
      </c>
      <c r="H164" s="383"/>
      <c r="I164" s="384"/>
    </row>
    <row r="165" spans="2:9" s="580" customFormat="1" ht="14.1" customHeight="1">
      <c r="B165" s="602"/>
      <c r="C165" s="385"/>
      <c r="D165" s="365" t="s">
        <v>1127</v>
      </c>
      <c r="E165" s="383"/>
      <c r="F165" s="383" t="s">
        <v>750</v>
      </c>
      <c r="G165" s="352">
        <v>3.0000000000000001E-3</v>
      </c>
      <c r="H165" s="383"/>
      <c r="I165" s="384"/>
    </row>
    <row r="166" spans="2:9" s="580" customFormat="1" ht="14.1" customHeight="1">
      <c r="B166" s="602"/>
      <c r="C166" s="386"/>
      <c r="D166" s="387" t="s">
        <v>1126</v>
      </c>
      <c r="E166" s="459"/>
      <c r="F166" s="459" t="s">
        <v>750</v>
      </c>
      <c r="G166" s="355">
        <v>1.2999999999999999E-2</v>
      </c>
      <c r="H166" s="459"/>
      <c r="I166" s="389"/>
    </row>
    <row r="167" spans="2:9" s="580" customFormat="1" ht="14.1" customHeight="1">
      <c r="B167" s="602"/>
      <c r="C167" s="443"/>
      <c r="D167" s="440"/>
      <c r="E167" s="635"/>
      <c r="F167" s="440"/>
      <c r="G167" s="1180" t="s">
        <v>728</v>
      </c>
      <c r="H167" s="1181"/>
      <c r="I167" s="435"/>
    </row>
    <row r="168" spans="2:9" s="580" customFormat="1" ht="14.1" customHeight="1">
      <c r="B168" s="602"/>
      <c r="C168" s="457" t="s">
        <v>9</v>
      </c>
      <c r="D168" s="458" t="s">
        <v>815</v>
      </c>
      <c r="E168" s="394"/>
      <c r="F168" s="393"/>
      <c r="G168" s="394"/>
      <c r="H168" s="394"/>
      <c r="I168" s="436"/>
    </row>
    <row r="169" spans="2:9" s="580" customFormat="1" ht="14.1" customHeight="1">
      <c r="B169" s="602"/>
      <c r="C169" s="386"/>
      <c r="D169" s="388"/>
      <c r="E169" s="459"/>
      <c r="F169" s="388"/>
      <c r="G169" s="459"/>
      <c r="H169" s="459"/>
      <c r="I169" s="389"/>
    </row>
    <row r="170" spans="2:9" s="580" customFormat="1" ht="14.1" customHeight="1">
      <c r="B170" s="602"/>
      <c r="C170" s="443"/>
      <c r="D170" s="440"/>
      <c r="E170" s="635"/>
      <c r="F170" s="440"/>
      <c r="G170" s="1180" t="s">
        <v>729</v>
      </c>
      <c r="H170" s="1181"/>
      <c r="I170" s="435"/>
    </row>
    <row r="171" spans="2:9" s="580" customFormat="1" ht="14.1" customHeight="1">
      <c r="B171" s="602"/>
      <c r="C171" s="377" t="s">
        <v>12</v>
      </c>
      <c r="D171" s="1039" t="s">
        <v>730</v>
      </c>
      <c r="E171" s="1035"/>
      <c r="F171" s="1035"/>
      <c r="G171" s="1034"/>
      <c r="H171" s="1034"/>
      <c r="I171" s="401"/>
    </row>
    <row r="172" spans="2:9" s="580" customFormat="1" ht="14.1" customHeight="1">
      <c r="B172" s="602"/>
      <c r="C172" s="377" t="s">
        <v>13</v>
      </c>
      <c r="D172" s="1036" t="s">
        <v>816</v>
      </c>
      <c r="E172" s="1037"/>
      <c r="F172" s="1038"/>
      <c r="G172" s="1175" t="s">
        <v>740</v>
      </c>
      <c r="H172" s="1182"/>
      <c r="I172" s="403"/>
    </row>
    <row r="173" spans="2:9" s="580" customFormat="1" ht="14.1" customHeight="1" thickBot="1">
      <c r="B173" s="602"/>
      <c r="C173" s="456" t="s">
        <v>14</v>
      </c>
      <c r="D173" s="1029" t="s">
        <v>817</v>
      </c>
      <c r="E173" s="1030"/>
      <c r="F173" s="1030"/>
      <c r="G173" s="1030"/>
      <c r="H173" s="1030"/>
      <c r="I173" s="404"/>
    </row>
    <row r="174" spans="2:9" s="567" customFormat="1" ht="15.95" customHeight="1" thickBot="1">
      <c r="B174" s="598">
        <v>10</v>
      </c>
      <c r="C174" s="566" t="s">
        <v>1142</v>
      </c>
      <c r="E174" s="596"/>
    </row>
    <row r="175" spans="2:9" s="580" customFormat="1" ht="35.1" customHeight="1" thickBot="1">
      <c r="B175" s="602"/>
      <c r="C175" s="334" t="s">
        <v>840</v>
      </c>
      <c r="D175" s="431" t="s">
        <v>841</v>
      </c>
      <c r="E175" s="489" t="s">
        <v>842</v>
      </c>
      <c r="F175" s="490" t="s">
        <v>843</v>
      </c>
      <c r="G175" s="335" t="s">
        <v>844</v>
      </c>
      <c r="H175" s="335" t="s">
        <v>845</v>
      </c>
      <c r="I175" s="337" t="s">
        <v>846</v>
      </c>
    </row>
    <row r="176" spans="2:9" s="580" customFormat="1" ht="14.1" customHeight="1">
      <c r="B176" s="602"/>
      <c r="C176" s="543" t="s">
        <v>7</v>
      </c>
      <c r="D176" s="660" t="s">
        <v>810</v>
      </c>
      <c r="E176" s="581"/>
      <c r="F176" s="299"/>
      <c r="G176" s="581"/>
      <c r="H176" s="581"/>
      <c r="I176" s="300"/>
    </row>
    <row r="177" spans="2:9" s="580" customFormat="1" ht="14.1" customHeight="1">
      <c r="B177" s="602"/>
      <c r="C177" s="298"/>
      <c r="D177" s="660" t="s">
        <v>10</v>
      </c>
      <c r="E177" s="285" t="s">
        <v>16</v>
      </c>
      <c r="F177" s="285" t="s">
        <v>726</v>
      </c>
      <c r="G177" s="286">
        <v>0.36</v>
      </c>
      <c r="H177" s="581"/>
      <c r="I177" s="300"/>
    </row>
    <row r="178" spans="2:9" s="580" customFormat="1" ht="14.1" customHeight="1">
      <c r="B178" s="602"/>
      <c r="C178" s="298"/>
      <c r="D178" s="660" t="s">
        <v>143</v>
      </c>
      <c r="E178" s="285" t="s">
        <v>21</v>
      </c>
      <c r="F178" s="285" t="s">
        <v>726</v>
      </c>
      <c r="G178" s="286">
        <v>0.12</v>
      </c>
      <c r="H178" s="581"/>
      <c r="I178" s="300"/>
    </row>
    <row r="179" spans="2:9" s="580" customFormat="1" ht="14.1" customHeight="1">
      <c r="B179" s="602"/>
      <c r="C179" s="298"/>
      <c r="D179" s="660" t="s">
        <v>20</v>
      </c>
      <c r="E179" s="285" t="s">
        <v>21</v>
      </c>
      <c r="F179" s="285" t="s">
        <v>726</v>
      </c>
      <c r="G179" s="286">
        <v>1.2E-2</v>
      </c>
      <c r="H179" s="581"/>
      <c r="I179" s="300"/>
    </row>
    <row r="180" spans="2:9" s="580" customFormat="1" ht="14.1" customHeight="1">
      <c r="B180" s="602"/>
      <c r="C180" s="301"/>
      <c r="D180" s="661" t="s">
        <v>11</v>
      </c>
      <c r="E180" s="287" t="s">
        <v>17</v>
      </c>
      <c r="F180" s="287" t="s">
        <v>726</v>
      </c>
      <c r="G180" s="288">
        <v>1.7999999999999999E-2</v>
      </c>
      <c r="H180" s="586"/>
      <c r="I180" s="303"/>
    </row>
    <row r="181" spans="2:9" s="580" customFormat="1" ht="14.1" customHeight="1">
      <c r="B181" s="602"/>
      <c r="C181" s="609"/>
      <c r="D181" s="316"/>
      <c r="E181" s="593"/>
      <c r="F181" s="316"/>
      <c r="G181" s="1166" t="s">
        <v>727</v>
      </c>
      <c r="H181" s="1167"/>
      <c r="I181" s="584"/>
    </row>
    <row r="182" spans="2:9" s="580" customFormat="1" ht="14.1" customHeight="1">
      <c r="B182" s="602"/>
      <c r="C182" s="292" t="s">
        <v>8</v>
      </c>
      <c r="D182" s="293" t="s">
        <v>811</v>
      </c>
      <c r="E182" s="585"/>
      <c r="F182" s="296"/>
      <c r="G182" s="585"/>
      <c r="H182" s="585"/>
      <c r="I182" s="297"/>
    </row>
    <row r="183" spans="2:9" s="580" customFormat="1" ht="14.1" customHeight="1">
      <c r="B183" s="602"/>
      <c r="C183" s="298"/>
      <c r="D183" s="289" t="s">
        <v>156</v>
      </c>
      <c r="E183" s="581"/>
      <c r="F183" s="285" t="s">
        <v>734</v>
      </c>
      <c r="G183" s="286">
        <v>3</v>
      </c>
      <c r="H183" s="581"/>
      <c r="I183" s="300"/>
    </row>
    <row r="184" spans="2:9" s="580" customFormat="1" ht="14.1" customHeight="1">
      <c r="B184" s="602"/>
      <c r="C184" s="298"/>
      <c r="D184" s="289" t="s">
        <v>1127</v>
      </c>
      <c r="E184" s="581"/>
      <c r="F184" s="581" t="s">
        <v>750</v>
      </c>
      <c r="G184" s="286">
        <v>5.0000000000000001E-3</v>
      </c>
      <c r="H184" s="581"/>
      <c r="I184" s="300"/>
    </row>
    <row r="185" spans="2:9" s="580" customFormat="1" ht="14.1" customHeight="1">
      <c r="B185" s="602"/>
      <c r="C185" s="301"/>
      <c r="D185" s="177" t="s">
        <v>1126</v>
      </c>
      <c r="E185" s="586"/>
      <c r="F185" s="586" t="s">
        <v>750</v>
      </c>
      <c r="G185" s="288">
        <v>0.02</v>
      </c>
      <c r="H185" s="586"/>
      <c r="I185" s="303"/>
    </row>
    <row r="186" spans="2:9" s="580" customFormat="1" ht="14.1" customHeight="1">
      <c r="B186" s="602"/>
      <c r="C186" s="609"/>
      <c r="D186" s="316"/>
      <c r="E186" s="593"/>
      <c r="F186" s="316"/>
      <c r="G186" s="1166" t="s">
        <v>728</v>
      </c>
      <c r="H186" s="1167"/>
      <c r="I186" s="584"/>
    </row>
    <row r="187" spans="2:9" s="580" customFormat="1" ht="14.1" customHeight="1">
      <c r="B187" s="602"/>
      <c r="C187" s="292" t="s">
        <v>9</v>
      </c>
      <c r="D187" s="293" t="s">
        <v>815</v>
      </c>
      <c r="E187" s="585"/>
      <c r="F187" s="296"/>
      <c r="G187" s="585"/>
      <c r="H187" s="585"/>
      <c r="I187" s="297"/>
    </row>
    <row r="188" spans="2:9" s="580" customFormat="1" ht="14.1" customHeight="1">
      <c r="B188" s="602"/>
      <c r="C188" s="301"/>
      <c r="D188" s="302"/>
      <c r="E188" s="586"/>
      <c r="F188" s="302"/>
      <c r="G188" s="586"/>
      <c r="H188" s="586"/>
      <c r="I188" s="303"/>
    </row>
    <row r="189" spans="2:9" s="580" customFormat="1" ht="14.1" customHeight="1">
      <c r="B189" s="602"/>
      <c r="C189" s="314"/>
      <c r="D189" s="582"/>
      <c r="E189" s="315"/>
      <c r="F189" s="590"/>
      <c r="G189" s="1166" t="s">
        <v>729</v>
      </c>
      <c r="H189" s="1167"/>
      <c r="I189" s="584"/>
    </row>
    <row r="190" spans="2:9" s="580" customFormat="1" ht="14.1" customHeight="1">
      <c r="B190" s="602"/>
      <c r="C190" s="574" t="s">
        <v>12</v>
      </c>
      <c r="D190" s="1125" t="s">
        <v>730</v>
      </c>
      <c r="E190" s="1160"/>
      <c r="F190" s="1160"/>
      <c r="G190" s="1160"/>
      <c r="H190" s="1126"/>
      <c r="I190" s="305"/>
    </row>
    <row r="191" spans="2:9" s="580" customFormat="1" ht="14.1" customHeight="1">
      <c r="B191" s="602"/>
      <c r="C191" s="290" t="s">
        <v>13</v>
      </c>
      <c r="D191" s="1116" t="s">
        <v>816</v>
      </c>
      <c r="E191" s="1117"/>
      <c r="F191" s="1118"/>
      <c r="G191" s="1168" t="s">
        <v>740</v>
      </c>
      <c r="H191" s="1171"/>
      <c r="I191" s="306"/>
    </row>
    <row r="192" spans="2:9" s="580" customFormat="1" ht="14.1" customHeight="1" thickBot="1">
      <c r="B192" s="602"/>
      <c r="C192" s="291" t="s">
        <v>14</v>
      </c>
      <c r="D192" s="1119" t="s">
        <v>817</v>
      </c>
      <c r="E192" s="1120"/>
      <c r="F192" s="1120"/>
      <c r="G192" s="1120"/>
      <c r="H192" s="1121"/>
      <c r="I192" s="307"/>
    </row>
    <row r="193" spans="2:9" s="580" customFormat="1" ht="14.1" customHeight="1">
      <c r="B193" s="602"/>
      <c r="C193" s="295"/>
      <c r="D193" s="284"/>
      <c r="E193" s="295"/>
      <c r="F193" s="284"/>
      <c r="G193" s="295"/>
      <c r="H193" s="295"/>
      <c r="I193" s="316"/>
    </row>
    <row r="194" spans="2:9" s="567" customFormat="1" ht="15.95" customHeight="1" thickBot="1">
      <c r="B194" s="598">
        <v>11</v>
      </c>
      <c r="C194" s="566" t="s">
        <v>1143</v>
      </c>
      <c r="E194" s="596"/>
    </row>
    <row r="195" spans="2:9" s="580" customFormat="1" ht="35.1" customHeight="1" thickBot="1">
      <c r="B195" s="602"/>
      <c r="C195" s="334" t="s">
        <v>840</v>
      </c>
      <c r="D195" s="335" t="s">
        <v>841</v>
      </c>
      <c r="E195" s="335" t="s">
        <v>842</v>
      </c>
      <c r="F195" s="335" t="s">
        <v>843</v>
      </c>
      <c r="G195" s="335" t="s">
        <v>844</v>
      </c>
      <c r="H195" s="335" t="s">
        <v>845</v>
      </c>
      <c r="I195" s="337" t="s">
        <v>846</v>
      </c>
    </row>
    <row r="196" spans="2:9" s="580" customFormat="1" ht="14.1" customHeight="1">
      <c r="B196" s="602"/>
      <c r="C196" s="543" t="s">
        <v>7</v>
      </c>
      <c r="D196" s="289" t="s">
        <v>810</v>
      </c>
      <c r="E196" s="581"/>
      <c r="F196" s="299"/>
      <c r="G196" s="581"/>
      <c r="H196" s="581"/>
      <c r="I196" s="300"/>
    </row>
    <row r="197" spans="2:9" s="580" customFormat="1" ht="14.1" customHeight="1">
      <c r="B197" s="602"/>
      <c r="C197" s="298"/>
      <c r="D197" s="289" t="s">
        <v>10</v>
      </c>
      <c r="E197" s="285" t="s">
        <v>16</v>
      </c>
      <c r="F197" s="285" t="s">
        <v>726</v>
      </c>
      <c r="G197" s="286">
        <v>0.36</v>
      </c>
      <c r="H197" s="581"/>
      <c r="I197" s="300"/>
    </row>
    <row r="198" spans="2:9" s="580" customFormat="1" ht="14.1" customHeight="1">
      <c r="B198" s="602"/>
      <c r="C198" s="298"/>
      <c r="D198" s="289" t="s">
        <v>143</v>
      </c>
      <c r="E198" s="285" t="s">
        <v>21</v>
      </c>
      <c r="F198" s="285" t="s">
        <v>726</v>
      </c>
      <c r="G198" s="286">
        <v>0.12</v>
      </c>
      <c r="H198" s="581"/>
      <c r="I198" s="300"/>
    </row>
    <row r="199" spans="2:9" s="580" customFormat="1" ht="14.1" customHeight="1">
      <c r="B199" s="602"/>
      <c r="C199" s="298"/>
      <c r="D199" s="289" t="s">
        <v>20</v>
      </c>
      <c r="E199" s="285" t="s">
        <v>21</v>
      </c>
      <c r="F199" s="285" t="s">
        <v>726</v>
      </c>
      <c r="G199" s="286">
        <v>1.2E-2</v>
      </c>
      <c r="H199" s="581"/>
      <c r="I199" s="300"/>
    </row>
    <row r="200" spans="2:9" s="580" customFormat="1" ht="14.1" customHeight="1">
      <c r="B200" s="602"/>
      <c r="C200" s="301"/>
      <c r="D200" s="177" t="s">
        <v>11</v>
      </c>
      <c r="E200" s="287" t="s">
        <v>17</v>
      </c>
      <c r="F200" s="287" t="s">
        <v>726</v>
      </c>
      <c r="G200" s="288">
        <v>1.7999999999999999E-2</v>
      </c>
      <c r="H200" s="586"/>
      <c r="I200" s="303"/>
    </row>
    <row r="201" spans="2:9" s="580" customFormat="1" ht="14.1" customHeight="1">
      <c r="B201" s="602"/>
      <c r="C201" s="609"/>
      <c r="D201" s="316"/>
      <c r="E201" s="593"/>
      <c r="F201" s="316"/>
      <c r="G201" s="1166" t="s">
        <v>727</v>
      </c>
      <c r="H201" s="1167"/>
      <c r="I201" s="584"/>
    </row>
    <row r="202" spans="2:9" s="580" customFormat="1" ht="14.1" customHeight="1">
      <c r="B202" s="602"/>
      <c r="C202" s="292" t="s">
        <v>8</v>
      </c>
      <c r="D202" s="293" t="s">
        <v>811</v>
      </c>
      <c r="E202" s="585"/>
      <c r="F202" s="296"/>
      <c r="G202" s="585"/>
      <c r="H202" s="585"/>
      <c r="I202" s="297"/>
    </row>
    <row r="203" spans="2:9" s="580" customFormat="1" ht="14.1" customHeight="1">
      <c r="B203" s="602"/>
      <c r="C203" s="298"/>
      <c r="D203" s="289" t="s">
        <v>1128</v>
      </c>
      <c r="E203" s="581"/>
      <c r="F203" s="581" t="s">
        <v>750</v>
      </c>
      <c r="G203" s="286">
        <v>8.9999999999999993E-3</v>
      </c>
      <c r="H203" s="581"/>
      <c r="I203" s="300"/>
    </row>
    <row r="204" spans="2:9" s="580" customFormat="1" ht="14.1" customHeight="1">
      <c r="B204" s="602"/>
      <c r="C204" s="298"/>
      <c r="D204" s="289" t="s">
        <v>1127</v>
      </c>
      <c r="E204" s="581"/>
      <c r="F204" s="581" t="s">
        <v>750</v>
      </c>
      <c r="G204" s="286">
        <v>8.9999999999999993E-3</v>
      </c>
      <c r="H204" s="581"/>
      <c r="I204" s="300"/>
    </row>
    <row r="205" spans="2:9" s="580" customFormat="1" ht="14.1" customHeight="1">
      <c r="B205" s="602"/>
      <c r="C205" s="301"/>
      <c r="D205" s="177" t="s">
        <v>1126</v>
      </c>
      <c r="E205" s="586"/>
      <c r="F205" s="586" t="s">
        <v>750</v>
      </c>
      <c r="G205" s="288">
        <v>8.9999999999999993E-3</v>
      </c>
      <c r="H205" s="586"/>
      <c r="I205" s="303"/>
    </row>
    <row r="206" spans="2:9" s="580" customFormat="1" ht="14.1" customHeight="1">
      <c r="B206" s="602"/>
      <c r="C206" s="609"/>
      <c r="D206" s="316"/>
      <c r="E206" s="593"/>
      <c r="F206" s="316"/>
      <c r="G206" s="1166" t="s">
        <v>728</v>
      </c>
      <c r="H206" s="1167"/>
      <c r="I206" s="584"/>
    </row>
    <row r="207" spans="2:9" s="580" customFormat="1" ht="14.1" customHeight="1">
      <c r="B207" s="602"/>
      <c r="C207" s="292" t="s">
        <v>9</v>
      </c>
      <c r="D207" s="293" t="s">
        <v>815</v>
      </c>
      <c r="E207" s="585"/>
      <c r="F207" s="296"/>
      <c r="G207" s="585"/>
      <c r="H207" s="585"/>
      <c r="I207" s="297"/>
    </row>
    <row r="208" spans="2:9" s="580" customFormat="1" ht="14.1" customHeight="1">
      <c r="B208" s="602"/>
      <c r="C208" s="301"/>
      <c r="D208" s="302"/>
      <c r="E208" s="586"/>
      <c r="F208" s="302"/>
      <c r="G208" s="586"/>
      <c r="H208" s="586"/>
      <c r="I208" s="303"/>
    </row>
    <row r="209" spans="2:9" s="580" customFormat="1" ht="14.1" customHeight="1">
      <c r="B209" s="602"/>
      <c r="C209" s="314"/>
      <c r="D209" s="582"/>
      <c r="E209" s="315"/>
      <c r="F209" s="590"/>
      <c r="G209" s="1166" t="s">
        <v>729</v>
      </c>
      <c r="H209" s="1167"/>
      <c r="I209" s="584"/>
    </row>
    <row r="210" spans="2:9" s="580" customFormat="1" ht="14.1" customHeight="1">
      <c r="B210" s="602"/>
      <c r="C210" s="574" t="s">
        <v>12</v>
      </c>
      <c r="D210" s="1125" t="s">
        <v>730</v>
      </c>
      <c r="E210" s="1160"/>
      <c r="F210" s="1160"/>
      <c r="G210" s="1160"/>
      <c r="H210" s="1126"/>
      <c r="I210" s="305"/>
    </row>
    <row r="211" spans="2:9" s="580" customFormat="1" ht="14.1" customHeight="1">
      <c r="B211" s="602"/>
      <c r="C211" s="290" t="s">
        <v>13</v>
      </c>
      <c r="D211" s="1116" t="s">
        <v>816</v>
      </c>
      <c r="E211" s="1117"/>
      <c r="F211" s="1118"/>
      <c r="G211" s="1168" t="s">
        <v>740</v>
      </c>
      <c r="H211" s="1171"/>
      <c r="I211" s="306"/>
    </row>
    <row r="212" spans="2:9" s="580" customFormat="1" ht="14.1" customHeight="1" thickBot="1">
      <c r="B212" s="602"/>
      <c r="C212" s="291" t="s">
        <v>14</v>
      </c>
      <c r="D212" s="1119" t="s">
        <v>817</v>
      </c>
      <c r="E212" s="1120"/>
      <c r="F212" s="1120"/>
      <c r="G212" s="1120"/>
      <c r="H212" s="1121"/>
      <c r="I212" s="307"/>
    </row>
    <row r="213" spans="2:9" s="580" customFormat="1" ht="14.1" customHeight="1">
      <c r="B213" s="602"/>
      <c r="C213" s="589"/>
      <c r="E213" s="589"/>
      <c r="G213" s="589"/>
      <c r="H213" s="589"/>
    </row>
    <row r="214" spans="2:9" s="567" customFormat="1" ht="15.95" customHeight="1" thickBot="1">
      <c r="B214" s="598">
        <v>12</v>
      </c>
      <c r="C214" s="566" t="s">
        <v>1144</v>
      </c>
      <c r="E214" s="596"/>
    </row>
    <row r="215" spans="2:9" s="580" customFormat="1" ht="35.1" customHeight="1" thickBot="1">
      <c r="B215" s="602"/>
      <c r="C215" s="334" t="s">
        <v>840</v>
      </c>
      <c r="D215" s="335" t="s">
        <v>841</v>
      </c>
      <c r="E215" s="335" t="s">
        <v>842</v>
      </c>
      <c r="F215" s="335" t="s">
        <v>843</v>
      </c>
      <c r="G215" s="335" t="s">
        <v>844</v>
      </c>
      <c r="H215" s="431" t="s">
        <v>845</v>
      </c>
      <c r="I215" s="337" t="s">
        <v>846</v>
      </c>
    </row>
    <row r="216" spans="2:9" s="580" customFormat="1" ht="14.1" customHeight="1">
      <c r="B216" s="602"/>
      <c r="C216" s="543" t="s">
        <v>7</v>
      </c>
      <c r="D216" s="289" t="s">
        <v>810</v>
      </c>
      <c r="E216" s="581"/>
      <c r="F216" s="299"/>
      <c r="G216" s="581"/>
      <c r="H216" s="581"/>
      <c r="I216" s="300"/>
    </row>
    <row r="217" spans="2:9" s="580" customFormat="1" ht="14.1" customHeight="1">
      <c r="B217" s="602"/>
      <c r="C217" s="298"/>
      <c r="D217" s="289" t="s">
        <v>10</v>
      </c>
      <c r="E217" s="285" t="s">
        <v>16</v>
      </c>
      <c r="F217" s="285" t="s">
        <v>726</v>
      </c>
      <c r="G217" s="286">
        <v>0.36</v>
      </c>
      <c r="H217" s="581"/>
      <c r="I217" s="300"/>
    </row>
    <row r="218" spans="2:9" s="580" customFormat="1" ht="14.1" customHeight="1">
      <c r="B218" s="602"/>
      <c r="C218" s="298"/>
      <c r="D218" s="289" t="s">
        <v>143</v>
      </c>
      <c r="E218" s="285" t="s">
        <v>21</v>
      </c>
      <c r="F218" s="285" t="s">
        <v>726</v>
      </c>
      <c r="G218" s="286">
        <v>0.12</v>
      </c>
      <c r="H218" s="581"/>
      <c r="I218" s="300"/>
    </row>
    <row r="219" spans="2:9" s="580" customFormat="1" ht="14.1" customHeight="1">
      <c r="B219" s="602"/>
      <c r="C219" s="298"/>
      <c r="D219" s="289" t="s">
        <v>20</v>
      </c>
      <c r="E219" s="285" t="s">
        <v>21</v>
      </c>
      <c r="F219" s="285" t="s">
        <v>726</v>
      </c>
      <c r="G219" s="286">
        <v>1.2E-2</v>
      </c>
      <c r="H219" s="581"/>
      <c r="I219" s="300"/>
    </row>
    <row r="220" spans="2:9" s="580" customFormat="1" ht="14.1" customHeight="1">
      <c r="B220" s="602"/>
      <c r="C220" s="301"/>
      <c r="D220" s="177" t="s">
        <v>11</v>
      </c>
      <c r="E220" s="287" t="s">
        <v>17</v>
      </c>
      <c r="F220" s="287" t="s">
        <v>726</v>
      </c>
      <c r="G220" s="288">
        <v>1.7999999999999999E-2</v>
      </c>
      <c r="H220" s="586"/>
      <c r="I220" s="303"/>
    </row>
    <row r="221" spans="2:9" s="580" customFormat="1" ht="14.1" customHeight="1">
      <c r="B221" s="602"/>
      <c r="C221" s="609"/>
      <c r="D221" s="316"/>
      <c r="E221" s="593"/>
      <c r="F221" s="316"/>
      <c r="G221" s="1166" t="s">
        <v>727</v>
      </c>
      <c r="H221" s="1167"/>
      <c r="I221" s="584"/>
    </row>
    <row r="222" spans="2:9" s="580" customFormat="1" ht="14.1" customHeight="1">
      <c r="B222" s="602"/>
      <c r="C222" s="292" t="s">
        <v>8</v>
      </c>
      <c r="D222" s="293" t="s">
        <v>811</v>
      </c>
      <c r="E222" s="585"/>
      <c r="F222" s="296"/>
      <c r="G222" s="585"/>
      <c r="H222" s="585"/>
      <c r="I222" s="297"/>
    </row>
    <row r="223" spans="2:9" s="580" customFormat="1" ht="14.1" customHeight="1">
      <c r="B223" s="602"/>
      <c r="C223" s="298"/>
      <c r="D223" s="289" t="s">
        <v>1128</v>
      </c>
      <c r="E223" s="581"/>
      <c r="F223" s="581" t="s">
        <v>750</v>
      </c>
      <c r="G223" s="286">
        <v>7.0000000000000001E-3</v>
      </c>
      <c r="H223" s="581"/>
      <c r="I223" s="300"/>
    </row>
    <row r="224" spans="2:9" s="580" customFormat="1" ht="14.1" customHeight="1">
      <c r="B224" s="602"/>
      <c r="C224" s="298"/>
      <c r="D224" s="289" t="s">
        <v>1127</v>
      </c>
      <c r="E224" s="581"/>
      <c r="F224" s="581" t="s">
        <v>750</v>
      </c>
      <c r="G224" s="286">
        <v>7.0000000000000001E-3</v>
      </c>
      <c r="H224" s="581"/>
      <c r="I224" s="300"/>
    </row>
    <row r="225" spans="2:9" s="580" customFormat="1" ht="14.1" customHeight="1">
      <c r="B225" s="602"/>
      <c r="C225" s="301"/>
      <c r="D225" s="177" t="s">
        <v>1126</v>
      </c>
      <c r="E225" s="586"/>
      <c r="F225" s="586" t="s">
        <v>750</v>
      </c>
      <c r="G225" s="288">
        <v>1.4999999999999999E-2</v>
      </c>
      <c r="H225" s="586"/>
      <c r="I225" s="303"/>
    </row>
    <row r="226" spans="2:9" s="580" customFormat="1" ht="14.1" customHeight="1">
      <c r="B226" s="602"/>
      <c r="C226" s="609"/>
      <c r="D226" s="316"/>
      <c r="E226" s="593"/>
      <c r="F226" s="316"/>
      <c r="G226" s="1166" t="s">
        <v>728</v>
      </c>
      <c r="H226" s="1167"/>
      <c r="I226" s="584"/>
    </row>
    <row r="227" spans="2:9" s="580" customFormat="1" ht="14.1" customHeight="1">
      <c r="B227" s="602"/>
      <c r="C227" s="292" t="s">
        <v>9</v>
      </c>
      <c r="D227" s="293" t="s">
        <v>815</v>
      </c>
      <c r="E227" s="585"/>
      <c r="F227" s="296"/>
      <c r="G227" s="585"/>
      <c r="H227" s="585"/>
      <c r="I227" s="297"/>
    </row>
    <row r="228" spans="2:9" s="580" customFormat="1" ht="14.1" customHeight="1">
      <c r="B228" s="602"/>
      <c r="C228" s="301"/>
      <c r="D228" s="302"/>
      <c r="E228" s="586"/>
      <c r="F228" s="302"/>
      <c r="G228" s="586"/>
      <c r="H228" s="586"/>
      <c r="I228" s="303"/>
    </row>
    <row r="229" spans="2:9" s="580" customFormat="1" ht="14.1" customHeight="1">
      <c r="B229" s="602"/>
      <c r="C229" s="609"/>
      <c r="D229" s="316"/>
      <c r="E229" s="593"/>
      <c r="F229" s="316"/>
      <c r="G229" s="1166" t="s">
        <v>729</v>
      </c>
      <c r="H229" s="1167"/>
      <c r="I229" s="584"/>
    </row>
    <row r="230" spans="2:9" s="580" customFormat="1" ht="14.1" customHeight="1">
      <c r="B230" s="602"/>
      <c r="C230" s="290" t="s">
        <v>12</v>
      </c>
      <c r="D230" s="1113" t="s">
        <v>730</v>
      </c>
      <c r="E230" s="1114"/>
      <c r="F230" s="1114"/>
      <c r="G230" s="1160"/>
      <c r="H230" s="1160"/>
      <c r="I230" s="305"/>
    </row>
    <row r="231" spans="2:9" s="580" customFormat="1" ht="14.1" customHeight="1">
      <c r="B231" s="602"/>
      <c r="C231" s="290" t="s">
        <v>13</v>
      </c>
      <c r="D231" s="1116" t="s">
        <v>816</v>
      </c>
      <c r="E231" s="1117"/>
      <c r="F231" s="1118"/>
      <c r="G231" s="1168" t="s">
        <v>740</v>
      </c>
      <c r="H231" s="1169"/>
      <c r="I231" s="306"/>
    </row>
    <row r="232" spans="2:9" s="580" customFormat="1" ht="14.1" customHeight="1" thickBot="1">
      <c r="B232" s="602"/>
      <c r="C232" s="291" t="s">
        <v>14</v>
      </c>
      <c r="D232" s="1119" t="s">
        <v>817</v>
      </c>
      <c r="E232" s="1120"/>
      <c r="F232" s="1120"/>
      <c r="G232" s="1120"/>
      <c r="H232" s="1120"/>
      <c r="I232" s="307"/>
    </row>
    <row r="233" spans="2:9" s="580" customFormat="1" ht="14.1" customHeight="1">
      <c r="B233" s="602"/>
      <c r="C233" s="295"/>
      <c r="D233" s="284"/>
      <c r="E233" s="295"/>
      <c r="F233" s="284"/>
      <c r="G233" s="295"/>
      <c r="H233" s="295"/>
      <c r="I233" s="316"/>
    </row>
    <row r="234" spans="2:9" s="567" customFormat="1" ht="15.95" customHeight="1" thickBot="1">
      <c r="B234" s="598">
        <v>13</v>
      </c>
      <c r="C234" s="566" t="s">
        <v>1145</v>
      </c>
      <c r="E234" s="596"/>
    </row>
    <row r="235" spans="2:9" s="580" customFormat="1" ht="35.1" customHeight="1" thickBot="1">
      <c r="B235" s="602"/>
      <c r="C235" s="334" t="s">
        <v>840</v>
      </c>
      <c r="D235" s="335" t="s">
        <v>841</v>
      </c>
      <c r="E235" s="335" t="s">
        <v>842</v>
      </c>
      <c r="F235" s="335" t="s">
        <v>843</v>
      </c>
      <c r="G235" s="335" t="s">
        <v>844</v>
      </c>
      <c r="H235" s="431" t="s">
        <v>845</v>
      </c>
      <c r="I235" s="337" t="s">
        <v>846</v>
      </c>
    </row>
    <row r="236" spans="2:9" s="580" customFormat="1" ht="14.1" customHeight="1">
      <c r="B236" s="602"/>
      <c r="C236" s="543" t="s">
        <v>7</v>
      </c>
      <c r="D236" s="289" t="s">
        <v>810</v>
      </c>
      <c r="E236" s="581"/>
      <c r="F236" s="299"/>
      <c r="G236" s="581"/>
      <c r="H236" s="581"/>
      <c r="I236" s="300"/>
    </row>
    <row r="237" spans="2:9" s="580" customFormat="1" ht="14.1" customHeight="1">
      <c r="B237" s="602"/>
      <c r="C237" s="298"/>
      <c r="D237" s="289" t="s">
        <v>10</v>
      </c>
      <c r="E237" s="285" t="s">
        <v>16</v>
      </c>
      <c r="F237" s="285" t="s">
        <v>726</v>
      </c>
      <c r="G237" s="286">
        <v>0.4</v>
      </c>
      <c r="H237" s="581"/>
      <c r="I237" s="300"/>
    </row>
    <row r="238" spans="2:9" s="580" customFormat="1" ht="14.1" customHeight="1">
      <c r="B238" s="602"/>
      <c r="C238" s="298"/>
      <c r="D238" s="289" t="s">
        <v>143</v>
      </c>
      <c r="E238" s="285" t="s">
        <v>21</v>
      </c>
      <c r="F238" s="285" t="s">
        <v>726</v>
      </c>
      <c r="G238" s="286">
        <v>0.2</v>
      </c>
      <c r="H238" s="581"/>
      <c r="I238" s="300"/>
    </row>
    <row r="239" spans="2:9" s="580" customFormat="1" ht="14.1" customHeight="1">
      <c r="B239" s="602"/>
      <c r="C239" s="298"/>
      <c r="D239" s="289" t="s">
        <v>20</v>
      </c>
      <c r="E239" s="285" t="s">
        <v>21</v>
      </c>
      <c r="F239" s="285" t="s">
        <v>726</v>
      </c>
      <c r="G239" s="286">
        <v>0.02</v>
      </c>
      <c r="H239" s="581"/>
      <c r="I239" s="300"/>
    </row>
    <row r="240" spans="2:9" s="580" customFormat="1" ht="14.1" customHeight="1">
      <c r="B240" s="602"/>
      <c r="C240" s="301"/>
      <c r="D240" s="177" t="s">
        <v>11</v>
      </c>
      <c r="E240" s="287" t="s">
        <v>17</v>
      </c>
      <c r="F240" s="287" t="s">
        <v>726</v>
      </c>
      <c r="G240" s="288">
        <v>2.1999999999999999E-2</v>
      </c>
      <c r="H240" s="586"/>
      <c r="I240" s="303"/>
    </row>
    <row r="241" spans="2:9" s="580" customFormat="1" ht="14.1" customHeight="1">
      <c r="B241" s="602"/>
      <c r="C241" s="609"/>
      <c r="D241" s="316"/>
      <c r="E241" s="593"/>
      <c r="F241" s="316"/>
      <c r="G241" s="1166" t="s">
        <v>727</v>
      </c>
      <c r="H241" s="1167"/>
      <c r="I241" s="584"/>
    </row>
    <row r="242" spans="2:9" s="580" customFormat="1" ht="14.1" customHeight="1">
      <c r="B242" s="602"/>
      <c r="C242" s="292" t="s">
        <v>8</v>
      </c>
      <c r="D242" s="293" t="s">
        <v>811</v>
      </c>
      <c r="E242" s="585"/>
      <c r="F242" s="296"/>
      <c r="G242" s="585"/>
      <c r="H242" s="585"/>
      <c r="I242" s="297"/>
    </row>
    <row r="243" spans="2:9" s="580" customFormat="1" ht="14.1" customHeight="1">
      <c r="B243" s="602"/>
      <c r="C243" s="298"/>
      <c r="D243" s="289" t="s">
        <v>156</v>
      </c>
      <c r="E243" s="581"/>
      <c r="F243" s="285" t="s">
        <v>734</v>
      </c>
      <c r="G243" s="286">
        <v>13.632</v>
      </c>
      <c r="H243" s="581"/>
      <c r="I243" s="300"/>
    </row>
    <row r="244" spans="2:9" s="580" customFormat="1" ht="14.1" customHeight="1">
      <c r="B244" s="602"/>
      <c r="C244" s="301"/>
      <c r="D244" s="177" t="s">
        <v>1126</v>
      </c>
      <c r="E244" s="586"/>
      <c r="F244" s="586" t="s">
        <v>750</v>
      </c>
      <c r="G244" s="288">
        <v>2.7E-2</v>
      </c>
      <c r="H244" s="586"/>
      <c r="I244" s="303"/>
    </row>
    <row r="245" spans="2:9" s="580" customFormat="1" ht="14.1" customHeight="1">
      <c r="B245" s="602"/>
      <c r="C245" s="609"/>
      <c r="D245" s="316"/>
      <c r="E245" s="593"/>
      <c r="F245" s="316"/>
      <c r="G245" s="1166" t="s">
        <v>728</v>
      </c>
      <c r="H245" s="1167"/>
      <c r="I245" s="584"/>
    </row>
    <row r="246" spans="2:9" s="580" customFormat="1" ht="14.1" customHeight="1">
      <c r="B246" s="602"/>
      <c r="C246" s="292" t="s">
        <v>9</v>
      </c>
      <c r="D246" s="293" t="s">
        <v>815</v>
      </c>
      <c r="E246" s="585"/>
      <c r="F246" s="296"/>
      <c r="G246" s="585"/>
      <c r="H246" s="585"/>
      <c r="I246" s="297"/>
    </row>
    <row r="247" spans="2:9" s="580" customFormat="1" ht="14.1" customHeight="1">
      <c r="B247" s="602"/>
      <c r="C247" s="301"/>
      <c r="D247" s="302"/>
      <c r="E247" s="586"/>
      <c r="F247" s="302"/>
      <c r="G247" s="586"/>
      <c r="H247" s="586"/>
      <c r="I247" s="303"/>
    </row>
    <row r="248" spans="2:9" s="580" customFormat="1" ht="14.1" customHeight="1">
      <c r="B248" s="602"/>
      <c r="C248" s="609"/>
      <c r="D248" s="316"/>
      <c r="E248" s="593"/>
      <c r="F248" s="316"/>
      <c r="G248" s="1166" t="s">
        <v>729</v>
      </c>
      <c r="H248" s="1167"/>
      <c r="I248" s="584"/>
    </row>
    <row r="249" spans="2:9" s="580" customFormat="1" ht="14.1" customHeight="1">
      <c r="B249" s="602"/>
      <c r="C249" s="290" t="s">
        <v>12</v>
      </c>
      <c r="D249" s="1113" t="s">
        <v>730</v>
      </c>
      <c r="E249" s="1114"/>
      <c r="F249" s="1114"/>
      <c r="G249" s="1160"/>
      <c r="H249" s="1160"/>
      <c r="I249" s="305"/>
    </row>
    <row r="250" spans="2:9" s="580" customFormat="1" ht="14.1" customHeight="1">
      <c r="B250" s="602"/>
      <c r="C250" s="290" t="s">
        <v>13</v>
      </c>
      <c r="D250" s="1116" t="s">
        <v>816</v>
      </c>
      <c r="E250" s="1117"/>
      <c r="F250" s="1118"/>
      <c r="G250" s="1168" t="s">
        <v>740</v>
      </c>
      <c r="H250" s="1169"/>
      <c r="I250" s="306"/>
    </row>
    <row r="251" spans="2:9" s="580" customFormat="1" ht="14.1" customHeight="1" thickBot="1">
      <c r="B251" s="602"/>
      <c r="C251" s="291" t="s">
        <v>14</v>
      </c>
      <c r="D251" s="1119" t="s">
        <v>817</v>
      </c>
      <c r="E251" s="1120"/>
      <c r="F251" s="1120"/>
      <c r="G251" s="1120"/>
      <c r="H251" s="1120"/>
      <c r="I251" s="307"/>
    </row>
    <row r="252" spans="2:9" s="580" customFormat="1" ht="14.1" customHeight="1">
      <c r="B252" s="602"/>
      <c r="C252" s="589"/>
      <c r="E252" s="589"/>
      <c r="G252" s="589"/>
      <c r="H252" s="589"/>
    </row>
    <row r="253" spans="2:9" s="567" customFormat="1" ht="15.95" customHeight="1" thickBot="1">
      <c r="B253" s="598">
        <v>14</v>
      </c>
      <c r="C253" s="566" t="s">
        <v>1146</v>
      </c>
      <c r="E253" s="596"/>
    </row>
    <row r="254" spans="2:9" s="580" customFormat="1" ht="35.1" customHeight="1" thickBot="1">
      <c r="B254" s="602"/>
      <c r="C254" s="334" t="s">
        <v>840</v>
      </c>
      <c r="D254" s="335" t="s">
        <v>841</v>
      </c>
      <c r="E254" s="335" t="s">
        <v>842</v>
      </c>
      <c r="F254" s="335" t="s">
        <v>843</v>
      </c>
      <c r="G254" s="335" t="s">
        <v>844</v>
      </c>
      <c r="H254" s="431" t="s">
        <v>845</v>
      </c>
      <c r="I254" s="337" t="s">
        <v>846</v>
      </c>
    </row>
    <row r="255" spans="2:9" s="580" customFormat="1" ht="14.1" customHeight="1">
      <c r="B255" s="602"/>
      <c r="C255" s="543" t="s">
        <v>7</v>
      </c>
      <c r="D255" s="289" t="s">
        <v>810</v>
      </c>
      <c r="E255" s="581"/>
      <c r="F255" s="299"/>
      <c r="G255" s="581"/>
      <c r="H255" s="581"/>
      <c r="I255" s="300"/>
    </row>
    <row r="256" spans="2:9" s="580" customFormat="1" ht="14.1" customHeight="1">
      <c r="B256" s="602"/>
      <c r="C256" s="298"/>
      <c r="D256" s="289" t="s">
        <v>10</v>
      </c>
      <c r="E256" s="285" t="s">
        <v>16</v>
      </c>
      <c r="F256" s="285" t="s">
        <v>726</v>
      </c>
      <c r="G256" s="286">
        <v>0.26</v>
      </c>
      <c r="H256" s="581"/>
      <c r="I256" s="300"/>
    </row>
    <row r="257" spans="2:9" s="580" customFormat="1" ht="14.1" customHeight="1">
      <c r="B257" s="602"/>
      <c r="C257" s="298"/>
      <c r="D257" s="289" t="s">
        <v>143</v>
      </c>
      <c r="E257" s="285" t="s">
        <v>21</v>
      </c>
      <c r="F257" s="285" t="s">
        <v>726</v>
      </c>
      <c r="G257" s="286">
        <v>0.2</v>
      </c>
      <c r="H257" s="581"/>
      <c r="I257" s="300"/>
    </row>
    <row r="258" spans="2:9" s="580" customFormat="1" ht="14.1" customHeight="1">
      <c r="B258" s="602"/>
      <c r="C258" s="298"/>
      <c r="D258" s="289" t="s">
        <v>20</v>
      </c>
      <c r="E258" s="285" t="s">
        <v>21</v>
      </c>
      <c r="F258" s="285" t="s">
        <v>726</v>
      </c>
      <c r="G258" s="286">
        <v>0.02</v>
      </c>
      <c r="H258" s="581"/>
      <c r="I258" s="300"/>
    </row>
    <row r="259" spans="2:9" s="580" customFormat="1" ht="14.1" customHeight="1">
      <c r="B259" s="602"/>
      <c r="C259" s="301"/>
      <c r="D259" s="177" t="s">
        <v>11</v>
      </c>
      <c r="E259" s="287" t="s">
        <v>17</v>
      </c>
      <c r="F259" s="287" t="s">
        <v>726</v>
      </c>
      <c r="G259" s="288">
        <v>1.2999999999999999E-2</v>
      </c>
      <c r="H259" s="586"/>
      <c r="I259" s="303"/>
    </row>
    <row r="260" spans="2:9" s="580" customFormat="1" ht="14.1" customHeight="1">
      <c r="B260" s="602"/>
      <c r="C260" s="609"/>
      <c r="D260" s="316"/>
      <c r="E260" s="593"/>
      <c r="F260" s="316"/>
      <c r="G260" s="1170" t="s">
        <v>727</v>
      </c>
      <c r="H260" s="1170"/>
      <c r="I260" s="631"/>
    </row>
    <row r="261" spans="2:9" s="580" customFormat="1" ht="14.1" customHeight="1">
      <c r="B261" s="602"/>
      <c r="C261" s="292" t="s">
        <v>8</v>
      </c>
      <c r="D261" s="293" t="s">
        <v>811</v>
      </c>
      <c r="E261" s="585"/>
      <c r="F261" s="296"/>
      <c r="G261" s="585"/>
      <c r="H261" s="585"/>
      <c r="I261" s="297"/>
    </row>
    <row r="262" spans="2:9" s="580" customFormat="1" ht="14.1" customHeight="1">
      <c r="B262" s="602"/>
      <c r="C262" s="298"/>
      <c r="D262" s="289" t="s">
        <v>156</v>
      </c>
      <c r="E262" s="581"/>
      <c r="F262" s="285" t="s">
        <v>734</v>
      </c>
      <c r="G262" s="286">
        <v>10.368</v>
      </c>
      <c r="H262" s="581"/>
      <c r="I262" s="300"/>
    </row>
    <row r="263" spans="2:9" s="580" customFormat="1" ht="14.1" customHeight="1">
      <c r="B263" s="602"/>
      <c r="C263" s="301"/>
      <c r="D263" s="177" t="s">
        <v>1126</v>
      </c>
      <c r="E263" s="586"/>
      <c r="F263" s="178" t="s">
        <v>750</v>
      </c>
      <c r="G263" s="288">
        <v>3.1E-2</v>
      </c>
      <c r="H263" s="586"/>
      <c r="I263" s="303"/>
    </row>
    <row r="264" spans="2:9" s="580" customFormat="1" ht="14.1" customHeight="1">
      <c r="B264" s="602"/>
      <c r="C264" s="609"/>
      <c r="D264" s="316"/>
      <c r="E264" s="593"/>
      <c r="F264" s="316"/>
      <c r="G264" s="1166" t="s">
        <v>728</v>
      </c>
      <c r="H264" s="1167"/>
      <c r="I264" s="584"/>
    </row>
    <row r="265" spans="2:9" s="580" customFormat="1" ht="14.1" customHeight="1">
      <c r="B265" s="602"/>
      <c r="C265" s="292" t="s">
        <v>9</v>
      </c>
      <c r="D265" s="293" t="s">
        <v>815</v>
      </c>
      <c r="E265" s="585"/>
      <c r="F265" s="296"/>
      <c r="G265" s="585"/>
      <c r="H265" s="585"/>
      <c r="I265" s="297"/>
    </row>
    <row r="266" spans="2:9" s="580" customFormat="1" ht="14.1" customHeight="1">
      <c r="B266" s="602"/>
      <c r="C266" s="301"/>
      <c r="D266" s="302"/>
      <c r="E266" s="586"/>
      <c r="F266" s="302"/>
      <c r="G266" s="586"/>
      <c r="H266" s="586"/>
      <c r="I266" s="303"/>
    </row>
    <row r="267" spans="2:9" s="580" customFormat="1" ht="14.1" customHeight="1">
      <c r="B267" s="602"/>
      <c r="C267" s="609"/>
      <c r="D267" s="316"/>
      <c r="E267" s="593"/>
      <c r="F267" s="316"/>
      <c r="G267" s="1166" t="s">
        <v>729</v>
      </c>
      <c r="H267" s="1167"/>
      <c r="I267" s="584"/>
    </row>
    <row r="268" spans="2:9" s="580" customFormat="1" ht="14.1" customHeight="1">
      <c r="B268" s="602"/>
      <c r="C268" s="290" t="s">
        <v>12</v>
      </c>
      <c r="D268" s="1113" t="s">
        <v>730</v>
      </c>
      <c r="E268" s="1114"/>
      <c r="F268" s="1114"/>
      <c r="G268" s="1160"/>
      <c r="H268" s="1160"/>
      <c r="I268" s="305"/>
    </row>
    <row r="269" spans="2:9" s="580" customFormat="1" ht="14.1" customHeight="1">
      <c r="B269" s="602"/>
      <c r="C269" s="290" t="s">
        <v>13</v>
      </c>
      <c r="D269" s="1116" t="s">
        <v>816</v>
      </c>
      <c r="E269" s="1117"/>
      <c r="F269" s="1118"/>
      <c r="G269" s="1168" t="s">
        <v>740</v>
      </c>
      <c r="H269" s="1169"/>
      <c r="I269" s="306"/>
    </row>
    <row r="270" spans="2:9" s="580" customFormat="1" ht="14.1" customHeight="1" thickBot="1">
      <c r="B270" s="602"/>
      <c r="C270" s="291" t="s">
        <v>14</v>
      </c>
      <c r="D270" s="1119" t="s">
        <v>817</v>
      </c>
      <c r="E270" s="1120"/>
      <c r="F270" s="1120"/>
      <c r="G270" s="1120"/>
      <c r="H270" s="1120"/>
      <c r="I270" s="307"/>
    </row>
    <row r="271" spans="2:9" s="580" customFormat="1" ht="14.1" customHeight="1">
      <c r="B271" s="602"/>
      <c r="C271" s="295"/>
      <c r="D271" s="284"/>
      <c r="E271" s="295"/>
      <c r="F271" s="284"/>
      <c r="G271" s="295"/>
      <c r="H271" s="295"/>
      <c r="I271" s="316"/>
    </row>
    <row r="272" spans="2:9" s="567" customFormat="1" ht="15.95" customHeight="1" thickBot="1">
      <c r="B272" s="598">
        <v>15</v>
      </c>
      <c r="C272" s="566" t="s">
        <v>1147</v>
      </c>
      <c r="E272" s="596"/>
    </row>
    <row r="273" spans="2:9" s="580" customFormat="1" ht="35.1" customHeight="1" thickBot="1">
      <c r="B273" s="602"/>
      <c r="C273" s="334" t="s">
        <v>840</v>
      </c>
      <c r="D273" s="335" t="s">
        <v>841</v>
      </c>
      <c r="E273" s="335" t="s">
        <v>842</v>
      </c>
      <c r="F273" s="335" t="s">
        <v>843</v>
      </c>
      <c r="G273" s="335" t="s">
        <v>844</v>
      </c>
      <c r="H273" s="431" t="s">
        <v>845</v>
      </c>
      <c r="I273" s="337" t="s">
        <v>846</v>
      </c>
    </row>
    <row r="274" spans="2:9" s="580" customFormat="1" ht="14.1" customHeight="1">
      <c r="B274" s="602"/>
      <c r="C274" s="543" t="s">
        <v>7</v>
      </c>
      <c r="D274" s="289" t="s">
        <v>810</v>
      </c>
      <c r="E274" s="581"/>
      <c r="F274" s="299"/>
      <c r="G274" s="581"/>
      <c r="H274" s="581"/>
      <c r="I274" s="300"/>
    </row>
    <row r="275" spans="2:9" s="580" customFormat="1" ht="14.1" customHeight="1">
      <c r="B275" s="602"/>
      <c r="C275" s="298"/>
      <c r="D275" s="289" t="s">
        <v>10</v>
      </c>
      <c r="E275" s="285" t="s">
        <v>16</v>
      </c>
      <c r="F275" s="285" t="s">
        <v>726</v>
      </c>
      <c r="G275" s="286">
        <v>0.4</v>
      </c>
      <c r="H275" s="581"/>
      <c r="I275" s="300"/>
    </row>
    <row r="276" spans="2:9" s="580" customFormat="1" ht="14.1" customHeight="1">
      <c r="B276" s="602"/>
      <c r="C276" s="298"/>
      <c r="D276" s="289" t="s">
        <v>143</v>
      </c>
      <c r="E276" s="285" t="s">
        <v>21</v>
      </c>
      <c r="F276" s="285" t="s">
        <v>726</v>
      </c>
      <c r="G276" s="286">
        <v>0.2</v>
      </c>
      <c r="H276" s="581"/>
      <c r="I276" s="300"/>
    </row>
    <row r="277" spans="2:9" s="580" customFormat="1" ht="14.1" customHeight="1">
      <c r="B277" s="602"/>
      <c r="C277" s="298"/>
      <c r="D277" s="289" t="s">
        <v>20</v>
      </c>
      <c r="E277" s="285" t="s">
        <v>21</v>
      </c>
      <c r="F277" s="285" t="s">
        <v>726</v>
      </c>
      <c r="G277" s="286">
        <v>0.02</v>
      </c>
      <c r="H277" s="581"/>
      <c r="I277" s="300"/>
    </row>
    <row r="278" spans="2:9" s="580" customFormat="1" ht="14.1" customHeight="1">
      <c r="B278" s="602"/>
      <c r="C278" s="301"/>
      <c r="D278" s="177" t="s">
        <v>11</v>
      </c>
      <c r="E278" s="287" t="s">
        <v>17</v>
      </c>
      <c r="F278" s="287" t="s">
        <v>726</v>
      </c>
      <c r="G278" s="288">
        <v>2.1999999999999999E-2</v>
      </c>
      <c r="H278" s="586"/>
      <c r="I278" s="303"/>
    </row>
    <row r="279" spans="2:9" s="580" customFormat="1" ht="14.1" customHeight="1">
      <c r="B279" s="602"/>
      <c r="C279" s="609"/>
      <c r="D279" s="316"/>
      <c r="E279" s="593"/>
      <c r="F279" s="316"/>
      <c r="G279" s="1166" t="s">
        <v>727</v>
      </c>
      <c r="H279" s="1167"/>
      <c r="I279" s="584"/>
    </row>
    <row r="280" spans="2:9" s="580" customFormat="1" ht="14.1" customHeight="1">
      <c r="B280" s="602"/>
      <c r="C280" s="292" t="s">
        <v>8</v>
      </c>
      <c r="D280" s="293" t="s">
        <v>811</v>
      </c>
      <c r="E280" s="585"/>
      <c r="F280" s="296"/>
      <c r="G280" s="585"/>
      <c r="H280" s="585"/>
      <c r="I280" s="297"/>
    </row>
    <row r="281" spans="2:9" s="580" customFormat="1" ht="14.1" customHeight="1">
      <c r="B281" s="602"/>
      <c r="C281" s="298"/>
      <c r="D281" s="289" t="s">
        <v>156</v>
      </c>
      <c r="E281" s="581"/>
      <c r="F281" s="285" t="s">
        <v>734</v>
      </c>
      <c r="G281" s="286">
        <v>8.32</v>
      </c>
      <c r="H281" s="581"/>
      <c r="I281" s="300"/>
    </row>
    <row r="282" spans="2:9" s="580" customFormat="1" ht="14.1" customHeight="1">
      <c r="B282" s="602"/>
      <c r="C282" s="301"/>
      <c r="D282" s="177" t="s">
        <v>1126</v>
      </c>
      <c r="E282" s="586"/>
      <c r="F282" s="586" t="s">
        <v>750</v>
      </c>
      <c r="G282" s="288">
        <v>3.2000000000000001E-2</v>
      </c>
      <c r="H282" s="586"/>
      <c r="I282" s="303"/>
    </row>
    <row r="283" spans="2:9" s="580" customFormat="1" ht="14.1" customHeight="1">
      <c r="B283" s="602"/>
      <c r="C283" s="609"/>
      <c r="D283" s="316"/>
      <c r="E283" s="593"/>
      <c r="F283" s="316"/>
      <c r="G283" s="1166" t="s">
        <v>728</v>
      </c>
      <c r="H283" s="1167"/>
      <c r="I283" s="584"/>
    </row>
    <row r="284" spans="2:9" s="580" customFormat="1" ht="14.1" customHeight="1">
      <c r="B284" s="602"/>
      <c r="C284" s="292" t="s">
        <v>9</v>
      </c>
      <c r="D284" s="293" t="s">
        <v>815</v>
      </c>
      <c r="E284" s="585"/>
      <c r="F284" s="296"/>
      <c r="G284" s="585"/>
      <c r="H284" s="585"/>
      <c r="I284" s="297"/>
    </row>
    <row r="285" spans="2:9" s="580" customFormat="1" ht="14.1" customHeight="1">
      <c r="B285" s="602"/>
      <c r="C285" s="301"/>
      <c r="D285" s="302"/>
      <c r="E285" s="586"/>
      <c r="F285" s="302"/>
      <c r="G285" s="586"/>
      <c r="H285" s="586"/>
      <c r="I285" s="303"/>
    </row>
    <row r="286" spans="2:9" s="580" customFormat="1" ht="14.1" customHeight="1">
      <c r="B286" s="602"/>
      <c r="C286" s="314"/>
      <c r="D286" s="582"/>
      <c r="E286" s="315"/>
      <c r="F286" s="590"/>
      <c r="G286" s="1166" t="s">
        <v>729</v>
      </c>
      <c r="H286" s="1167"/>
      <c r="I286" s="584"/>
    </row>
    <row r="287" spans="2:9" s="580" customFormat="1" ht="14.1" customHeight="1">
      <c r="B287" s="602"/>
      <c r="C287" s="574" t="s">
        <v>12</v>
      </c>
      <c r="D287" s="1125" t="s">
        <v>730</v>
      </c>
      <c r="E287" s="1160"/>
      <c r="F287" s="1160"/>
      <c r="G287" s="1160"/>
      <c r="H287" s="1160"/>
      <c r="I287" s="305"/>
    </row>
    <row r="288" spans="2:9" s="580" customFormat="1" ht="14.1" customHeight="1">
      <c r="B288" s="602"/>
      <c r="C288" s="290" t="s">
        <v>13</v>
      </c>
      <c r="D288" s="1116" t="s">
        <v>816</v>
      </c>
      <c r="E288" s="1117"/>
      <c r="F288" s="1118"/>
      <c r="G288" s="1168" t="s">
        <v>740</v>
      </c>
      <c r="H288" s="1169"/>
      <c r="I288" s="306"/>
    </row>
    <row r="289" spans="2:9" s="580" customFormat="1" ht="14.1" customHeight="1" thickBot="1">
      <c r="B289" s="602"/>
      <c r="C289" s="291" t="s">
        <v>14</v>
      </c>
      <c r="D289" s="1119" t="s">
        <v>817</v>
      </c>
      <c r="E289" s="1120"/>
      <c r="F289" s="1120"/>
      <c r="G289" s="1120"/>
      <c r="H289" s="1120"/>
      <c r="I289" s="307"/>
    </row>
    <row r="290" spans="2:9" s="580" customFormat="1" ht="14.1" customHeight="1">
      <c r="B290" s="602"/>
      <c r="C290" s="589"/>
      <c r="E290" s="589"/>
      <c r="G290" s="589"/>
      <c r="H290" s="589"/>
    </row>
    <row r="291" spans="2:9" s="567" customFormat="1" ht="15.95" customHeight="1" thickBot="1">
      <c r="B291" s="598">
        <v>16</v>
      </c>
      <c r="C291" s="566" t="s">
        <v>1148</v>
      </c>
      <c r="E291" s="596"/>
    </row>
    <row r="292" spans="2:9" s="580" customFormat="1" ht="35.1" customHeight="1" thickBot="1">
      <c r="B292" s="602"/>
      <c r="C292" s="334" t="s">
        <v>840</v>
      </c>
      <c r="D292" s="335" t="s">
        <v>841</v>
      </c>
      <c r="E292" s="335" t="s">
        <v>842</v>
      </c>
      <c r="F292" s="335" t="s">
        <v>843</v>
      </c>
      <c r="G292" s="335" t="s">
        <v>844</v>
      </c>
      <c r="H292" s="431" t="s">
        <v>845</v>
      </c>
      <c r="I292" s="337" t="s">
        <v>846</v>
      </c>
    </row>
    <row r="293" spans="2:9" s="580" customFormat="1" ht="12" customHeight="1">
      <c r="B293" s="602"/>
      <c r="C293" s="543" t="s">
        <v>7</v>
      </c>
      <c r="D293" s="289" t="s">
        <v>810</v>
      </c>
      <c r="E293" s="581"/>
      <c r="F293" s="299"/>
      <c r="G293" s="581"/>
      <c r="H293" s="581"/>
      <c r="I293" s="300"/>
    </row>
    <row r="294" spans="2:9" s="580" customFormat="1" ht="14.1" customHeight="1">
      <c r="B294" s="602"/>
      <c r="C294" s="298"/>
      <c r="D294" s="289" t="s">
        <v>10</v>
      </c>
      <c r="E294" s="285" t="s">
        <v>16</v>
      </c>
      <c r="F294" s="285" t="s">
        <v>726</v>
      </c>
      <c r="G294" s="286">
        <v>0.4</v>
      </c>
      <c r="H294" s="581"/>
      <c r="I294" s="300"/>
    </row>
    <row r="295" spans="2:9" s="580" customFormat="1" ht="14.1" customHeight="1">
      <c r="B295" s="602"/>
      <c r="C295" s="298"/>
      <c r="D295" s="289" t="s">
        <v>143</v>
      </c>
      <c r="E295" s="285" t="s">
        <v>21</v>
      </c>
      <c r="F295" s="285" t="s">
        <v>726</v>
      </c>
      <c r="G295" s="286">
        <v>0.2</v>
      </c>
      <c r="H295" s="581"/>
      <c r="I295" s="300"/>
    </row>
    <row r="296" spans="2:9" s="580" customFormat="1" ht="14.1" customHeight="1">
      <c r="B296" s="602"/>
      <c r="C296" s="298"/>
      <c r="D296" s="289" t="s">
        <v>20</v>
      </c>
      <c r="E296" s="285" t="s">
        <v>21</v>
      </c>
      <c r="F296" s="285" t="s">
        <v>726</v>
      </c>
      <c r="G296" s="286">
        <v>0.02</v>
      </c>
      <c r="H296" s="581"/>
      <c r="I296" s="300"/>
    </row>
    <row r="297" spans="2:9" s="580" customFormat="1" ht="14.1" customHeight="1">
      <c r="B297" s="602"/>
      <c r="C297" s="301"/>
      <c r="D297" s="177" t="s">
        <v>11</v>
      </c>
      <c r="E297" s="287" t="s">
        <v>17</v>
      </c>
      <c r="F297" s="287" t="s">
        <v>726</v>
      </c>
      <c r="G297" s="288">
        <v>2.1999999999999999E-2</v>
      </c>
      <c r="H297" s="586"/>
      <c r="I297" s="303"/>
    </row>
    <row r="298" spans="2:9" s="580" customFormat="1" ht="14.1" customHeight="1">
      <c r="B298" s="602"/>
      <c r="C298" s="609"/>
      <c r="D298" s="316"/>
      <c r="E298" s="593"/>
      <c r="F298" s="316"/>
      <c r="G298" s="1166" t="s">
        <v>727</v>
      </c>
      <c r="H298" s="1167"/>
      <c r="I298" s="584"/>
    </row>
    <row r="299" spans="2:9" s="580" customFormat="1" ht="14.1" customHeight="1">
      <c r="B299" s="602"/>
      <c r="C299" s="292" t="s">
        <v>8</v>
      </c>
      <c r="D299" s="293" t="s">
        <v>811</v>
      </c>
      <c r="E299" s="585"/>
      <c r="F299" s="296"/>
      <c r="G299" s="585"/>
      <c r="H299" s="585"/>
      <c r="I299" s="297"/>
    </row>
    <row r="300" spans="2:9" s="580" customFormat="1" ht="14.1" customHeight="1">
      <c r="B300" s="602"/>
      <c r="C300" s="298"/>
      <c r="D300" s="289" t="s">
        <v>156</v>
      </c>
      <c r="E300" s="581"/>
      <c r="F300" s="285" t="s">
        <v>734</v>
      </c>
      <c r="G300" s="286">
        <v>6.9119999999999999</v>
      </c>
      <c r="H300" s="581"/>
      <c r="I300" s="300"/>
    </row>
    <row r="301" spans="2:9" s="580" customFormat="1" ht="14.1" customHeight="1">
      <c r="B301" s="602"/>
      <c r="C301" s="301"/>
      <c r="D301" s="177" t="s">
        <v>1126</v>
      </c>
      <c r="E301" s="586"/>
      <c r="F301" s="586" t="s">
        <v>750</v>
      </c>
      <c r="G301" s="288">
        <v>3.5000000000000003E-2</v>
      </c>
      <c r="H301" s="586"/>
      <c r="I301" s="303"/>
    </row>
    <row r="302" spans="2:9" s="580" customFormat="1" ht="14.1" customHeight="1">
      <c r="B302" s="602"/>
      <c r="C302" s="609"/>
      <c r="D302" s="316"/>
      <c r="E302" s="593"/>
      <c r="F302" s="316"/>
      <c r="G302" s="1166" t="s">
        <v>728</v>
      </c>
      <c r="H302" s="1167"/>
      <c r="I302" s="584"/>
    </row>
    <row r="303" spans="2:9" s="580" customFormat="1" ht="14.1" customHeight="1">
      <c r="B303" s="602"/>
      <c r="C303" s="292" t="s">
        <v>9</v>
      </c>
      <c r="D303" s="293" t="s">
        <v>815</v>
      </c>
      <c r="E303" s="585"/>
      <c r="F303" s="296"/>
      <c r="G303" s="585"/>
      <c r="H303" s="585"/>
      <c r="I303" s="297"/>
    </row>
    <row r="304" spans="2:9" s="580" customFormat="1" ht="14.1" customHeight="1">
      <c r="B304" s="602"/>
      <c r="C304" s="301"/>
      <c r="D304" s="302"/>
      <c r="E304" s="586"/>
      <c r="F304" s="302"/>
      <c r="G304" s="586"/>
      <c r="H304" s="586"/>
      <c r="I304" s="303"/>
    </row>
    <row r="305" spans="2:9" s="580" customFormat="1" ht="14.1" customHeight="1">
      <c r="B305" s="602"/>
      <c r="C305" s="314"/>
      <c r="D305" s="582"/>
      <c r="E305" s="315"/>
      <c r="F305" s="590"/>
      <c r="G305" s="1166" t="s">
        <v>729</v>
      </c>
      <c r="H305" s="1167"/>
      <c r="I305" s="584"/>
    </row>
    <row r="306" spans="2:9" s="580" customFormat="1" ht="14.1" customHeight="1">
      <c r="B306" s="602"/>
      <c r="C306" s="574" t="s">
        <v>12</v>
      </c>
      <c r="D306" s="1125" t="s">
        <v>730</v>
      </c>
      <c r="E306" s="1160"/>
      <c r="F306" s="1160"/>
      <c r="G306" s="1160"/>
      <c r="H306" s="1160"/>
      <c r="I306" s="305"/>
    </row>
    <row r="307" spans="2:9" s="580" customFormat="1" ht="14.1" customHeight="1">
      <c r="B307" s="602"/>
      <c r="C307" s="290" t="s">
        <v>13</v>
      </c>
      <c r="D307" s="1116" t="s">
        <v>816</v>
      </c>
      <c r="E307" s="1117"/>
      <c r="F307" s="1118"/>
      <c r="G307" s="1168" t="s">
        <v>740</v>
      </c>
      <c r="H307" s="1169"/>
      <c r="I307" s="306"/>
    </row>
    <row r="308" spans="2:9" s="580" customFormat="1" ht="14.1" customHeight="1" thickBot="1">
      <c r="B308" s="602"/>
      <c r="C308" s="291" t="s">
        <v>14</v>
      </c>
      <c r="D308" s="1119" t="s">
        <v>817</v>
      </c>
      <c r="E308" s="1120"/>
      <c r="F308" s="1120"/>
      <c r="G308" s="1120"/>
      <c r="H308" s="1120"/>
      <c r="I308" s="307"/>
    </row>
    <row r="309" spans="2:9" s="580" customFormat="1" ht="14.1" customHeight="1">
      <c r="B309" s="602"/>
      <c r="C309" s="295"/>
      <c r="D309" s="284"/>
      <c r="E309" s="295"/>
      <c r="F309" s="284"/>
      <c r="G309" s="284"/>
      <c r="H309" s="284"/>
      <c r="I309" s="316"/>
    </row>
    <row r="310" spans="2:9" s="567" customFormat="1" ht="15.95" customHeight="1" thickBot="1">
      <c r="B310" s="598">
        <v>17</v>
      </c>
      <c r="C310" s="566" t="s">
        <v>1149</v>
      </c>
      <c r="E310" s="596"/>
    </row>
    <row r="311" spans="2:9" s="580" customFormat="1" ht="35.1" customHeight="1" thickBot="1">
      <c r="B311" s="602"/>
      <c r="C311" s="507" t="s">
        <v>840</v>
      </c>
      <c r="D311" s="489" t="s">
        <v>841</v>
      </c>
      <c r="E311" s="489" t="s">
        <v>842</v>
      </c>
      <c r="F311" s="489" t="s">
        <v>843</v>
      </c>
      <c r="G311" s="489" t="s">
        <v>844</v>
      </c>
      <c r="H311" s="489" t="s">
        <v>845</v>
      </c>
      <c r="I311" s="496" t="s">
        <v>846</v>
      </c>
    </row>
    <row r="312" spans="2:9" s="580" customFormat="1" ht="14.1" customHeight="1">
      <c r="B312" s="602"/>
      <c r="C312" s="543" t="s">
        <v>7</v>
      </c>
      <c r="D312" s="289" t="s">
        <v>810</v>
      </c>
      <c r="E312" s="581"/>
      <c r="F312" s="299"/>
      <c r="G312" s="581"/>
      <c r="H312" s="581"/>
      <c r="I312" s="300"/>
    </row>
    <row r="313" spans="2:9" s="580" customFormat="1" ht="14.1" customHeight="1">
      <c r="B313" s="602"/>
      <c r="C313" s="298"/>
      <c r="D313" s="289" t="s">
        <v>10</v>
      </c>
      <c r="E313" s="285" t="s">
        <v>16</v>
      </c>
      <c r="F313" s="285" t="s">
        <v>726</v>
      </c>
      <c r="G313" s="286">
        <v>0.4</v>
      </c>
      <c r="H313" s="581"/>
      <c r="I313" s="300"/>
    </row>
    <row r="314" spans="2:9" s="580" customFormat="1" ht="14.1" customHeight="1">
      <c r="B314" s="602"/>
      <c r="C314" s="298"/>
      <c r="D314" s="289" t="s">
        <v>409</v>
      </c>
      <c r="E314" s="285" t="s">
        <v>21</v>
      </c>
      <c r="F314" s="285" t="s">
        <v>726</v>
      </c>
      <c r="G314" s="286">
        <v>0.2</v>
      </c>
      <c r="H314" s="581"/>
      <c r="I314" s="300"/>
    </row>
    <row r="315" spans="2:9" s="580" customFormat="1" ht="14.1" customHeight="1">
      <c r="B315" s="602"/>
      <c r="C315" s="298"/>
      <c r="D315" s="289" t="s">
        <v>942</v>
      </c>
      <c r="E315" s="285" t="s">
        <v>21</v>
      </c>
      <c r="F315" s="285" t="s">
        <v>726</v>
      </c>
      <c r="G315" s="286">
        <v>0.02</v>
      </c>
      <c r="H315" s="581"/>
      <c r="I315" s="300"/>
    </row>
    <row r="316" spans="2:9" s="580" customFormat="1" ht="14.1" customHeight="1">
      <c r="B316" s="602"/>
      <c r="C316" s="301"/>
      <c r="D316" s="177" t="s">
        <v>11</v>
      </c>
      <c r="E316" s="287" t="s">
        <v>17</v>
      </c>
      <c r="F316" s="287" t="s">
        <v>726</v>
      </c>
      <c r="G316" s="288">
        <v>2.1999999999999999E-2</v>
      </c>
      <c r="H316" s="586"/>
      <c r="I316" s="303"/>
    </row>
    <row r="317" spans="2:9" s="580" customFormat="1" ht="14.1" customHeight="1">
      <c r="B317" s="602"/>
      <c r="C317" s="609"/>
      <c r="D317" s="316"/>
      <c r="E317" s="593"/>
      <c r="F317" s="316"/>
      <c r="G317" s="1166" t="s">
        <v>727</v>
      </c>
      <c r="H317" s="1167"/>
      <c r="I317" s="584"/>
    </row>
    <row r="318" spans="2:9" s="580" customFormat="1" ht="14.1" customHeight="1">
      <c r="B318" s="602"/>
      <c r="C318" s="292" t="s">
        <v>8</v>
      </c>
      <c r="D318" s="293" t="s">
        <v>811</v>
      </c>
      <c r="E318" s="585"/>
      <c r="F318" s="296"/>
      <c r="G318" s="585"/>
      <c r="H318" s="585"/>
      <c r="I318" s="297"/>
    </row>
    <row r="319" spans="2:9" s="580" customFormat="1" ht="14.1" customHeight="1">
      <c r="B319" s="602"/>
      <c r="C319" s="298"/>
      <c r="D319" s="289" t="s">
        <v>156</v>
      </c>
      <c r="E319" s="581"/>
      <c r="F319" s="285" t="s">
        <v>734</v>
      </c>
      <c r="G319" s="286">
        <v>5.8879999999999999</v>
      </c>
      <c r="H319" s="581"/>
      <c r="I319" s="300"/>
    </row>
    <row r="320" spans="2:9" s="580" customFormat="1" ht="14.1" customHeight="1">
      <c r="B320" s="602"/>
      <c r="C320" s="301"/>
      <c r="D320" s="177" t="s">
        <v>1126</v>
      </c>
      <c r="E320" s="586"/>
      <c r="F320" s="586" t="s">
        <v>750</v>
      </c>
      <c r="G320" s="288">
        <v>3.5999999999999997E-2</v>
      </c>
      <c r="H320" s="586"/>
      <c r="I320" s="303"/>
    </row>
    <row r="321" spans="2:9" s="580" customFormat="1" ht="14.1" customHeight="1">
      <c r="B321" s="602"/>
      <c r="C321" s="609"/>
      <c r="D321" s="316"/>
      <c r="E321" s="593"/>
      <c r="F321" s="316"/>
      <c r="G321" s="1166" t="s">
        <v>728</v>
      </c>
      <c r="H321" s="1167"/>
      <c r="I321" s="631"/>
    </row>
    <row r="322" spans="2:9" s="580" customFormat="1" ht="14.1" customHeight="1">
      <c r="B322" s="602"/>
      <c r="C322" s="292" t="s">
        <v>9</v>
      </c>
      <c r="D322" s="293" t="s">
        <v>815</v>
      </c>
      <c r="E322" s="585"/>
      <c r="F322" s="296"/>
      <c r="G322" s="585"/>
      <c r="H322" s="585"/>
      <c r="I322" s="297"/>
    </row>
    <row r="323" spans="2:9" s="580" customFormat="1" ht="14.1" customHeight="1">
      <c r="B323" s="602"/>
      <c r="C323" s="301"/>
      <c r="D323" s="302"/>
      <c r="E323" s="586"/>
      <c r="F323" s="302"/>
      <c r="G323" s="586"/>
      <c r="H323" s="586"/>
      <c r="I323" s="303"/>
    </row>
    <row r="324" spans="2:9" s="580" customFormat="1" ht="14.1" customHeight="1">
      <c r="B324" s="602"/>
      <c r="C324" s="314"/>
      <c r="D324" s="582"/>
      <c r="E324" s="315"/>
      <c r="F324" s="590"/>
      <c r="G324" s="1166" t="s">
        <v>729</v>
      </c>
      <c r="H324" s="1167"/>
      <c r="I324" s="584"/>
    </row>
    <row r="325" spans="2:9" s="580" customFormat="1" ht="14.1" customHeight="1">
      <c r="B325" s="602"/>
      <c r="C325" s="574" t="s">
        <v>12</v>
      </c>
      <c r="D325" s="1125" t="s">
        <v>730</v>
      </c>
      <c r="E325" s="1160"/>
      <c r="F325" s="1160"/>
      <c r="G325" s="1160"/>
      <c r="H325" s="1160"/>
      <c r="I325" s="305"/>
    </row>
    <row r="326" spans="2:9" s="580" customFormat="1" ht="14.1" customHeight="1">
      <c r="B326" s="602"/>
      <c r="C326" s="290" t="s">
        <v>13</v>
      </c>
      <c r="D326" s="1116" t="s">
        <v>816</v>
      </c>
      <c r="E326" s="1117"/>
      <c r="F326" s="1118"/>
      <c r="G326" s="1168" t="s">
        <v>740</v>
      </c>
      <c r="H326" s="1169"/>
      <c r="I326" s="306"/>
    </row>
    <row r="327" spans="2:9" s="580" customFormat="1" ht="14.1" customHeight="1" thickBot="1">
      <c r="B327" s="602"/>
      <c r="C327" s="291" t="s">
        <v>14</v>
      </c>
      <c r="D327" s="1119" t="s">
        <v>817</v>
      </c>
      <c r="E327" s="1120"/>
      <c r="F327" s="1120"/>
      <c r="G327" s="1120"/>
      <c r="H327" s="1120"/>
      <c r="I327" s="307"/>
    </row>
    <row r="328" spans="2:9" s="580" customFormat="1" ht="14.1" customHeight="1">
      <c r="B328" s="602"/>
      <c r="C328" s="589"/>
      <c r="E328" s="589"/>
      <c r="G328" s="589"/>
      <c r="H328" s="589"/>
    </row>
    <row r="329" spans="2:9" s="567" customFormat="1" ht="15.95" customHeight="1" thickBot="1">
      <c r="B329" s="598">
        <v>18</v>
      </c>
      <c r="C329" s="566" t="s">
        <v>1150</v>
      </c>
      <c r="E329" s="596"/>
    </row>
    <row r="330" spans="2:9" s="580" customFormat="1" ht="35.1" customHeight="1" thickBot="1">
      <c r="B330" s="602"/>
      <c r="C330" s="334" t="s">
        <v>840</v>
      </c>
      <c r="D330" s="335" t="s">
        <v>841</v>
      </c>
      <c r="E330" s="335" t="s">
        <v>842</v>
      </c>
      <c r="F330" s="335" t="s">
        <v>843</v>
      </c>
      <c r="G330" s="335" t="s">
        <v>844</v>
      </c>
      <c r="H330" s="431" t="s">
        <v>845</v>
      </c>
      <c r="I330" s="337" t="s">
        <v>846</v>
      </c>
    </row>
    <row r="331" spans="2:9" s="580" customFormat="1" ht="14.1" customHeight="1">
      <c r="B331" s="602"/>
      <c r="C331" s="543" t="s">
        <v>7</v>
      </c>
      <c r="D331" s="289" t="s">
        <v>810</v>
      </c>
      <c r="E331" s="581"/>
      <c r="F331" s="299"/>
      <c r="G331" s="581"/>
      <c r="H331" s="581"/>
      <c r="I331" s="300"/>
    </row>
    <row r="332" spans="2:9" s="580" customFormat="1" ht="14.1" customHeight="1">
      <c r="B332" s="602"/>
      <c r="C332" s="298"/>
      <c r="D332" s="289" t="s">
        <v>10</v>
      </c>
      <c r="E332" s="285" t="s">
        <v>16</v>
      </c>
      <c r="F332" s="285" t="s">
        <v>726</v>
      </c>
      <c r="G332" s="286">
        <v>0.44</v>
      </c>
      <c r="H332" s="581"/>
      <c r="I332" s="300"/>
    </row>
    <row r="333" spans="2:9" s="580" customFormat="1" ht="14.1" customHeight="1">
      <c r="B333" s="602"/>
      <c r="C333" s="298"/>
      <c r="D333" s="289" t="s">
        <v>143</v>
      </c>
      <c r="E333" s="285" t="s">
        <v>21</v>
      </c>
      <c r="F333" s="285" t="s">
        <v>726</v>
      </c>
      <c r="G333" s="286">
        <v>0.22</v>
      </c>
      <c r="H333" s="581"/>
      <c r="I333" s="300"/>
    </row>
    <row r="334" spans="2:9" s="580" customFormat="1" ht="14.1" customHeight="1">
      <c r="B334" s="602"/>
      <c r="C334" s="298"/>
      <c r="D334" s="289" t="s">
        <v>20</v>
      </c>
      <c r="E334" s="285" t="s">
        <v>21</v>
      </c>
      <c r="F334" s="285" t="s">
        <v>726</v>
      </c>
      <c r="G334" s="286">
        <v>2.1999999999999999E-2</v>
      </c>
      <c r="H334" s="581"/>
      <c r="I334" s="300"/>
    </row>
    <row r="335" spans="2:9" s="580" customFormat="1" ht="14.1" customHeight="1">
      <c r="B335" s="602"/>
      <c r="C335" s="301"/>
      <c r="D335" s="177" t="s">
        <v>11</v>
      </c>
      <c r="E335" s="287" t="s">
        <v>17</v>
      </c>
      <c r="F335" s="287" t="s">
        <v>726</v>
      </c>
      <c r="G335" s="288">
        <v>2.1999999999999999E-2</v>
      </c>
      <c r="H335" s="586"/>
      <c r="I335" s="303"/>
    </row>
    <row r="336" spans="2:9" s="580" customFormat="1" ht="14.1" customHeight="1">
      <c r="B336" s="602"/>
      <c r="C336" s="609"/>
      <c r="D336" s="316"/>
      <c r="E336" s="593"/>
      <c r="F336" s="316"/>
      <c r="G336" s="1166" t="s">
        <v>727</v>
      </c>
      <c r="H336" s="1167"/>
      <c r="I336" s="584"/>
    </row>
    <row r="337" spans="2:9" s="580" customFormat="1" ht="14.1" customHeight="1">
      <c r="B337" s="602"/>
      <c r="C337" s="292" t="s">
        <v>8</v>
      </c>
      <c r="D337" s="293" t="s">
        <v>811</v>
      </c>
      <c r="E337" s="585"/>
      <c r="F337" s="296"/>
      <c r="G337" s="585"/>
      <c r="H337" s="585"/>
      <c r="I337" s="297"/>
    </row>
    <row r="338" spans="2:9" s="580" customFormat="1" ht="14.1" customHeight="1">
      <c r="B338" s="602"/>
      <c r="C338" s="298"/>
      <c r="D338" s="289" t="s">
        <v>1128</v>
      </c>
      <c r="E338" s="581"/>
      <c r="F338" s="581" t="s">
        <v>750</v>
      </c>
      <c r="G338" s="286">
        <v>8.9999999999999993E-3</v>
      </c>
      <c r="H338" s="581"/>
      <c r="I338" s="300"/>
    </row>
    <row r="339" spans="2:9" s="580" customFormat="1" ht="14.1" customHeight="1">
      <c r="B339" s="602"/>
      <c r="C339" s="298"/>
      <c r="D339" s="289" t="s">
        <v>1127</v>
      </c>
      <c r="E339" s="581"/>
      <c r="F339" s="581" t="s">
        <v>750</v>
      </c>
      <c r="G339" s="286">
        <v>8.9999999999999993E-3</v>
      </c>
      <c r="H339" s="581"/>
      <c r="I339" s="300"/>
    </row>
    <row r="340" spans="2:9" s="580" customFormat="1" ht="14.1" customHeight="1">
      <c r="B340" s="602"/>
      <c r="C340" s="301"/>
      <c r="D340" s="177" t="s">
        <v>1126</v>
      </c>
      <c r="E340" s="586"/>
      <c r="F340" s="586" t="s">
        <v>750</v>
      </c>
      <c r="G340" s="288">
        <v>1.7999999999999999E-2</v>
      </c>
      <c r="H340" s="586"/>
      <c r="I340" s="303"/>
    </row>
    <row r="341" spans="2:9" s="580" customFormat="1" ht="14.1" customHeight="1">
      <c r="B341" s="602"/>
      <c r="C341" s="609"/>
      <c r="D341" s="316"/>
      <c r="E341" s="593"/>
      <c r="F341" s="316"/>
      <c r="G341" s="1170" t="s">
        <v>728</v>
      </c>
      <c r="H341" s="1170"/>
      <c r="I341" s="631"/>
    </row>
    <row r="342" spans="2:9" s="580" customFormat="1" ht="14.1" customHeight="1">
      <c r="B342" s="602"/>
      <c r="C342" s="292" t="s">
        <v>9</v>
      </c>
      <c r="D342" s="293" t="s">
        <v>815</v>
      </c>
      <c r="E342" s="585"/>
      <c r="F342" s="296"/>
      <c r="G342" s="585"/>
      <c r="H342" s="585"/>
      <c r="I342" s="297"/>
    </row>
    <row r="343" spans="2:9" s="580" customFormat="1" ht="14.1" customHeight="1">
      <c r="B343" s="602"/>
      <c r="C343" s="301"/>
      <c r="D343" s="302"/>
      <c r="E343" s="586"/>
      <c r="F343" s="302"/>
      <c r="G343" s="586"/>
      <c r="H343" s="586"/>
      <c r="I343" s="303"/>
    </row>
    <row r="344" spans="2:9" s="580" customFormat="1" ht="14.1" customHeight="1">
      <c r="B344" s="602"/>
      <c r="C344" s="609"/>
      <c r="D344" s="316"/>
      <c r="E344" s="593"/>
      <c r="F344" s="316"/>
      <c r="G344" s="1166" t="s">
        <v>729</v>
      </c>
      <c r="H344" s="1167"/>
      <c r="I344" s="631"/>
    </row>
    <row r="345" spans="2:9" s="580" customFormat="1" ht="14.1" customHeight="1">
      <c r="B345" s="602"/>
      <c r="C345" s="290" t="s">
        <v>12</v>
      </c>
      <c r="D345" s="1113" t="s">
        <v>730</v>
      </c>
      <c r="E345" s="1114"/>
      <c r="F345" s="1114"/>
      <c r="G345" s="1160"/>
      <c r="H345" s="1160"/>
      <c r="I345" s="306"/>
    </row>
    <row r="346" spans="2:9" s="580" customFormat="1" ht="14.1" customHeight="1">
      <c r="B346" s="602"/>
      <c r="C346" s="290" t="s">
        <v>13</v>
      </c>
      <c r="D346" s="1116" t="s">
        <v>816</v>
      </c>
      <c r="E346" s="1117"/>
      <c r="F346" s="1118"/>
      <c r="G346" s="1168" t="s">
        <v>740</v>
      </c>
      <c r="H346" s="1169"/>
      <c r="I346" s="306"/>
    </row>
    <row r="347" spans="2:9" s="580" customFormat="1" ht="14.1" customHeight="1" thickBot="1">
      <c r="B347" s="602"/>
      <c r="C347" s="291" t="s">
        <v>14</v>
      </c>
      <c r="D347" s="1119" t="s">
        <v>817</v>
      </c>
      <c r="E347" s="1120"/>
      <c r="F347" s="1120"/>
      <c r="G347" s="1120"/>
      <c r="H347" s="1120"/>
      <c r="I347" s="307"/>
    </row>
    <row r="348" spans="2:9" s="580" customFormat="1" ht="14.1" customHeight="1">
      <c r="B348" s="602"/>
      <c r="C348" s="295"/>
      <c r="D348" s="284"/>
      <c r="E348" s="295"/>
      <c r="F348" s="284"/>
      <c r="G348" s="284"/>
      <c r="H348" s="284"/>
      <c r="I348" s="316"/>
    </row>
    <row r="349" spans="2:9" s="567" customFormat="1" ht="15.95" customHeight="1" thickBot="1">
      <c r="B349" s="598">
        <v>19</v>
      </c>
      <c r="C349" s="566" t="s">
        <v>1151</v>
      </c>
      <c r="E349" s="596"/>
    </row>
    <row r="350" spans="2:9" s="580" customFormat="1" ht="35.1" customHeight="1" thickBot="1">
      <c r="B350" s="602"/>
      <c r="C350" s="334" t="s">
        <v>840</v>
      </c>
      <c r="D350" s="335" t="s">
        <v>841</v>
      </c>
      <c r="E350" s="335" t="s">
        <v>842</v>
      </c>
      <c r="F350" s="335" t="s">
        <v>843</v>
      </c>
      <c r="G350" s="335" t="s">
        <v>844</v>
      </c>
      <c r="H350" s="431" t="s">
        <v>845</v>
      </c>
      <c r="I350" s="337" t="s">
        <v>846</v>
      </c>
    </row>
    <row r="351" spans="2:9" s="580" customFormat="1" ht="14.1" customHeight="1">
      <c r="B351" s="602"/>
      <c r="C351" s="543" t="s">
        <v>7</v>
      </c>
      <c r="D351" s="289" t="s">
        <v>810</v>
      </c>
      <c r="E351" s="581"/>
      <c r="F351" s="299"/>
      <c r="G351" s="581"/>
      <c r="H351" s="581"/>
      <c r="I351" s="300"/>
    </row>
    <row r="352" spans="2:9" s="580" customFormat="1" ht="14.1" customHeight="1">
      <c r="B352" s="602"/>
      <c r="C352" s="298"/>
      <c r="D352" s="289" t="s">
        <v>10</v>
      </c>
      <c r="E352" s="285" t="s">
        <v>16</v>
      </c>
      <c r="F352" s="285" t="s">
        <v>726</v>
      </c>
      <c r="G352" s="286">
        <v>0.15</v>
      </c>
      <c r="H352" s="581"/>
      <c r="I352" s="300"/>
    </row>
    <row r="353" spans="2:9" s="580" customFormat="1" ht="14.1" customHeight="1">
      <c r="B353" s="602"/>
      <c r="C353" s="298"/>
      <c r="D353" s="289" t="s">
        <v>143</v>
      </c>
      <c r="E353" s="285" t="s">
        <v>21</v>
      </c>
      <c r="F353" s="285" t="s">
        <v>726</v>
      </c>
      <c r="G353" s="286">
        <v>7.4999999999999997E-2</v>
      </c>
      <c r="H353" s="581"/>
      <c r="I353" s="300"/>
    </row>
    <row r="354" spans="2:9" s="580" customFormat="1" ht="14.1" customHeight="1">
      <c r="B354" s="602"/>
      <c r="C354" s="298"/>
      <c r="D354" s="289" t="s">
        <v>20</v>
      </c>
      <c r="E354" s="285" t="s">
        <v>21</v>
      </c>
      <c r="F354" s="285" t="s">
        <v>726</v>
      </c>
      <c r="G354" s="286">
        <v>8.0000000000000002E-3</v>
      </c>
      <c r="H354" s="581"/>
      <c r="I354" s="300"/>
    </row>
    <row r="355" spans="2:9" s="580" customFormat="1" ht="14.1" customHeight="1">
      <c r="B355" s="602"/>
      <c r="C355" s="301"/>
      <c r="D355" s="177" t="s">
        <v>11</v>
      </c>
      <c r="E355" s="287" t="s">
        <v>17</v>
      </c>
      <c r="F355" s="287" t="s">
        <v>726</v>
      </c>
      <c r="G355" s="288">
        <v>8.0000000000000002E-3</v>
      </c>
      <c r="H355" s="586"/>
      <c r="I355" s="303"/>
    </row>
    <row r="356" spans="2:9" s="580" customFormat="1" ht="14.1" customHeight="1">
      <c r="B356" s="602"/>
      <c r="C356" s="609"/>
      <c r="D356" s="316"/>
      <c r="E356" s="593"/>
      <c r="F356" s="316"/>
      <c r="G356" s="1166" t="s">
        <v>727</v>
      </c>
      <c r="H356" s="1167"/>
      <c r="I356" s="584"/>
    </row>
    <row r="357" spans="2:9" s="580" customFormat="1" ht="14.1" customHeight="1">
      <c r="B357" s="602"/>
      <c r="C357" s="292" t="s">
        <v>8</v>
      </c>
      <c r="D357" s="293" t="s">
        <v>811</v>
      </c>
      <c r="E357" s="585"/>
      <c r="F357" s="296"/>
      <c r="G357" s="585"/>
      <c r="H357" s="585"/>
      <c r="I357" s="297"/>
    </row>
    <row r="358" spans="2:9" s="580" customFormat="1" ht="14.1" customHeight="1">
      <c r="B358" s="602"/>
      <c r="C358" s="298"/>
      <c r="D358" s="289" t="s">
        <v>156</v>
      </c>
      <c r="E358" s="581"/>
      <c r="F358" s="285" t="s">
        <v>734</v>
      </c>
      <c r="G358" s="286">
        <v>5.1840000000000002</v>
      </c>
      <c r="H358" s="581"/>
      <c r="I358" s="300"/>
    </row>
    <row r="359" spans="2:9" s="580" customFormat="1" ht="14.1" customHeight="1">
      <c r="B359" s="602"/>
      <c r="C359" s="301"/>
      <c r="D359" s="177" t="s">
        <v>1126</v>
      </c>
      <c r="E359" s="586"/>
      <c r="F359" s="586" t="s">
        <v>750</v>
      </c>
      <c r="G359" s="288">
        <v>2.5999999999999999E-2</v>
      </c>
      <c r="H359" s="586"/>
      <c r="I359" s="303"/>
    </row>
    <row r="360" spans="2:9" s="580" customFormat="1" ht="14.1" customHeight="1">
      <c r="B360" s="602"/>
      <c r="C360" s="609"/>
      <c r="D360" s="316"/>
      <c r="E360" s="593"/>
      <c r="F360" s="316"/>
      <c r="G360" s="1166" t="s">
        <v>728</v>
      </c>
      <c r="H360" s="1167"/>
      <c r="I360" s="584"/>
    </row>
    <row r="361" spans="2:9" s="580" customFormat="1" ht="14.1" customHeight="1">
      <c r="B361" s="602"/>
      <c r="C361" s="292" t="s">
        <v>9</v>
      </c>
      <c r="D361" s="293" t="s">
        <v>815</v>
      </c>
      <c r="E361" s="585"/>
      <c r="F361" s="296"/>
      <c r="G361" s="585"/>
      <c r="H361" s="585"/>
      <c r="I361" s="297"/>
    </row>
    <row r="362" spans="2:9" s="580" customFormat="1" ht="14.1" customHeight="1">
      <c r="B362" s="602"/>
      <c r="C362" s="301"/>
      <c r="D362" s="302"/>
      <c r="E362" s="586"/>
      <c r="F362" s="302"/>
      <c r="G362" s="586"/>
      <c r="H362" s="586"/>
      <c r="I362" s="303"/>
    </row>
    <row r="363" spans="2:9" s="580" customFormat="1" ht="14.1" customHeight="1">
      <c r="B363" s="602"/>
      <c r="C363" s="314"/>
      <c r="D363" s="582"/>
      <c r="E363" s="315"/>
      <c r="F363" s="590"/>
      <c r="G363" s="1166" t="s">
        <v>729</v>
      </c>
      <c r="H363" s="1167"/>
      <c r="I363" s="584"/>
    </row>
    <row r="364" spans="2:9" s="580" customFormat="1" ht="14.1" customHeight="1">
      <c r="B364" s="602"/>
      <c r="C364" s="574" t="s">
        <v>12</v>
      </c>
      <c r="D364" s="1125" t="s">
        <v>730</v>
      </c>
      <c r="E364" s="1160"/>
      <c r="F364" s="1160"/>
      <c r="G364" s="1160"/>
      <c r="H364" s="1160"/>
      <c r="I364" s="305"/>
    </row>
    <row r="365" spans="2:9" s="580" customFormat="1" ht="14.1" customHeight="1">
      <c r="B365" s="602"/>
      <c r="C365" s="290" t="s">
        <v>13</v>
      </c>
      <c r="D365" s="1116" t="s">
        <v>816</v>
      </c>
      <c r="E365" s="1117"/>
      <c r="F365" s="1118"/>
      <c r="G365" s="1168" t="s">
        <v>740</v>
      </c>
      <c r="H365" s="1169"/>
      <c r="I365" s="306"/>
    </row>
    <row r="366" spans="2:9" s="580" customFormat="1" ht="14.1" customHeight="1" thickBot="1">
      <c r="B366" s="602"/>
      <c r="C366" s="291" t="s">
        <v>14</v>
      </c>
      <c r="D366" s="1119" t="s">
        <v>817</v>
      </c>
      <c r="E366" s="1120"/>
      <c r="F366" s="1120"/>
      <c r="G366" s="1120"/>
      <c r="H366" s="1120"/>
      <c r="I366" s="307"/>
    </row>
    <row r="367" spans="2:9" s="580" customFormat="1" ht="14.1" customHeight="1">
      <c r="B367" s="602"/>
      <c r="C367" s="589"/>
      <c r="E367" s="589"/>
      <c r="G367" s="589"/>
      <c r="H367" s="589"/>
    </row>
    <row r="368" spans="2:9" s="743" customFormat="1" ht="15.95" customHeight="1" thickBot="1">
      <c r="B368" s="598">
        <v>20</v>
      </c>
      <c r="C368" s="745" t="s">
        <v>1152</v>
      </c>
      <c r="E368" s="596"/>
    </row>
    <row r="369" spans="2:9" s="580" customFormat="1" ht="35.1" customHeight="1" thickBot="1">
      <c r="B369" s="602"/>
      <c r="C369" s="334" t="s">
        <v>840</v>
      </c>
      <c r="D369" s="335" t="s">
        <v>841</v>
      </c>
      <c r="E369" s="335" t="s">
        <v>842</v>
      </c>
      <c r="F369" s="335" t="s">
        <v>843</v>
      </c>
      <c r="G369" s="335" t="s">
        <v>844</v>
      </c>
      <c r="H369" s="335" t="s">
        <v>845</v>
      </c>
      <c r="I369" s="337" t="s">
        <v>846</v>
      </c>
    </row>
    <row r="370" spans="2:9" s="580" customFormat="1" ht="14.1" customHeight="1">
      <c r="B370" s="602"/>
      <c r="C370" s="543" t="s">
        <v>7</v>
      </c>
      <c r="D370" s="289" t="s">
        <v>810</v>
      </c>
      <c r="E370" s="581"/>
      <c r="F370" s="299"/>
      <c r="G370" s="581"/>
      <c r="H370" s="581"/>
      <c r="I370" s="300"/>
    </row>
    <row r="371" spans="2:9" s="580" customFormat="1" ht="14.1" customHeight="1">
      <c r="B371" s="602"/>
      <c r="C371" s="298"/>
      <c r="D371" s="289" t="s">
        <v>10</v>
      </c>
      <c r="E371" s="285" t="s">
        <v>16</v>
      </c>
      <c r="F371" s="285" t="s">
        <v>726</v>
      </c>
      <c r="G371" s="286">
        <v>0.08</v>
      </c>
      <c r="H371" s="581"/>
      <c r="I371" s="300"/>
    </row>
    <row r="372" spans="2:9" s="580" customFormat="1" ht="14.1" customHeight="1">
      <c r="B372" s="602"/>
      <c r="C372" s="298"/>
      <c r="D372" s="289" t="s">
        <v>143</v>
      </c>
      <c r="E372" s="285" t="s">
        <v>21</v>
      </c>
      <c r="F372" s="285" t="s">
        <v>726</v>
      </c>
      <c r="G372" s="286">
        <v>0.4</v>
      </c>
      <c r="H372" s="581"/>
      <c r="I372" s="300"/>
    </row>
    <row r="373" spans="2:9" s="580" customFormat="1" ht="14.1" customHeight="1">
      <c r="B373" s="602"/>
      <c r="C373" s="298"/>
      <c r="D373" s="289" t="s">
        <v>20</v>
      </c>
      <c r="E373" s="285" t="s">
        <v>21</v>
      </c>
      <c r="F373" s="285" t="s">
        <v>726</v>
      </c>
      <c r="G373" s="286">
        <v>0.04</v>
      </c>
      <c r="H373" s="581"/>
      <c r="I373" s="300"/>
    </row>
    <row r="374" spans="2:9" s="580" customFormat="1" ht="14.1" customHeight="1">
      <c r="B374" s="602"/>
      <c r="C374" s="301"/>
      <c r="D374" s="177" t="s">
        <v>11</v>
      </c>
      <c r="E374" s="287" t="s">
        <v>17</v>
      </c>
      <c r="F374" s="287" t="s">
        <v>726</v>
      </c>
      <c r="G374" s="288">
        <v>4.0000000000000001E-3</v>
      </c>
      <c r="H374" s="586"/>
      <c r="I374" s="303"/>
    </row>
    <row r="375" spans="2:9" s="580" customFormat="1" ht="14.1" customHeight="1">
      <c r="B375" s="602"/>
      <c r="C375" s="609"/>
      <c r="D375" s="316"/>
      <c r="E375" s="593"/>
      <c r="F375" s="316"/>
      <c r="G375" s="1170" t="s">
        <v>727</v>
      </c>
      <c r="H375" s="1170"/>
      <c r="I375" s="631"/>
    </row>
    <row r="376" spans="2:9" s="580" customFormat="1" ht="14.1" customHeight="1">
      <c r="B376" s="602"/>
      <c r="C376" s="292" t="s">
        <v>8</v>
      </c>
      <c r="D376" s="293" t="s">
        <v>811</v>
      </c>
      <c r="E376" s="585"/>
      <c r="F376" s="296"/>
      <c r="G376" s="585"/>
      <c r="H376" s="585"/>
      <c r="I376" s="297"/>
    </row>
    <row r="377" spans="2:9" s="580" customFormat="1" ht="14.1" customHeight="1">
      <c r="B377" s="602"/>
      <c r="C377" s="298"/>
      <c r="D377" s="289" t="s">
        <v>812</v>
      </c>
      <c r="E377" s="581"/>
      <c r="F377" s="285" t="s">
        <v>734</v>
      </c>
      <c r="G377" s="286">
        <v>0.5</v>
      </c>
      <c r="H377" s="581"/>
      <c r="I377" s="300"/>
    </row>
    <row r="378" spans="2:9" s="580" customFormat="1" ht="14.1" customHeight="1">
      <c r="B378" s="602"/>
      <c r="C378" s="301"/>
      <c r="D378" s="177" t="s">
        <v>211</v>
      </c>
      <c r="E378" s="586"/>
      <c r="F378" s="586" t="s">
        <v>750</v>
      </c>
      <c r="G378" s="288">
        <v>1.2999999999999999E-2</v>
      </c>
      <c r="H378" s="586"/>
      <c r="I378" s="303"/>
    </row>
    <row r="379" spans="2:9" s="580" customFormat="1" ht="14.1" customHeight="1">
      <c r="B379" s="602"/>
      <c r="C379" s="609"/>
      <c r="D379" s="316"/>
      <c r="E379" s="593"/>
      <c r="F379" s="316"/>
      <c r="G379" s="1166" t="s">
        <v>728</v>
      </c>
      <c r="H379" s="1167"/>
      <c r="I379" s="584"/>
    </row>
    <row r="380" spans="2:9" s="580" customFormat="1" ht="14.1" customHeight="1">
      <c r="B380" s="602"/>
      <c r="C380" s="292" t="s">
        <v>9</v>
      </c>
      <c r="D380" s="293" t="s">
        <v>815</v>
      </c>
      <c r="E380" s="585"/>
      <c r="F380" s="296"/>
      <c r="G380" s="585"/>
      <c r="H380" s="585"/>
      <c r="I380" s="297"/>
    </row>
    <row r="381" spans="2:9" s="580" customFormat="1" ht="14.1" customHeight="1">
      <c r="B381" s="602"/>
      <c r="C381" s="301"/>
      <c r="D381" s="302"/>
      <c r="E381" s="586"/>
      <c r="F381" s="302"/>
      <c r="G381" s="586"/>
      <c r="H381" s="586"/>
      <c r="I381" s="303"/>
    </row>
    <row r="382" spans="2:9" s="580" customFormat="1" ht="14.1" customHeight="1">
      <c r="B382" s="602"/>
      <c r="C382" s="609"/>
      <c r="D382" s="316"/>
      <c r="E382" s="593"/>
      <c r="F382" s="316"/>
      <c r="G382" s="1166" t="s">
        <v>729</v>
      </c>
      <c r="H382" s="1167"/>
      <c r="I382" s="584"/>
    </row>
    <row r="383" spans="2:9" s="580" customFormat="1" ht="14.1" customHeight="1">
      <c r="B383" s="602"/>
      <c r="C383" s="290" t="s">
        <v>12</v>
      </c>
      <c r="D383" s="1113" t="s">
        <v>730</v>
      </c>
      <c r="E383" s="1114"/>
      <c r="F383" s="1114"/>
      <c r="G383" s="1160"/>
      <c r="H383" s="1126"/>
      <c r="I383" s="305"/>
    </row>
    <row r="384" spans="2:9" s="580" customFormat="1" ht="14.1" customHeight="1">
      <c r="B384" s="602"/>
      <c r="C384" s="290" t="s">
        <v>13</v>
      </c>
      <c r="D384" s="1116" t="s">
        <v>816</v>
      </c>
      <c r="E384" s="1117"/>
      <c r="F384" s="1118"/>
      <c r="G384" s="1168" t="s">
        <v>740</v>
      </c>
      <c r="H384" s="1171"/>
      <c r="I384" s="306"/>
    </row>
    <row r="385" spans="2:9" s="580" customFormat="1" ht="14.1" customHeight="1" thickBot="1">
      <c r="B385" s="602"/>
      <c r="C385" s="291" t="s">
        <v>14</v>
      </c>
      <c r="D385" s="1119" t="s">
        <v>817</v>
      </c>
      <c r="E385" s="1120"/>
      <c r="F385" s="1120"/>
      <c r="G385" s="1120"/>
      <c r="H385" s="1121"/>
      <c r="I385" s="307"/>
    </row>
    <row r="386" spans="2:9" s="580" customFormat="1" ht="14.1" customHeight="1">
      <c r="B386" s="602"/>
      <c r="C386" s="295"/>
      <c r="D386" s="284"/>
      <c r="E386" s="295"/>
      <c r="F386" s="284"/>
      <c r="G386" s="284"/>
      <c r="H386" s="284"/>
      <c r="I386" s="316"/>
    </row>
    <row r="387" spans="2:9" s="567" customFormat="1" ht="15.95" customHeight="1" thickBot="1">
      <c r="B387" s="598">
        <v>21</v>
      </c>
      <c r="C387" s="566" t="s">
        <v>1153</v>
      </c>
      <c r="E387" s="596"/>
    </row>
    <row r="388" spans="2:9" s="580" customFormat="1" ht="35.1" customHeight="1" thickBot="1">
      <c r="B388" s="602"/>
      <c r="C388" s="334" t="s">
        <v>840</v>
      </c>
      <c r="D388" s="335" t="s">
        <v>841</v>
      </c>
      <c r="E388" s="335" t="s">
        <v>842</v>
      </c>
      <c r="F388" s="335" t="s">
        <v>843</v>
      </c>
      <c r="G388" s="335" t="s">
        <v>844</v>
      </c>
      <c r="H388" s="335" t="s">
        <v>845</v>
      </c>
      <c r="I388" s="337" t="s">
        <v>846</v>
      </c>
    </row>
    <row r="389" spans="2:9" s="580" customFormat="1" ht="14.1" customHeight="1">
      <c r="B389" s="602"/>
      <c r="C389" s="543" t="s">
        <v>7</v>
      </c>
      <c r="D389" s="289" t="s">
        <v>810</v>
      </c>
      <c r="E389" s="581"/>
      <c r="F389" s="299"/>
      <c r="G389" s="581"/>
      <c r="H389" s="581"/>
      <c r="I389" s="300"/>
    </row>
    <row r="390" spans="2:9" s="580" customFormat="1" ht="14.1" customHeight="1">
      <c r="B390" s="602"/>
      <c r="C390" s="298"/>
      <c r="D390" s="289" t="s">
        <v>10</v>
      </c>
      <c r="E390" s="285" t="s">
        <v>16</v>
      </c>
      <c r="F390" s="285" t="s">
        <v>726</v>
      </c>
      <c r="G390" s="286">
        <v>0.45</v>
      </c>
      <c r="H390" s="581"/>
      <c r="I390" s="300"/>
    </row>
    <row r="391" spans="2:9" s="580" customFormat="1" ht="14.1" customHeight="1">
      <c r="B391" s="602"/>
      <c r="C391" s="298"/>
      <c r="D391" s="289" t="s">
        <v>143</v>
      </c>
      <c r="E391" s="285" t="s">
        <v>21</v>
      </c>
      <c r="F391" s="285" t="s">
        <v>726</v>
      </c>
      <c r="G391" s="286">
        <v>0.22500000000000001</v>
      </c>
      <c r="H391" s="581"/>
      <c r="I391" s="300"/>
    </row>
    <row r="392" spans="2:9" s="580" customFormat="1" ht="14.1" customHeight="1">
      <c r="B392" s="602"/>
      <c r="C392" s="298"/>
      <c r="D392" s="289" t="s">
        <v>20</v>
      </c>
      <c r="E392" s="285" t="s">
        <v>21</v>
      </c>
      <c r="F392" s="285" t="s">
        <v>726</v>
      </c>
      <c r="G392" s="286">
        <v>2.3E-2</v>
      </c>
      <c r="H392" s="581"/>
      <c r="I392" s="300"/>
    </row>
    <row r="393" spans="2:9" s="580" customFormat="1" ht="14.1" customHeight="1">
      <c r="B393" s="602"/>
      <c r="C393" s="301"/>
      <c r="D393" s="177" t="s">
        <v>11</v>
      </c>
      <c r="E393" s="287" t="s">
        <v>17</v>
      </c>
      <c r="F393" s="287" t="s">
        <v>726</v>
      </c>
      <c r="G393" s="288">
        <v>2.3E-2</v>
      </c>
      <c r="H393" s="586"/>
      <c r="I393" s="303"/>
    </row>
    <row r="394" spans="2:9" s="580" customFormat="1" ht="14.1" customHeight="1">
      <c r="B394" s="602"/>
      <c r="C394" s="609"/>
      <c r="D394" s="316"/>
      <c r="E394" s="593"/>
      <c r="F394" s="316"/>
      <c r="G394" s="1166" t="s">
        <v>727</v>
      </c>
      <c r="H394" s="1167"/>
      <c r="I394" s="631"/>
    </row>
    <row r="395" spans="2:9" s="580" customFormat="1" ht="14.1" customHeight="1">
      <c r="B395" s="602"/>
      <c r="C395" s="292" t="s">
        <v>8</v>
      </c>
      <c r="D395" s="293" t="s">
        <v>811</v>
      </c>
      <c r="E395" s="585"/>
      <c r="F395" s="296"/>
      <c r="G395" s="585"/>
      <c r="H395" s="585"/>
      <c r="I395" s="297"/>
    </row>
    <row r="396" spans="2:9" s="580" customFormat="1" ht="14.1" customHeight="1">
      <c r="B396" s="602"/>
      <c r="C396" s="298"/>
      <c r="D396" s="289" t="s">
        <v>812</v>
      </c>
      <c r="E396" s="581"/>
      <c r="F396" s="285" t="s">
        <v>734</v>
      </c>
      <c r="G396" s="286">
        <v>10</v>
      </c>
      <c r="H396" s="581"/>
      <c r="I396" s="300"/>
    </row>
    <row r="397" spans="2:9" s="580" customFormat="1" ht="14.1" customHeight="1">
      <c r="B397" s="602"/>
      <c r="C397" s="301"/>
      <c r="D397" s="177" t="s">
        <v>1129</v>
      </c>
      <c r="E397" s="586"/>
      <c r="F397" s="287" t="s">
        <v>734</v>
      </c>
      <c r="G397" s="288">
        <v>15</v>
      </c>
      <c r="H397" s="586"/>
      <c r="I397" s="303"/>
    </row>
    <row r="398" spans="2:9" s="580" customFormat="1" ht="14.1" customHeight="1">
      <c r="B398" s="602"/>
      <c r="C398" s="609"/>
      <c r="D398" s="316"/>
      <c r="E398" s="593"/>
      <c r="F398" s="316"/>
      <c r="G398" s="1166" t="s">
        <v>728</v>
      </c>
      <c r="H398" s="1167"/>
      <c r="I398" s="631"/>
    </row>
    <row r="399" spans="2:9" s="580" customFormat="1" ht="14.1" customHeight="1">
      <c r="B399" s="602"/>
      <c r="C399" s="292" t="s">
        <v>9</v>
      </c>
      <c r="D399" s="293" t="s">
        <v>815</v>
      </c>
      <c r="E399" s="585"/>
      <c r="F399" s="296"/>
      <c r="G399" s="585"/>
      <c r="H399" s="585"/>
      <c r="I399" s="297"/>
    </row>
    <row r="400" spans="2:9" s="580" customFormat="1" ht="14.1" customHeight="1">
      <c r="B400" s="602"/>
      <c r="C400" s="301"/>
      <c r="D400" s="302"/>
      <c r="E400" s="586"/>
      <c r="F400" s="302"/>
      <c r="G400" s="586"/>
      <c r="H400" s="586"/>
      <c r="I400" s="303"/>
    </row>
    <row r="401" spans="2:9" s="580" customFormat="1" ht="14.1" customHeight="1">
      <c r="B401" s="602"/>
      <c r="C401" s="314"/>
      <c r="D401" s="582"/>
      <c r="E401" s="315"/>
      <c r="F401" s="590"/>
      <c r="G401" s="1166" t="s">
        <v>729</v>
      </c>
      <c r="H401" s="1167"/>
      <c r="I401" s="584"/>
    </row>
    <row r="402" spans="2:9" s="580" customFormat="1" ht="14.1" customHeight="1">
      <c r="B402" s="602"/>
      <c r="C402" s="574" t="s">
        <v>12</v>
      </c>
      <c r="D402" s="1125" t="s">
        <v>730</v>
      </c>
      <c r="E402" s="1160"/>
      <c r="F402" s="1160"/>
      <c r="G402" s="1160"/>
      <c r="H402" s="1126"/>
      <c r="I402" s="305"/>
    </row>
    <row r="403" spans="2:9" s="580" customFormat="1" ht="14.1" customHeight="1">
      <c r="B403" s="602"/>
      <c r="C403" s="290" t="s">
        <v>13</v>
      </c>
      <c r="D403" s="1116" t="s">
        <v>816</v>
      </c>
      <c r="E403" s="1117"/>
      <c r="F403" s="1118"/>
      <c r="G403" s="1168" t="s">
        <v>740</v>
      </c>
      <c r="H403" s="1171"/>
      <c r="I403" s="306"/>
    </row>
    <row r="404" spans="2:9" s="580" customFormat="1" ht="14.1" customHeight="1" thickBot="1">
      <c r="B404" s="602"/>
      <c r="C404" s="291" t="s">
        <v>14</v>
      </c>
      <c r="D404" s="1119" t="s">
        <v>817</v>
      </c>
      <c r="E404" s="1120"/>
      <c r="F404" s="1120"/>
      <c r="G404" s="1120"/>
      <c r="H404" s="1121"/>
      <c r="I404" s="307"/>
    </row>
    <row r="405" spans="2:9" s="580" customFormat="1" ht="14.1" customHeight="1">
      <c r="B405" s="602"/>
      <c r="C405" s="589"/>
      <c r="E405" s="589"/>
      <c r="G405" s="589"/>
      <c r="H405" s="589"/>
    </row>
    <row r="406" spans="2:9" s="567" customFormat="1" ht="15.95" customHeight="1" thickBot="1">
      <c r="B406" s="598">
        <v>22</v>
      </c>
      <c r="C406" s="566" t="s">
        <v>1154</v>
      </c>
      <c r="E406" s="596"/>
    </row>
    <row r="407" spans="2:9" s="580" customFormat="1" ht="35.1" customHeight="1" thickBot="1">
      <c r="B407" s="602"/>
      <c r="C407" s="334" t="s">
        <v>840</v>
      </c>
      <c r="D407" s="335" t="s">
        <v>841</v>
      </c>
      <c r="E407" s="335" t="s">
        <v>842</v>
      </c>
      <c r="F407" s="335" t="s">
        <v>843</v>
      </c>
      <c r="G407" s="335" t="s">
        <v>844</v>
      </c>
      <c r="H407" s="431" t="s">
        <v>845</v>
      </c>
      <c r="I407" s="337" t="s">
        <v>846</v>
      </c>
    </row>
    <row r="408" spans="2:9" s="580" customFormat="1" ht="14.1" customHeight="1">
      <c r="B408" s="602"/>
      <c r="C408" s="491" t="s">
        <v>7</v>
      </c>
      <c r="D408" s="365" t="s">
        <v>810</v>
      </c>
      <c r="E408" s="383"/>
      <c r="F408" s="382"/>
      <c r="G408" s="383"/>
      <c r="H408" s="383"/>
      <c r="I408" s="384"/>
    </row>
    <row r="409" spans="2:9" s="580" customFormat="1" ht="14.1" customHeight="1">
      <c r="B409" s="602"/>
      <c r="C409" s="385"/>
      <c r="D409" s="365" t="s">
        <v>10</v>
      </c>
      <c r="E409" s="351" t="s">
        <v>16</v>
      </c>
      <c r="F409" s="351" t="s">
        <v>726</v>
      </c>
      <c r="G409" s="352">
        <v>0.45</v>
      </c>
      <c r="H409" s="383"/>
      <c r="I409" s="384"/>
    </row>
    <row r="410" spans="2:9" s="580" customFormat="1" ht="14.1" customHeight="1">
      <c r="B410" s="602"/>
      <c r="C410" s="385"/>
      <c r="D410" s="365" t="s">
        <v>143</v>
      </c>
      <c r="E410" s="351" t="s">
        <v>21</v>
      </c>
      <c r="F410" s="351" t="s">
        <v>726</v>
      </c>
      <c r="G410" s="352">
        <v>0.22500000000000001</v>
      </c>
      <c r="H410" s="383"/>
      <c r="I410" s="384"/>
    </row>
    <row r="411" spans="2:9" s="580" customFormat="1" ht="14.1" customHeight="1">
      <c r="B411" s="602"/>
      <c r="C411" s="385"/>
      <c r="D411" s="365" t="s">
        <v>20</v>
      </c>
      <c r="E411" s="351" t="s">
        <v>21</v>
      </c>
      <c r="F411" s="351" t="s">
        <v>726</v>
      </c>
      <c r="G411" s="352">
        <v>2.3E-2</v>
      </c>
      <c r="H411" s="383"/>
      <c r="I411" s="384"/>
    </row>
    <row r="412" spans="2:9" s="580" customFormat="1" ht="14.1" customHeight="1">
      <c r="B412" s="602"/>
      <c r="C412" s="386"/>
      <c r="D412" s="387" t="s">
        <v>11</v>
      </c>
      <c r="E412" s="354" t="s">
        <v>17</v>
      </c>
      <c r="F412" s="354" t="s">
        <v>726</v>
      </c>
      <c r="G412" s="355">
        <v>2.3E-2</v>
      </c>
      <c r="H412" s="459"/>
      <c r="I412" s="389"/>
    </row>
    <row r="413" spans="2:9" s="580" customFormat="1" ht="14.1" customHeight="1">
      <c r="B413" s="602"/>
      <c r="C413" s="443"/>
      <c r="D413" s="440"/>
      <c r="E413" s="635"/>
      <c r="F413" s="440"/>
      <c r="G413" s="1180" t="s">
        <v>727</v>
      </c>
      <c r="H413" s="1181"/>
      <c r="I413" s="395"/>
    </row>
    <row r="414" spans="2:9" s="580" customFormat="1" ht="14.1" customHeight="1">
      <c r="B414" s="602"/>
      <c r="C414" s="457" t="s">
        <v>8</v>
      </c>
      <c r="D414" s="458" t="s">
        <v>811</v>
      </c>
      <c r="E414" s="394"/>
      <c r="F414" s="393"/>
      <c r="G414" s="394"/>
      <c r="H414" s="394"/>
      <c r="I414" s="436"/>
    </row>
    <row r="415" spans="2:9" s="580" customFormat="1" ht="14.1" customHeight="1">
      <c r="B415" s="602"/>
      <c r="C415" s="385"/>
      <c r="D415" s="365" t="s">
        <v>812</v>
      </c>
      <c r="E415" s="383"/>
      <c r="F415" s="351" t="s">
        <v>734</v>
      </c>
      <c r="G415" s="352">
        <v>10</v>
      </c>
      <c r="H415" s="383"/>
      <c r="I415" s="384"/>
    </row>
    <row r="416" spans="2:9" s="580" customFormat="1" ht="14.1" customHeight="1">
      <c r="B416" s="602"/>
      <c r="C416" s="386"/>
      <c r="D416" s="387" t="s">
        <v>1130</v>
      </c>
      <c r="E416" s="459"/>
      <c r="F416" s="354" t="s">
        <v>734</v>
      </c>
      <c r="G416" s="355">
        <v>15</v>
      </c>
      <c r="H416" s="459"/>
      <c r="I416" s="389"/>
    </row>
    <row r="417" spans="2:9" s="580" customFormat="1" ht="14.1" customHeight="1">
      <c r="B417" s="602"/>
      <c r="C417" s="443"/>
      <c r="D417" s="440"/>
      <c r="E417" s="635"/>
      <c r="F417" s="440"/>
      <c r="G417" s="1180" t="s">
        <v>728</v>
      </c>
      <c r="H417" s="1181"/>
      <c r="I417" s="395"/>
    </row>
    <row r="418" spans="2:9" s="580" customFormat="1" ht="14.1" customHeight="1">
      <c r="B418" s="602"/>
      <c r="C418" s="457" t="s">
        <v>9</v>
      </c>
      <c r="D418" s="458" t="s">
        <v>815</v>
      </c>
      <c r="E418" s="394"/>
      <c r="F418" s="393"/>
      <c r="G418" s="394"/>
      <c r="H418" s="394"/>
      <c r="I418" s="436"/>
    </row>
    <row r="419" spans="2:9" s="580" customFormat="1" ht="14.1" customHeight="1">
      <c r="B419" s="602"/>
      <c r="C419" s="386"/>
      <c r="D419" s="388"/>
      <c r="E419" s="459"/>
      <c r="F419" s="388"/>
      <c r="G419" s="459"/>
      <c r="H419" s="459"/>
      <c r="I419" s="389"/>
    </row>
    <row r="420" spans="2:9" s="580" customFormat="1" ht="14.1" customHeight="1">
      <c r="B420" s="602"/>
      <c r="C420" s="432"/>
      <c r="D420" s="391"/>
      <c r="E420" s="433"/>
      <c r="F420" s="437"/>
      <c r="G420" s="1180" t="s">
        <v>729</v>
      </c>
      <c r="H420" s="1181"/>
      <c r="I420" s="435"/>
    </row>
    <row r="421" spans="2:9" s="580" customFormat="1" ht="14.1" customHeight="1">
      <c r="B421" s="602"/>
      <c r="C421" s="376" t="s">
        <v>12</v>
      </c>
      <c r="D421" s="1022" t="s">
        <v>730</v>
      </c>
      <c r="E421" s="1034"/>
      <c r="F421" s="1034"/>
      <c r="G421" s="1034"/>
      <c r="H421" s="1034"/>
      <c r="I421" s="401"/>
    </row>
    <row r="422" spans="2:9" s="580" customFormat="1" ht="14.1" customHeight="1">
      <c r="B422" s="602"/>
      <c r="C422" s="377" t="s">
        <v>13</v>
      </c>
      <c r="D422" s="1036" t="s">
        <v>816</v>
      </c>
      <c r="E422" s="1037"/>
      <c r="F422" s="1038"/>
      <c r="G422" s="1175" t="s">
        <v>740</v>
      </c>
      <c r="H422" s="1182"/>
      <c r="I422" s="403"/>
    </row>
    <row r="423" spans="2:9" s="580" customFormat="1" ht="14.1" customHeight="1" thickBot="1">
      <c r="B423" s="602"/>
      <c r="C423" s="456" t="s">
        <v>14</v>
      </c>
      <c r="D423" s="1029" t="s">
        <v>817</v>
      </c>
      <c r="E423" s="1030"/>
      <c r="F423" s="1030"/>
      <c r="G423" s="1030"/>
      <c r="H423" s="1030"/>
      <c r="I423" s="404"/>
    </row>
    <row r="424" spans="2:9" s="580" customFormat="1" ht="14.1" customHeight="1">
      <c r="B424" s="602"/>
      <c r="C424" s="295"/>
      <c r="D424" s="284"/>
      <c r="E424" s="295"/>
      <c r="F424" s="284"/>
      <c r="G424" s="284"/>
      <c r="H424" s="284"/>
      <c r="I424" s="316"/>
    </row>
    <row r="425" spans="2:9" s="567" customFormat="1" ht="15.95" customHeight="1" thickBot="1">
      <c r="B425" s="598">
        <v>23</v>
      </c>
      <c r="C425" s="566" t="s">
        <v>1155</v>
      </c>
      <c r="E425" s="596"/>
    </row>
    <row r="426" spans="2:9" s="580" customFormat="1" ht="35.1" customHeight="1" thickBot="1">
      <c r="B426" s="602"/>
      <c r="C426" s="334" t="s">
        <v>840</v>
      </c>
      <c r="D426" s="335" t="s">
        <v>841</v>
      </c>
      <c r="E426" s="335" t="s">
        <v>842</v>
      </c>
      <c r="F426" s="335" t="s">
        <v>843</v>
      </c>
      <c r="G426" s="335" t="s">
        <v>844</v>
      </c>
      <c r="H426" s="431" t="s">
        <v>845</v>
      </c>
      <c r="I426" s="337" t="s">
        <v>846</v>
      </c>
    </row>
    <row r="427" spans="2:9" s="580" customFormat="1" ht="14.1" customHeight="1">
      <c r="B427" s="602"/>
      <c r="C427" s="491" t="s">
        <v>7</v>
      </c>
      <c r="D427" s="365" t="s">
        <v>810</v>
      </c>
      <c r="E427" s="383"/>
      <c r="F427" s="382"/>
      <c r="G427" s="383"/>
      <c r="H427" s="383"/>
      <c r="I427" s="384"/>
    </row>
    <row r="428" spans="2:9" s="580" customFormat="1" ht="14.1" customHeight="1">
      <c r="B428" s="602"/>
      <c r="C428" s="385"/>
      <c r="D428" s="365" t="s">
        <v>10</v>
      </c>
      <c r="E428" s="351" t="s">
        <v>16</v>
      </c>
      <c r="F428" s="351" t="s">
        <v>726</v>
      </c>
      <c r="G428" s="352">
        <v>0.3</v>
      </c>
      <c r="H428" s="383"/>
      <c r="I428" s="384"/>
    </row>
    <row r="429" spans="2:9" s="580" customFormat="1" ht="14.1" customHeight="1">
      <c r="B429" s="602"/>
      <c r="C429" s="385"/>
      <c r="D429" s="365" t="s">
        <v>143</v>
      </c>
      <c r="E429" s="351" t="s">
        <v>21</v>
      </c>
      <c r="F429" s="351" t="s">
        <v>726</v>
      </c>
      <c r="G429" s="352">
        <v>0.1</v>
      </c>
      <c r="H429" s="383"/>
      <c r="I429" s="384"/>
    </row>
    <row r="430" spans="2:9" s="580" customFormat="1" ht="14.1" customHeight="1">
      <c r="B430" s="602"/>
      <c r="C430" s="385"/>
      <c r="D430" s="365" t="s">
        <v>20</v>
      </c>
      <c r="E430" s="351" t="s">
        <v>21</v>
      </c>
      <c r="F430" s="351" t="s">
        <v>726</v>
      </c>
      <c r="G430" s="352">
        <v>0.01</v>
      </c>
      <c r="H430" s="383"/>
      <c r="I430" s="384"/>
    </row>
    <row r="431" spans="2:9" s="580" customFormat="1" ht="14.1" customHeight="1">
      <c r="B431" s="602"/>
      <c r="C431" s="386"/>
      <c r="D431" s="387" t="s">
        <v>11</v>
      </c>
      <c r="E431" s="354" t="s">
        <v>17</v>
      </c>
      <c r="F431" s="354" t="s">
        <v>726</v>
      </c>
      <c r="G431" s="355">
        <v>1.4999999999999999E-2</v>
      </c>
      <c r="H431" s="459"/>
      <c r="I431" s="389"/>
    </row>
    <row r="432" spans="2:9" s="580" customFormat="1" ht="14.1" customHeight="1">
      <c r="B432" s="602"/>
      <c r="C432" s="443"/>
      <c r="D432" s="440"/>
      <c r="E432" s="635"/>
      <c r="F432" s="440"/>
      <c r="G432" s="1180" t="s">
        <v>727</v>
      </c>
      <c r="H432" s="1181"/>
      <c r="I432" s="395"/>
    </row>
    <row r="433" spans="2:9" s="580" customFormat="1" ht="14.1" customHeight="1">
      <c r="B433" s="602"/>
      <c r="C433" s="457" t="s">
        <v>8</v>
      </c>
      <c r="D433" s="738" t="s">
        <v>811</v>
      </c>
      <c r="E433" s="394"/>
      <c r="F433" s="393"/>
      <c r="G433" s="394"/>
      <c r="H433" s="394"/>
      <c r="I433" s="436"/>
    </row>
    <row r="434" spans="2:9" s="580" customFormat="1" ht="14.1" customHeight="1">
      <c r="B434" s="602"/>
      <c r="C434" s="385"/>
      <c r="D434" s="739" t="s">
        <v>812</v>
      </c>
      <c r="E434" s="383"/>
      <c r="F434" s="351" t="s">
        <v>734</v>
      </c>
      <c r="G434" s="352">
        <v>4.32</v>
      </c>
      <c r="H434" s="383"/>
      <c r="I434" s="384"/>
    </row>
    <row r="435" spans="2:9" s="580" customFormat="1" ht="14.1" customHeight="1">
      <c r="B435" s="602"/>
      <c r="C435" s="386"/>
      <c r="D435" s="495" t="s">
        <v>211</v>
      </c>
      <c r="E435" s="459"/>
      <c r="F435" s="354" t="s">
        <v>734</v>
      </c>
      <c r="G435" s="355">
        <v>6.0000000000000001E-3</v>
      </c>
      <c r="H435" s="459"/>
      <c r="I435" s="389"/>
    </row>
    <row r="436" spans="2:9" s="580" customFormat="1" ht="14.1" customHeight="1">
      <c r="B436" s="602"/>
      <c r="C436" s="443"/>
      <c r="D436" s="440"/>
      <c r="E436" s="635"/>
      <c r="F436" s="440"/>
      <c r="G436" s="1180" t="s">
        <v>728</v>
      </c>
      <c r="H436" s="1181"/>
      <c r="I436" s="395"/>
    </row>
    <row r="437" spans="2:9" s="580" customFormat="1" ht="14.1" customHeight="1">
      <c r="B437" s="602"/>
      <c r="C437" s="457" t="s">
        <v>9</v>
      </c>
      <c r="D437" s="458" t="s">
        <v>815</v>
      </c>
      <c r="E437" s="394"/>
      <c r="F437" s="393"/>
      <c r="G437" s="394"/>
      <c r="H437" s="394"/>
      <c r="I437" s="436"/>
    </row>
    <row r="438" spans="2:9" s="580" customFormat="1" ht="14.1" customHeight="1">
      <c r="B438" s="602"/>
      <c r="C438" s="386"/>
      <c r="D438" s="388"/>
      <c r="E438" s="459"/>
      <c r="F438" s="388"/>
      <c r="G438" s="459"/>
      <c r="H438" s="459"/>
      <c r="I438" s="389"/>
    </row>
    <row r="439" spans="2:9" s="580" customFormat="1" ht="14.1" customHeight="1">
      <c r="B439" s="602"/>
      <c r="C439" s="432"/>
      <c r="D439" s="391"/>
      <c r="E439" s="433"/>
      <c r="F439" s="437"/>
      <c r="G439" s="1180" t="s">
        <v>729</v>
      </c>
      <c r="H439" s="1181"/>
      <c r="I439" s="435"/>
    </row>
    <row r="440" spans="2:9" s="580" customFormat="1" ht="14.1" customHeight="1">
      <c r="B440" s="602"/>
      <c r="C440" s="376" t="s">
        <v>12</v>
      </c>
      <c r="D440" s="1022" t="s">
        <v>730</v>
      </c>
      <c r="E440" s="1034"/>
      <c r="F440" s="1034"/>
      <c r="G440" s="1034"/>
      <c r="H440" s="1034"/>
      <c r="I440" s="401"/>
    </row>
    <row r="441" spans="2:9" s="580" customFormat="1" ht="14.1" customHeight="1">
      <c r="B441" s="602"/>
      <c r="C441" s="377" t="s">
        <v>13</v>
      </c>
      <c r="D441" s="1036" t="s">
        <v>816</v>
      </c>
      <c r="E441" s="1037"/>
      <c r="F441" s="1038"/>
      <c r="G441" s="1175" t="s">
        <v>740</v>
      </c>
      <c r="H441" s="1182"/>
      <c r="I441" s="403"/>
    </row>
    <row r="442" spans="2:9" s="580" customFormat="1" ht="14.1" customHeight="1" thickBot="1">
      <c r="B442" s="602"/>
      <c r="C442" s="456" t="s">
        <v>14</v>
      </c>
      <c r="D442" s="1029" t="s">
        <v>817</v>
      </c>
      <c r="E442" s="1030"/>
      <c r="F442" s="1030"/>
      <c r="G442" s="1030"/>
      <c r="H442" s="1030"/>
      <c r="I442" s="404"/>
    </row>
    <row r="443" spans="2:9" s="580" customFormat="1" ht="14.1" customHeight="1">
      <c r="B443" s="602"/>
      <c r="C443" s="589"/>
      <c r="E443" s="589"/>
      <c r="G443" s="589"/>
      <c r="H443" s="589"/>
    </row>
    <row r="444" spans="2:9" s="567" customFormat="1" ht="15.95" customHeight="1" thickBot="1">
      <c r="B444" s="598">
        <v>24</v>
      </c>
      <c r="C444" s="566" t="s">
        <v>1156</v>
      </c>
      <c r="E444" s="596"/>
    </row>
    <row r="445" spans="2:9" s="580" customFormat="1" ht="35.1" customHeight="1" thickBot="1">
      <c r="B445" s="602"/>
      <c r="C445" s="334" t="s">
        <v>840</v>
      </c>
      <c r="D445" s="335" t="s">
        <v>841</v>
      </c>
      <c r="E445" s="335" t="s">
        <v>842</v>
      </c>
      <c r="F445" s="335" t="s">
        <v>843</v>
      </c>
      <c r="G445" s="335" t="s">
        <v>844</v>
      </c>
      <c r="H445" s="431" t="s">
        <v>845</v>
      </c>
      <c r="I445" s="337" t="s">
        <v>846</v>
      </c>
    </row>
    <row r="446" spans="2:9" s="580" customFormat="1" ht="14.1" customHeight="1">
      <c r="B446" s="602"/>
      <c r="C446" s="543" t="s">
        <v>7</v>
      </c>
      <c r="D446" s="289" t="s">
        <v>810</v>
      </c>
      <c r="E446" s="581"/>
      <c r="F446" s="299"/>
      <c r="G446" s="581"/>
      <c r="H446" s="581"/>
      <c r="I446" s="300"/>
    </row>
    <row r="447" spans="2:9" s="580" customFormat="1" ht="14.1" customHeight="1">
      <c r="B447" s="602"/>
      <c r="C447" s="298"/>
      <c r="D447" s="289" t="s">
        <v>10</v>
      </c>
      <c r="E447" s="285" t="s">
        <v>16</v>
      </c>
      <c r="F447" s="285" t="s">
        <v>726</v>
      </c>
      <c r="G447" s="286">
        <v>0.15</v>
      </c>
      <c r="H447" s="581"/>
      <c r="I447" s="300"/>
    </row>
    <row r="448" spans="2:9" s="580" customFormat="1" ht="14.1" customHeight="1">
      <c r="B448" s="602"/>
      <c r="C448" s="298"/>
      <c r="D448" s="289" t="s">
        <v>143</v>
      </c>
      <c r="E448" s="285" t="s">
        <v>21</v>
      </c>
      <c r="F448" s="285" t="s">
        <v>726</v>
      </c>
      <c r="G448" s="286">
        <v>7.4999999999999997E-2</v>
      </c>
      <c r="H448" s="581"/>
      <c r="I448" s="300"/>
    </row>
    <row r="449" spans="2:9" s="580" customFormat="1" ht="14.1" customHeight="1">
      <c r="B449" s="602"/>
      <c r="C449" s="298"/>
      <c r="D449" s="289" t="s">
        <v>20</v>
      </c>
      <c r="E449" s="285" t="s">
        <v>21</v>
      </c>
      <c r="F449" s="285" t="s">
        <v>726</v>
      </c>
      <c r="G449" s="286">
        <v>8.0000000000000002E-3</v>
      </c>
      <c r="H449" s="581"/>
      <c r="I449" s="300"/>
    </row>
    <row r="450" spans="2:9" s="580" customFormat="1" ht="14.1" customHeight="1">
      <c r="B450" s="602"/>
      <c r="C450" s="301"/>
      <c r="D450" s="177" t="s">
        <v>11</v>
      </c>
      <c r="E450" s="287" t="s">
        <v>17</v>
      </c>
      <c r="F450" s="287" t="s">
        <v>726</v>
      </c>
      <c r="G450" s="288">
        <v>8.0000000000000002E-3</v>
      </c>
      <c r="H450" s="586"/>
      <c r="I450" s="303"/>
    </row>
    <row r="451" spans="2:9" s="580" customFormat="1" ht="14.1" customHeight="1">
      <c r="B451" s="602"/>
      <c r="C451" s="609"/>
      <c r="D451" s="316"/>
      <c r="E451" s="593"/>
      <c r="F451" s="316"/>
      <c r="G451" s="1166" t="s">
        <v>727</v>
      </c>
      <c r="H451" s="1167"/>
      <c r="I451" s="631"/>
    </row>
    <row r="452" spans="2:9" s="580" customFormat="1" ht="14.1" customHeight="1">
      <c r="B452" s="602"/>
      <c r="C452" s="292" t="s">
        <v>8</v>
      </c>
      <c r="D452" s="293" t="s">
        <v>811</v>
      </c>
      <c r="E452" s="585"/>
      <c r="F452" s="296"/>
      <c r="G452" s="585"/>
      <c r="H452" s="585"/>
      <c r="I452" s="297"/>
    </row>
    <row r="453" spans="2:9" s="580" customFormat="1" ht="14.1" customHeight="1">
      <c r="B453" s="602"/>
      <c r="C453" s="301"/>
      <c r="D453" s="177" t="s">
        <v>812</v>
      </c>
      <c r="E453" s="586"/>
      <c r="F453" s="287" t="s">
        <v>734</v>
      </c>
      <c r="G453" s="288">
        <v>3.1080000000000001</v>
      </c>
      <c r="H453" s="586"/>
      <c r="I453" s="303"/>
    </row>
    <row r="454" spans="2:9" s="580" customFormat="1" ht="14.1" customHeight="1">
      <c r="B454" s="602"/>
      <c r="C454" s="609"/>
      <c r="D454" s="316"/>
      <c r="E454" s="593"/>
      <c r="F454" s="316"/>
      <c r="G454" s="1166" t="s">
        <v>728</v>
      </c>
      <c r="H454" s="1167"/>
      <c r="I454" s="631"/>
    </row>
    <row r="455" spans="2:9" s="580" customFormat="1" ht="14.1" customHeight="1">
      <c r="B455" s="602"/>
      <c r="C455" s="292" t="s">
        <v>9</v>
      </c>
      <c r="D455" s="293" t="s">
        <v>815</v>
      </c>
      <c r="E455" s="585"/>
      <c r="F455" s="296"/>
      <c r="G455" s="585"/>
      <c r="H455" s="585"/>
      <c r="I455" s="297"/>
    </row>
    <row r="456" spans="2:9" s="580" customFormat="1" ht="14.1" customHeight="1">
      <c r="B456" s="602"/>
      <c r="C456" s="301"/>
      <c r="D456" s="302"/>
      <c r="E456" s="586"/>
      <c r="F456" s="302"/>
      <c r="G456" s="586"/>
      <c r="H456" s="586"/>
      <c r="I456" s="303"/>
    </row>
    <row r="457" spans="2:9" s="580" customFormat="1" ht="14.1" customHeight="1">
      <c r="B457" s="602"/>
      <c r="C457" s="314"/>
      <c r="D457" s="582"/>
      <c r="E457" s="315"/>
      <c r="F457" s="590"/>
      <c r="G457" s="1166" t="s">
        <v>729</v>
      </c>
      <c r="H457" s="1167"/>
      <c r="I457" s="584"/>
    </row>
    <row r="458" spans="2:9" s="580" customFormat="1" ht="14.1" customHeight="1">
      <c r="B458" s="602"/>
      <c r="C458" s="740" t="s">
        <v>12</v>
      </c>
      <c r="D458" s="1197" t="s">
        <v>730</v>
      </c>
      <c r="E458" s="1197"/>
      <c r="F458" s="1197"/>
      <c r="G458" s="1197"/>
      <c r="H458" s="1158"/>
      <c r="I458" s="584"/>
    </row>
    <row r="459" spans="2:9" s="580" customFormat="1" ht="14.1" customHeight="1">
      <c r="B459" s="602"/>
      <c r="C459" s="574" t="s">
        <v>13</v>
      </c>
      <c r="D459" s="1198" t="s">
        <v>816</v>
      </c>
      <c r="E459" s="1199"/>
      <c r="F459" s="1200"/>
      <c r="G459" s="1251" t="s">
        <v>740</v>
      </c>
      <c r="H459" s="1252"/>
      <c r="I459" s="305"/>
    </row>
    <row r="460" spans="2:9" s="580" customFormat="1" ht="14.1" customHeight="1" thickBot="1">
      <c r="B460" s="602"/>
      <c r="C460" s="291" t="s">
        <v>14</v>
      </c>
      <c r="D460" s="1119" t="s">
        <v>817</v>
      </c>
      <c r="E460" s="1120"/>
      <c r="F460" s="1120"/>
      <c r="G460" s="1120"/>
      <c r="H460" s="1120"/>
      <c r="I460" s="307"/>
    </row>
    <row r="461" spans="2:9" s="580" customFormat="1" ht="14.1" customHeight="1">
      <c r="B461" s="602"/>
      <c r="C461" s="295"/>
      <c r="D461" s="284"/>
      <c r="E461" s="295"/>
      <c r="F461" s="284"/>
      <c r="G461" s="284"/>
      <c r="H461" s="284"/>
      <c r="I461" s="316"/>
    </row>
    <row r="462" spans="2:9" s="567" customFormat="1" ht="15.95" customHeight="1" thickBot="1">
      <c r="B462" s="598">
        <v>25</v>
      </c>
      <c r="C462" s="566" t="s">
        <v>1157</v>
      </c>
      <c r="E462" s="596"/>
    </row>
    <row r="463" spans="2:9" s="580" customFormat="1" ht="35.1" customHeight="1" thickBot="1">
      <c r="B463" s="602"/>
      <c r="C463" s="334" t="s">
        <v>840</v>
      </c>
      <c r="D463" s="335" t="s">
        <v>841</v>
      </c>
      <c r="E463" s="335" t="s">
        <v>842</v>
      </c>
      <c r="F463" s="335" t="s">
        <v>843</v>
      </c>
      <c r="G463" s="335" t="s">
        <v>844</v>
      </c>
      <c r="H463" s="431" t="s">
        <v>845</v>
      </c>
      <c r="I463" s="337" t="s">
        <v>846</v>
      </c>
    </row>
    <row r="464" spans="2:9" s="580" customFormat="1" ht="14.1" customHeight="1">
      <c r="B464" s="602"/>
      <c r="C464" s="543" t="s">
        <v>7</v>
      </c>
      <c r="D464" s="289" t="s">
        <v>810</v>
      </c>
      <c r="E464" s="581"/>
      <c r="F464" s="299"/>
      <c r="G464" s="581"/>
      <c r="H464" s="581"/>
      <c r="I464" s="300"/>
    </row>
    <row r="465" spans="2:9" s="580" customFormat="1" ht="14.1" customHeight="1">
      <c r="B465" s="602"/>
      <c r="C465" s="298"/>
      <c r="D465" s="289" t="s">
        <v>10</v>
      </c>
      <c r="E465" s="285" t="s">
        <v>16</v>
      </c>
      <c r="F465" s="285" t="s">
        <v>726</v>
      </c>
      <c r="G465" s="286">
        <v>7.0000000000000007E-2</v>
      </c>
      <c r="H465" s="581"/>
      <c r="I465" s="300"/>
    </row>
    <row r="466" spans="2:9" s="580" customFormat="1" ht="14.1" customHeight="1">
      <c r="B466" s="602"/>
      <c r="C466" s="298"/>
      <c r="D466" s="289" t="s">
        <v>143</v>
      </c>
      <c r="E466" s="285" t="s">
        <v>21</v>
      </c>
      <c r="F466" s="285" t="s">
        <v>726</v>
      </c>
      <c r="G466" s="286">
        <v>3.5000000000000003E-2</v>
      </c>
      <c r="H466" s="581"/>
      <c r="I466" s="300"/>
    </row>
    <row r="467" spans="2:9" s="580" customFormat="1" ht="14.1" customHeight="1">
      <c r="B467" s="602"/>
      <c r="C467" s="298"/>
      <c r="D467" s="289" t="s">
        <v>20</v>
      </c>
      <c r="E467" s="285" t="s">
        <v>21</v>
      </c>
      <c r="F467" s="285" t="s">
        <v>726</v>
      </c>
      <c r="G467" s="286">
        <v>4.0000000000000001E-3</v>
      </c>
      <c r="H467" s="581"/>
      <c r="I467" s="300"/>
    </row>
    <row r="468" spans="2:9" s="580" customFormat="1" ht="14.1" customHeight="1">
      <c r="B468" s="602"/>
      <c r="C468" s="301"/>
      <c r="D468" s="177" t="s">
        <v>11</v>
      </c>
      <c r="E468" s="287" t="s">
        <v>17</v>
      </c>
      <c r="F468" s="287" t="s">
        <v>726</v>
      </c>
      <c r="G468" s="288">
        <v>4.0000000000000001E-3</v>
      </c>
      <c r="H468" s="586"/>
      <c r="I468" s="303"/>
    </row>
    <row r="469" spans="2:9" s="580" customFormat="1" ht="14.1" customHeight="1">
      <c r="B469" s="602"/>
      <c r="C469" s="609"/>
      <c r="D469" s="316"/>
      <c r="E469" s="593"/>
      <c r="F469" s="316"/>
      <c r="G469" s="1166" t="s">
        <v>727</v>
      </c>
      <c r="H469" s="1167"/>
      <c r="I469" s="631"/>
    </row>
    <row r="470" spans="2:9" s="580" customFormat="1" ht="14.1" customHeight="1">
      <c r="B470" s="602"/>
      <c r="C470" s="292" t="s">
        <v>8</v>
      </c>
      <c r="D470" s="293" t="s">
        <v>811</v>
      </c>
      <c r="E470" s="585"/>
      <c r="F470" s="296"/>
      <c r="G470" s="585"/>
      <c r="H470" s="585"/>
      <c r="I470" s="297"/>
    </row>
    <row r="471" spans="2:9" s="580" customFormat="1" ht="14.1" customHeight="1">
      <c r="B471" s="602"/>
      <c r="C471" s="301"/>
      <c r="D471" s="177" t="s">
        <v>812</v>
      </c>
      <c r="E471" s="586"/>
      <c r="F471" s="287" t="s">
        <v>734</v>
      </c>
      <c r="G471" s="288">
        <v>1.6</v>
      </c>
      <c r="H471" s="586"/>
      <c r="I471" s="303"/>
    </row>
    <row r="472" spans="2:9" s="580" customFormat="1" ht="14.1" customHeight="1">
      <c r="B472" s="602"/>
      <c r="C472" s="609"/>
      <c r="D472" s="316"/>
      <c r="E472" s="593"/>
      <c r="F472" s="316"/>
      <c r="G472" s="1166" t="s">
        <v>728</v>
      </c>
      <c r="H472" s="1167"/>
      <c r="I472" s="631"/>
    </row>
    <row r="473" spans="2:9" s="580" customFormat="1" ht="14.1" customHeight="1">
      <c r="B473" s="602"/>
      <c r="C473" s="292" t="s">
        <v>9</v>
      </c>
      <c r="D473" s="293" t="s">
        <v>815</v>
      </c>
      <c r="E473" s="585"/>
      <c r="F473" s="296"/>
      <c r="G473" s="585"/>
      <c r="H473" s="585"/>
      <c r="I473" s="297"/>
    </row>
    <row r="474" spans="2:9" s="580" customFormat="1" ht="14.1" customHeight="1">
      <c r="B474" s="602"/>
      <c r="C474" s="301"/>
      <c r="D474" s="302"/>
      <c r="E474" s="586"/>
      <c r="F474" s="302"/>
      <c r="G474" s="586"/>
      <c r="H474" s="586"/>
      <c r="I474" s="303"/>
    </row>
    <row r="475" spans="2:9" s="580" customFormat="1" ht="14.1" customHeight="1">
      <c r="B475" s="602"/>
      <c r="C475" s="314"/>
      <c r="D475" s="582"/>
      <c r="E475" s="315"/>
      <c r="F475" s="590"/>
      <c r="G475" s="1166" t="s">
        <v>729</v>
      </c>
      <c r="H475" s="1167"/>
      <c r="I475" s="584"/>
    </row>
    <row r="476" spans="2:9" s="580" customFormat="1" ht="14.1" customHeight="1">
      <c r="B476" s="602"/>
      <c r="C476" s="574" t="s">
        <v>12</v>
      </c>
      <c r="D476" s="1125" t="s">
        <v>730</v>
      </c>
      <c r="E476" s="1160"/>
      <c r="F476" s="1160"/>
      <c r="G476" s="1160"/>
      <c r="H476" s="1160"/>
      <c r="I476" s="305"/>
    </row>
    <row r="477" spans="2:9" s="580" customFormat="1" ht="14.1" customHeight="1">
      <c r="B477" s="602"/>
      <c r="C477" s="290" t="s">
        <v>13</v>
      </c>
      <c r="D477" s="1116" t="s">
        <v>816</v>
      </c>
      <c r="E477" s="1117"/>
      <c r="F477" s="1118"/>
      <c r="G477" s="1168" t="s">
        <v>740</v>
      </c>
      <c r="H477" s="1169"/>
      <c r="I477" s="306"/>
    </row>
    <row r="478" spans="2:9" s="580" customFormat="1" ht="14.1" customHeight="1" thickBot="1">
      <c r="B478" s="602"/>
      <c r="C478" s="291" t="s">
        <v>14</v>
      </c>
      <c r="D478" s="1119" t="s">
        <v>817</v>
      </c>
      <c r="E478" s="1120"/>
      <c r="F478" s="1120"/>
      <c r="G478" s="1120"/>
      <c r="H478" s="1120"/>
      <c r="I478" s="307"/>
    </row>
    <row r="479" spans="2:9" s="580" customFormat="1" ht="14.1" customHeight="1">
      <c r="B479" s="602"/>
      <c r="C479" s="589"/>
      <c r="E479" s="589"/>
      <c r="G479" s="589"/>
      <c r="H479" s="589"/>
    </row>
    <row r="480" spans="2:9" s="648" customFormat="1" ht="15.95" customHeight="1" thickBot="1">
      <c r="B480" s="744">
        <v>26</v>
      </c>
      <c r="C480" s="976" t="s">
        <v>1132</v>
      </c>
      <c r="D480" s="976"/>
      <c r="E480" s="976"/>
      <c r="F480" s="976"/>
      <c r="G480" s="976"/>
      <c r="H480" s="976"/>
      <c r="I480" s="976"/>
    </row>
    <row r="481" spans="2:9" s="580" customFormat="1" ht="35.1" customHeight="1" thickBot="1">
      <c r="B481" s="602"/>
      <c r="C481" s="334" t="s">
        <v>840</v>
      </c>
      <c r="D481" s="335" t="s">
        <v>841</v>
      </c>
      <c r="E481" s="335" t="s">
        <v>842</v>
      </c>
      <c r="F481" s="431" t="s">
        <v>843</v>
      </c>
      <c r="G481" s="335" t="s">
        <v>844</v>
      </c>
      <c r="H481" s="431" t="s">
        <v>845</v>
      </c>
      <c r="I481" s="337" t="s">
        <v>846</v>
      </c>
    </row>
    <row r="482" spans="2:9" s="580" customFormat="1" ht="14.1" customHeight="1">
      <c r="B482" s="602"/>
      <c r="C482" s="543" t="s">
        <v>7</v>
      </c>
      <c r="D482" s="289" t="s">
        <v>810</v>
      </c>
      <c r="E482" s="581"/>
      <c r="F482" s="299"/>
      <c r="G482" s="581"/>
      <c r="H482" s="581"/>
      <c r="I482" s="300"/>
    </row>
    <row r="483" spans="2:9" s="580" customFormat="1" ht="14.1" customHeight="1">
      <c r="B483" s="602"/>
      <c r="C483" s="298"/>
      <c r="D483" s="289" t="s">
        <v>10</v>
      </c>
      <c r="E483" s="285" t="s">
        <v>16</v>
      </c>
      <c r="F483" s="285" t="s">
        <v>726</v>
      </c>
      <c r="G483" s="286">
        <v>0.3</v>
      </c>
      <c r="H483" s="581"/>
      <c r="I483" s="300"/>
    </row>
    <row r="484" spans="2:9" s="580" customFormat="1" ht="14.1" customHeight="1">
      <c r="B484" s="602"/>
      <c r="C484" s="298"/>
      <c r="D484" s="289" t="s">
        <v>143</v>
      </c>
      <c r="E484" s="285" t="s">
        <v>21</v>
      </c>
      <c r="F484" s="285" t="s">
        <v>726</v>
      </c>
      <c r="G484" s="286">
        <v>0.15</v>
      </c>
      <c r="H484" s="581"/>
      <c r="I484" s="300"/>
    </row>
    <row r="485" spans="2:9" s="580" customFormat="1" ht="14.1" customHeight="1">
      <c r="B485" s="602"/>
      <c r="C485" s="298"/>
      <c r="D485" s="289" t="s">
        <v>20</v>
      </c>
      <c r="E485" s="285" t="s">
        <v>21</v>
      </c>
      <c r="F485" s="285" t="s">
        <v>726</v>
      </c>
      <c r="G485" s="286">
        <v>1.4999999999999999E-2</v>
      </c>
      <c r="H485" s="581"/>
      <c r="I485" s="300"/>
    </row>
    <row r="486" spans="2:9" s="580" customFormat="1" ht="14.1" customHeight="1">
      <c r="B486" s="602"/>
      <c r="C486" s="301"/>
      <c r="D486" s="177" t="s">
        <v>11</v>
      </c>
      <c r="E486" s="287" t="s">
        <v>17</v>
      </c>
      <c r="F486" s="287" t="s">
        <v>726</v>
      </c>
      <c r="G486" s="288">
        <v>1.4999999999999999E-2</v>
      </c>
      <c r="H486" s="586"/>
      <c r="I486" s="303"/>
    </row>
    <row r="487" spans="2:9" s="580" customFormat="1" ht="14.1" customHeight="1">
      <c r="B487" s="602"/>
      <c r="C487" s="609"/>
      <c r="D487" s="316"/>
      <c r="E487" s="593"/>
      <c r="F487" s="316"/>
      <c r="G487" s="1166" t="s">
        <v>727</v>
      </c>
      <c r="H487" s="1167"/>
      <c r="I487" s="631"/>
    </row>
    <row r="488" spans="2:9" s="580" customFormat="1" ht="14.1" customHeight="1">
      <c r="B488" s="602"/>
      <c r="C488" s="292" t="s">
        <v>8</v>
      </c>
      <c r="D488" s="293" t="s">
        <v>811</v>
      </c>
      <c r="E488" s="585"/>
      <c r="F488" s="296"/>
      <c r="G488" s="585"/>
      <c r="H488" s="585"/>
      <c r="I488" s="297"/>
    </row>
    <row r="489" spans="2:9" s="580" customFormat="1" ht="14.1" customHeight="1">
      <c r="B489" s="602"/>
      <c r="C489" s="298"/>
      <c r="D489" s="289" t="s">
        <v>812</v>
      </c>
      <c r="E489" s="581"/>
      <c r="F489" s="285" t="s">
        <v>734</v>
      </c>
      <c r="G489" s="286">
        <v>6.34</v>
      </c>
      <c r="H489" s="581"/>
      <c r="I489" s="300"/>
    </row>
    <row r="490" spans="2:9" s="580" customFormat="1" ht="14.1" customHeight="1">
      <c r="B490" s="602"/>
      <c r="C490" s="301"/>
      <c r="D490" s="177" t="s">
        <v>211</v>
      </c>
      <c r="E490" s="586"/>
      <c r="F490" s="586" t="s">
        <v>750</v>
      </c>
      <c r="G490" s="288">
        <v>1.2E-2</v>
      </c>
      <c r="H490" s="586"/>
      <c r="I490" s="303"/>
    </row>
    <row r="491" spans="2:9" s="580" customFormat="1" ht="14.1" customHeight="1">
      <c r="B491" s="602"/>
      <c r="C491" s="609"/>
      <c r="D491" s="316"/>
      <c r="E491" s="593"/>
      <c r="F491" s="316"/>
      <c r="G491" s="1166" t="s">
        <v>728</v>
      </c>
      <c r="H491" s="1167"/>
      <c r="I491" s="631"/>
    </row>
    <row r="492" spans="2:9" s="580" customFormat="1" ht="14.1" customHeight="1">
      <c r="B492" s="602"/>
      <c r="C492" s="292" t="s">
        <v>9</v>
      </c>
      <c r="D492" s="293" t="s">
        <v>815</v>
      </c>
      <c r="E492" s="585"/>
      <c r="F492" s="296"/>
      <c r="G492" s="585"/>
      <c r="H492" s="585"/>
      <c r="I492" s="297"/>
    </row>
    <row r="493" spans="2:9" s="580" customFormat="1" ht="14.1" customHeight="1">
      <c r="B493" s="602"/>
      <c r="C493" s="301"/>
      <c r="D493" s="302"/>
      <c r="E493" s="586"/>
      <c r="F493" s="302"/>
      <c r="G493" s="586"/>
      <c r="H493" s="586"/>
      <c r="I493" s="303"/>
    </row>
    <row r="494" spans="2:9" s="580" customFormat="1" ht="14.1" customHeight="1">
      <c r="B494" s="602"/>
      <c r="C494" s="609"/>
      <c r="D494" s="316"/>
      <c r="E494" s="593"/>
      <c r="F494" s="316"/>
      <c r="G494" s="1166" t="s">
        <v>729</v>
      </c>
      <c r="H494" s="1167"/>
      <c r="I494" s="584"/>
    </row>
    <row r="495" spans="2:9" s="580" customFormat="1" ht="14.1" customHeight="1">
      <c r="B495" s="602"/>
      <c r="C495" s="290" t="s">
        <v>12</v>
      </c>
      <c r="D495" s="1113" t="s">
        <v>730</v>
      </c>
      <c r="E495" s="1114"/>
      <c r="F495" s="1114"/>
      <c r="G495" s="1160"/>
      <c r="H495" s="1160"/>
      <c r="I495" s="305"/>
    </row>
    <row r="496" spans="2:9" s="580" customFormat="1" ht="14.1" customHeight="1">
      <c r="B496" s="602"/>
      <c r="C496" s="290" t="s">
        <v>13</v>
      </c>
      <c r="D496" s="1116" t="s">
        <v>816</v>
      </c>
      <c r="E496" s="1117"/>
      <c r="F496" s="1117"/>
      <c r="G496" s="1168" t="s">
        <v>740</v>
      </c>
      <c r="H496" s="1169"/>
      <c r="I496" s="306"/>
    </row>
    <row r="497" spans="2:9" s="580" customFormat="1" ht="14.1" customHeight="1" thickBot="1">
      <c r="B497" s="602"/>
      <c r="C497" s="291" t="s">
        <v>14</v>
      </c>
      <c r="D497" s="1119" t="s">
        <v>817</v>
      </c>
      <c r="E497" s="1120"/>
      <c r="F497" s="1120"/>
      <c r="G497" s="1120"/>
      <c r="H497" s="1120"/>
      <c r="I497" s="307"/>
    </row>
    <row r="498" spans="2:9" s="580" customFormat="1" ht="14.1" customHeight="1">
      <c r="B498" s="602"/>
      <c r="C498" s="295"/>
      <c r="D498" s="284"/>
      <c r="E498" s="295"/>
      <c r="F498" s="284"/>
      <c r="G498" s="284"/>
      <c r="H498" s="284"/>
      <c r="I498" s="316"/>
    </row>
    <row r="499" spans="2:9" s="648" customFormat="1" ht="15.95" customHeight="1" thickBot="1">
      <c r="B499" s="744">
        <v>27</v>
      </c>
      <c r="C499" s="628" t="s">
        <v>1158</v>
      </c>
      <c r="E499" s="647"/>
    </row>
    <row r="500" spans="2:9" s="580" customFormat="1" ht="35.1" customHeight="1" thickBot="1">
      <c r="B500" s="602"/>
      <c r="C500" s="334" t="s">
        <v>840</v>
      </c>
      <c r="D500" s="335" t="s">
        <v>841</v>
      </c>
      <c r="E500" s="335" t="s">
        <v>842</v>
      </c>
      <c r="F500" s="431" t="s">
        <v>843</v>
      </c>
      <c r="G500" s="335" t="s">
        <v>844</v>
      </c>
      <c r="H500" s="431" t="s">
        <v>845</v>
      </c>
      <c r="I500" s="337" t="s">
        <v>846</v>
      </c>
    </row>
    <row r="501" spans="2:9" s="580" customFormat="1" ht="14.1" customHeight="1">
      <c r="B501" s="602"/>
      <c r="C501" s="543" t="s">
        <v>7</v>
      </c>
      <c r="D501" s="289" t="s">
        <v>810</v>
      </c>
      <c r="E501" s="581"/>
      <c r="F501" s="299"/>
      <c r="G501" s="581"/>
      <c r="H501" s="581"/>
      <c r="I501" s="300"/>
    </row>
    <row r="502" spans="2:9" s="580" customFormat="1" ht="14.1" customHeight="1">
      <c r="B502" s="602"/>
      <c r="C502" s="298"/>
      <c r="D502" s="289" t="s">
        <v>10</v>
      </c>
      <c r="E502" s="285" t="s">
        <v>16</v>
      </c>
      <c r="F502" s="285" t="s">
        <v>726</v>
      </c>
      <c r="G502" s="286">
        <v>0.2</v>
      </c>
      <c r="H502" s="581"/>
      <c r="I502" s="300"/>
    </row>
    <row r="503" spans="2:9" s="580" customFormat="1" ht="14.1" customHeight="1">
      <c r="B503" s="602"/>
      <c r="C503" s="298"/>
      <c r="D503" s="289" t="s">
        <v>143</v>
      </c>
      <c r="E503" s="285" t="s">
        <v>21</v>
      </c>
      <c r="F503" s="285" t="s">
        <v>726</v>
      </c>
      <c r="G503" s="286">
        <v>0.1</v>
      </c>
      <c r="H503" s="581"/>
      <c r="I503" s="300"/>
    </row>
    <row r="504" spans="2:9" s="580" customFormat="1" ht="14.1" customHeight="1">
      <c r="B504" s="602"/>
      <c r="C504" s="298"/>
      <c r="D504" s="289" t="s">
        <v>20</v>
      </c>
      <c r="E504" s="285" t="s">
        <v>21</v>
      </c>
      <c r="F504" s="285" t="s">
        <v>726</v>
      </c>
      <c r="G504" s="286">
        <v>0.01</v>
      </c>
      <c r="H504" s="581"/>
      <c r="I504" s="300"/>
    </row>
    <row r="505" spans="2:9" s="580" customFormat="1" ht="14.1" customHeight="1">
      <c r="B505" s="602"/>
      <c r="C505" s="301"/>
      <c r="D505" s="177" t="s">
        <v>11</v>
      </c>
      <c r="E505" s="287" t="s">
        <v>17</v>
      </c>
      <c r="F505" s="287" t="s">
        <v>726</v>
      </c>
      <c r="G505" s="288">
        <v>0.01</v>
      </c>
      <c r="H505" s="586"/>
      <c r="I505" s="303"/>
    </row>
    <row r="506" spans="2:9" s="580" customFormat="1" ht="14.1" customHeight="1">
      <c r="B506" s="602"/>
      <c r="C506" s="609"/>
      <c r="D506" s="316"/>
      <c r="E506" s="593"/>
      <c r="F506" s="316"/>
      <c r="G506" s="1166" t="s">
        <v>727</v>
      </c>
      <c r="H506" s="1167"/>
      <c r="I506" s="584"/>
    </row>
    <row r="507" spans="2:9" s="580" customFormat="1" ht="14.1" customHeight="1">
      <c r="B507" s="602"/>
      <c r="C507" s="292" t="s">
        <v>8</v>
      </c>
      <c r="D507" s="293" t="s">
        <v>811</v>
      </c>
      <c r="E507" s="585"/>
      <c r="F507" s="296"/>
      <c r="G507" s="585"/>
      <c r="H507" s="585"/>
      <c r="I507" s="297"/>
    </row>
    <row r="508" spans="2:9" s="580" customFormat="1" ht="14.1" customHeight="1">
      <c r="B508" s="602"/>
      <c r="C508" s="301"/>
      <c r="D508" s="177" t="s">
        <v>812</v>
      </c>
      <c r="E508" s="586"/>
      <c r="F508" s="287" t="s">
        <v>734</v>
      </c>
      <c r="G508" s="288">
        <v>3.25</v>
      </c>
      <c r="H508" s="586"/>
      <c r="I508" s="303"/>
    </row>
    <row r="509" spans="2:9" s="580" customFormat="1" ht="14.1" customHeight="1">
      <c r="B509" s="602"/>
      <c r="C509" s="609"/>
      <c r="D509" s="316"/>
      <c r="E509" s="593"/>
      <c r="F509" s="316"/>
      <c r="G509" s="1166" t="s">
        <v>728</v>
      </c>
      <c r="H509" s="1167"/>
      <c r="I509" s="631"/>
    </row>
    <row r="510" spans="2:9" s="580" customFormat="1" ht="14.1" customHeight="1">
      <c r="B510" s="602"/>
      <c r="C510" s="292" t="s">
        <v>9</v>
      </c>
      <c r="D510" s="293" t="s">
        <v>815</v>
      </c>
      <c r="E510" s="585"/>
      <c r="F510" s="296"/>
      <c r="G510" s="585"/>
      <c r="H510" s="585"/>
      <c r="I510" s="297"/>
    </row>
    <row r="511" spans="2:9" s="580" customFormat="1" ht="14.1" customHeight="1">
      <c r="B511" s="602"/>
      <c r="C511" s="301"/>
      <c r="D511" s="302"/>
      <c r="E511" s="586"/>
      <c r="F511" s="302"/>
      <c r="G511" s="586"/>
      <c r="H511" s="586"/>
      <c r="I511" s="303"/>
    </row>
    <row r="512" spans="2:9" s="580" customFormat="1" ht="14.1" customHeight="1">
      <c r="B512" s="602"/>
      <c r="C512" s="314"/>
      <c r="D512" s="582"/>
      <c r="E512" s="315"/>
      <c r="F512" s="590"/>
      <c r="G512" s="1166" t="s">
        <v>729</v>
      </c>
      <c r="H512" s="1167"/>
      <c r="I512" s="584"/>
    </row>
    <row r="513" spans="2:9" s="580" customFormat="1" ht="14.1" customHeight="1">
      <c r="B513" s="602"/>
      <c r="C513" s="574" t="s">
        <v>12</v>
      </c>
      <c r="D513" s="1125" t="s">
        <v>730</v>
      </c>
      <c r="E513" s="1160"/>
      <c r="F513" s="1160"/>
      <c r="G513" s="1160"/>
      <c r="H513" s="1160"/>
      <c r="I513" s="305"/>
    </row>
    <row r="514" spans="2:9" s="580" customFormat="1" ht="14.1" customHeight="1">
      <c r="B514" s="602"/>
      <c r="C514" s="290" t="s">
        <v>13</v>
      </c>
      <c r="D514" s="1116" t="s">
        <v>816</v>
      </c>
      <c r="E514" s="1117"/>
      <c r="F514" s="1117"/>
      <c r="G514" s="1168" t="s">
        <v>740</v>
      </c>
      <c r="H514" s="1169"/>
      <c r="I514" s="306"/>
    </row>
    <row r="515" spans="2:9" s="580" customFormat="1" ht="14.1" customHeight="1" thickBot="1">
      <c r="B515" s="602"/>
      <c r="C515" s="291" t="s">
        <v>14</v>
      </c>
      <c r="D515" s="1119" t="s">
        <v>817</v>
      </c>
      <c r="E515" s="1120"/>
      <c r="F515" s="1120"/>
      <c r="G515" s="1120"/>
      <c r="H515" s="1120"/>
      <c r="I515" s="307"/>
    </row>
    <row r="516" spans="2:9" s="580" customFormat="1" ht="14.1" customHeight="1">
      <c r="B516" s="602"/>
      <c r="C516" s="589"/>
      <c r="E516" s="589"/>
      <c r="G516" s="589"/>
      <c r="H516" s="589"/>
    </row>
    <row r="517" spans="2:9" s="648" customFormat="1" ht="15.95" customHeight="1" thickBot="1">
      <c r="B517" s="744">
        <v>28</v>
      </c>
      <c r="C517" s="628" t="s">
        <v>1159</v>
      </c>
      <c r="E517" s="647"/>
    </row>
    <row r="518" spans="2:9" s="580" customFormat="1" ht="35.1" customHeight="1" thickBot="1">
      <c r="B518" s="602"/>
      <c r="C518" s="334" t="s">
        <v>840</v>
      </c>
      <c r="D518" s="335" t="s">
        <v>841</v>
      </c>
      <c r="E518" s="335" t="s">
        <v>842</v>
      </c>
      <c r="F518" s="335" t="s">
        <v>843</v>
      </c>
      <c r="G518" s="335" t="s">
        <v>844</v>
      </c>
      <c r="H518" s="335" t="s">
        <v>845</v>
      </c>
      <c r="I518" s="337" t="s">
        <v>846</v>
      </c>
    </row>
    <row r="519" spans="2:9" s="580" customFormat="1" ht="14.1" customHeight="1">
      <c r="B519" s="602"/>
      <c r="C519" s="543" t="s">
        <v>7</v>
      </c>
      <c r="D519" s="289" t="s">
        <v>810</v>
      </c>
      <c r="E519" s="581"/>
      <c r="F519" s="299"/>
      <c r="G519" s="581"/>
      <c r="H519" s="581"/>
      <c r="I519" s="300"/>
    </row>
    <row r="520" spans="2:9" s="580" customFormat="1" ht="14.1" customHeight="1">
      <c r="B520" s="602"/>
      <c r="C520" s="298"/>
      <c r="D520" s="289" t="s">
        <v>10</v>
      </c>
      <c r="E520" s="285" t="s">
        <v>16</v>
      </c>
      <c r="F520" s="285" t="s">
        <v>726</v>
      </c>
      <c r="G520" s="581"/>
      <c r="H520" s="581"/>
      <c r="I520" s="300"/>
    </row>
    <row r="521" spans="2:9" s="580" customFormat="1" ht="14.1" customHeight="1">
      <c r="B521" s="602"/>
      <c r="C521" s="298"/>
      <c r="D521" s="289" t="s">
        <v>143</v>
      </c>
      <c r="E521" s="285" t="s">
        <v>21</v>
      </c>
      <c r="F521" s="285" t="s">
        <v>726</v>
      </c>
      <c r="G521" s="581"/>
      <c r="H521" s="581"/>
      <c r="I521" s="300"/>
    </row>
    <row r="522" spans="2:9" s="580" customFormat="1" ht="14.1" customHeight="1">
      <c r="B522" s="602"/>
      <c r="C522" s="298"/>
      <c r="D522" s="289" t="s">
        <v>20</v>
      </c>
      <c r="E522" s="285" t="s">
        <v>21</v>
      </c>
      <c r="F522" s="285" t="s">
        <v>726</v>
      </c>
      <c r="G522" s="581"/>
      <c r="H522" s="581"/>
      <c r="I522" s="300"/>
    </row>
    <row r="523" spans="2:9" s="580" customFormat="1" ht="14.1" customHeight="1">
      <c r="B523" s="602"/>
      <c r="C523" s="301"/>
      <c r="D523" s="177" t="s">
        <v>11</v>
      </c>
      <c r="E523" s="287" t="s">
        <v>17</v>
      </c>
      <c r="F523" s="287" t="s">
        <v>726</v>
      </c>
      <c r="G523" s="586"/>
      <c r="H523" s="586"/>
      <c r="I523" s="303"/>
    </row>
    <row r="524" spans="2:9" s="580" customFormat="1" ht="14.1" customHeight="1">
      <c r="B524" s="602"/>
      <c r="C524" s="609"/>
      <c r="D524" s="316"/>
      <c r="E524" s="593"/>
      <c r="F524" s="316"/>
      <c r="G524" s="1166" t="s">
        <v>727</v>
      </c>
      <c r="H524" s="1167"/>
      <c r="I524" s="631"/>
    </row>
    <row r="525" spans="2:9" s="580" customFormat="1" ht="14.1" customHeight="1">
      <c r="B525" s="602"/>
      <c r="C525" s="292" t="s">
        <v>8</v>
      </c>
      <c r="D525" s="293" t="s">
        <v>811</v>
      </c>
      <c r="E525" s="585"/>
      <c r="F525" s="296"/>
      <c r="G525" s="585"/>
      <c r="H525" s="585"/>
      <c r="I525" s="297"/>
    </row>
    <row r="526" spans="2:9" s="580" customFormat="1" ht="14.1" customHeight="1">
      <c r="B526" s="602"/>
      <c r="C526" s="301"/>
      <c r="D526" s="177" t="s">
        <v>1131</v>
      </c>
      <c r="E526" s="586"/>
      <c r="F526" s="287" t="s">
        <v>734</v>
      </c>
      <c r="G526" s="586"/>
      <c r="H526" s="586"/>
      <c r="I526" s="303"/>
    </row>
    <row r="527" spans="2:9" s="580" customFormat="1" ht="14.1" customHeight="1">
      <c r="B527" s="602"/>
      <c r="C527" s="609"/>
      <c r="D527" s="316"/>
      <c r="E527" s="593"/>
      <c r="F527" s="316"/>
      <c r="G527" s="1166" t="s">
        <v>728</v>
      </c>
      <c r="H527" s="1167"/>
      <c r="I527" s="584"/>
    </row>
    <row r="528" spans="2:9" s="580" customFormat="1" ht="14.1" customHeight="1">
      <c r="B528" s="602"/>
      <c r="C528" s="292" t="s">
        <v>9</v>
      </c>
      <c r="D528" s="293" t="s">
        <v>815</v>
      </c>
      <c r="E528" s="585"/>
      <c r="F528" s="296"/>
      <c r="G528" s="585"/>
      <c r="H528" s="585"/>
      <c r="I528" s="742"/>
    </row>
    <row r="529" spans="2:9" s="580" customFormat="1" ht="14.1" customHeight="1">
      <c r="B529" s="602"/>
      <c r="C529" s="301"/>
      <c r="D529" s="302"/>
      <c r="E529" s="586"/>
      <c r="F529" s="302"/>
      <c r="G529" s="586"/>
      <c r="H529" s="586"/>
      <c r="I529" s="303"/>
    </row>
    <row r="530" spans="2:9" s="580" customFormat="1" ht="14.1" customHeight="1">
      <c r="B530" s="602"/>
      <c r="C530" s="314"/>
      <c r="D530" s="582"/>
      <c r="E530" s="315"/>
      <c r="F530" s="590"/>
      <c r="G530" s="1166" t="s">
        <v>729</v>
      </c>
      <c r="H530" s="1167"/>
      <c r="I530" s="584"/>
    </row>
    <row r="531" spans="2:9" s="580" customFormat="1" ht="14.1" customHeight="1">
      <c r="B531" s="602"/>
      <c r="C531" s="574" t="s">
        <v>12</v>
      </c>
      <c r="D531" s="1125" t="s">
        <v>730</v>
      </c>
      <c r="E531" s="1160"/>
      <c r="F531" s="1160"/>
      <c r="G531" s="1160"/>
      <c r="H531" s="1126"/>
      <c r="I531" s="305"/>
    </row>
    <row r="532" spans="2:9" s="580" customFormat="1" ht="14.1" customHeight="1">
      <c r="B532" s="602"/>
      <c r="C532" s="290" t="s">
        <v>13</v>
      </c>
      <c r="D532" s="1116" t="s">
        <v>816</v>
      </c>
      <c r="E532" s="1117"/>
      <c r="F532" s="1118"/>
      <c r="G532" s="1168" t="s">
        <v>740</v>
      </c>
      <c r="H532" s="1171"/>
      <c r="I532" s="306"/>
    </row>
    <row r="533" spans="2:9" s="580" customFormat="1" ht="14.1" customHeight="1" thickBot="1">
      <c r="B533" s="602"/>
      <c r="C533" s="291" t="s">
        <v>14</v>
      </c>
      <c r="D533" s="1119" t="s">
        <v>817</v>
      </c>
      <c r="E533" s="1120"/>
      <c r="F533" s="1120"/>
      <c r="G533" s="1120"/>
      <c r="H533" s="1121"/>
      <c r="I533" s="307"/>
    </row>
    <row r="534" spans="2:9" s="580" customFormat="1" ht="14.1" customHeight="1">
      <c r="B534" s="602"/>
      <c r="C534" s="295"/>
      <c r="D534" s="284"/>
      <c r="E534" s="295"/>
      <c r="F534" s="284"/>
      <c r="G534" s="284"/>
      <c r="H534" s="284"/>
      <c r="I534" s="316"/>
    </row>
    <row r="535" spans="2:9" s="648" customFormat="1" ht="15.95" customHeight="1" thickBot="1">
      <c r="B535" s="744">
        <v>29</v>
      </c>
      <c r="C535" s="628" t="s">
        <v>1160</v>
      </c>
      <c r="E535" s="647"/>
    </row>
    <row r="536" spans="2:9" s="580" customFormat="1" ht="35.1" customHeight="1" thickBot="1">
      <c r="B536" s="602"/>
      <c r="C536" s="334" t="s">
        <v>840</v>
      </c>
      <c r="D536" s="335" t="s">
        <v>841</v>
      </c>
      <c r="E536" s="335" t="s">
        <v>842</v>
      </c>
      <c r="F536" s="335" t="s">
        <v>843</v>
      </c>
      <c r="G536" s="335" t="s">
        <v>844</v>
      </c>
      <c r="H536" s="335" t="s">
        <v>845</v>
      </c>
      <c r="I536" s="337" t="s">
        <v>846</v>
      </c>
    </row>
    <row r="537" spans="2:9" s="580" customFormat="1" ht="14.1" customHeight="1">
      <c r="B537" s="602"/>
      <c r="C537" s="491" t="s">
        <v>7</v>
      </c>
      <c r="D537" s="365" t="s">
        <v>810</v>
      </c>
      <c r="E537" s="383"/>
      <c r="F537" s="382"/>
      <c r="G537" s="383"/>
      <c r="H537" s="383"/>
      <c r="I537" s="384"/>
    </row>
    <row r="538" spans="2:9" s="580" customFormat="1" ht="14.1" customHeight="1">
      <c r="B538" s="602"/>
      <c r="C538" s="385"/>
      <c r="D538" s="365" t="s">
        <v>10</v>
      </c>
      <c r="E538" s="351" t="s">
        <v>16</v>
      </c>
      <c r="F538" s="351" t="s">
        <v>726</v>
      </c>
      <c r="G538" s="383"/>
      <c r="H538" s="383"/>
      <c r="I538" s="384"/>
    </row>
    <row r="539" spans="2:9" s="580" customFormat="1" ht="14.1" customHeight="1">
      <c r="B539" s="602"/>
      <c r="C539" s="385"/>
      <c r="D539" s="365" t="s">
        <v>143</v>
      </c>
      <c r="E539" s="351" t="s">
        <v>21</v>
      </c>
      <c r="F539" s="351" t="s">
        <v>726</v>
      </c>
      <c r="G539" s="383"/>
      <c r="H539" s="383"/>
      <c r="I539" s="384"/>
    </row>
    <row r="540" spans="2:9" s="580" customFormat="1" ht="14.1" customHeight="1">
      <c r="B540" s="602"/>
      <c r="C540" s="385"/>
      <c r="D540" s="365" t="s">
        <v>20</v>
      </c>
      <c r="E540" s="351" t="s">
        <v>21</v>
      </c>
      <c r="F540" s="351" t="s">
        <v>726</v>
      </c>
      <c r="G540" s="383"/>
      <c r="H540" s="383"/>
      <c r="I540" s="384"/>
    </row>
    <row r="541" spans="2:9" s="580" customFormat="1" ht="14.1" customHeight="1">
      <c r="B541" s="602"/>
      <c r="C541" s="386"/>
      <c r="D541" s="387" t="s">
        <v>11</v>
      </c>
      <c r="E541" s="354" t="s">
        <v>17</v>
      </c>
      <c r="F541" s="354" t="s">
        <v>726</v>
      </c>
      <c r="G541" s="459"/>
      <c r="H541" s="459"/>
      <c r="I541" s="389"/>
    </row>
    <row r="542" spans="2:9" s="580" customFormat="1" ht="14.1" customHeight="1">
      <c r="B542" s="602"/>
      <c r="C542" s="443"/>
      <c r="D542" s="440"/>
      <c r="E542" s="635"/>
      <c r="F542" s="440"/>
      <c r="G542" s="1180" t="s">
        <v>727</v>
      </c>
      <c r="H542" s="1181"/>
      <c r="I542" s="395"/>
    </row>
    <row r="543" spans="2:9" s="580" customFormat="1" ht="14.1" customHeight="1">
      <c r="B543" s="602"/>
      <c r="C543" s="457" t="s">
        <v>8</v>
      </c>
      <c r="D543" s="458" t="s">
        <v>811</v>
      </c>
      <c r="E543" s="394"/>
      <c r="F543" s="393"/>
      <c r="G543" s="394"/>
      <c r="H543" s="394"/>
      <c r="I543" s="436"/>
    </row>
    <row r="544" spans="2:9" s="580" customFormat="1" ht="14.1" customHeight="1">
      <c r="B544" s="602"/>
      <c r="C544" s="386"/>
      <c r="D544" s="387" t="s">
        <v>1131</v>
      </c>
      <c r="E544" s="459"/>
      <c r="F544" s="354" t="s">
        <v>734</v>
      </c>
      <c r="G544" s="459"/>
      <c r="H544" s="459"/>
      <c r="I544" s="389"/>
    </row>
    <row r="545" spans="2:11" s="580" customFormat="1" ht="14.1" customHeight="1">
      <c r="B545" s="602"/>
      <c r="C545" s="443"/>
      <c r="D545" s="440"/>
      <c r="E545" s="635"/>
      <c r="F545" s="440"/>
      <c r="G545" s="1180" t="s">
        <v>728</v>
      </c>
      <c r="H545" s="1181"/>
      <c r="I545" s="395"/>
    </row>
    <row r="546" spans="2:11" s="580" customFormat="1" ht="14.1" customHeight="1">
      <c r="B546" s="602"/>
      <c r="C546" s="457" t="s">
        <v>9</v>
      </c>
      <c r="D546" s="458" t="s">
        <v>815</v>
      </c>
      <c r="E546" s="394"/>
      <c r="F546" s="393"/>
      <c r="G546" s="394"/>
      <c r="H546" s="394"/>
      <c r="I546" s="436"/>
    </row>
    <row r="547" spans="2:11" s="580" customFormat="1" ht="14.1" customHeight="1">
      <c r="B547" s="602"/>
      <c r="C547" s="386"/>
      <c r="D547" s="388"/>
      <c r="E547" s="459"/>
      <c r="F547" s="388"/>
      <c r="G547" s="459"/>
      <c r="H547" s="459"/>
      <c r="I547" s="389"/>
    </row>
    <row r="548" spans="2:11" s="580" customFormat="1" ht="14.1" customHeight="1">
      <c r="B548" s="602"/>
      <c r="C548" s="443"/>
      <c r="D548" s="440"/>
      <c r="E548" s="635"/>
      <c r="F548" s="440"/>
      <c r="G548" s="1253" t="s">
        <v>729</v>
      </c>
      <c r="H548" s="1253"/>
      <c r="I548" s="435"/>
    </row>
    <row r="549" spans="2:11" s="580" customFormat="1" ht="14.1" customHeight="1">
      <c r="B549" s="602"/>
      <c r="C549" s="377" t="s">
        <v>12</v>
      </c>
      <c r="D549" s="1039" t="s">
        <v>730</v>
      </c>
      <c r="E549" s="1035"/>
      <c r="F549" s="1035"/>
      <c r="G549" s="1035"/>
      <c r="H549" s="1051"/>
      <c r="I549" s="401"/>
    </row>
    <row r="550" spans="2:11" s="580" customFormat="1" ht="14.1" customHeight="1">
      <c r="B550" s="602"/>
      <c r="C550" s="377" t="s">
        <v>13</v>
      </c>
      <c r="D550" s="1036" t="s">
        <v>816</v>
      </c>
      <c r="E550" s="1037"/>
      <c r="F550" s="1038"/>
      <c r="G550" s="1175" t="s">
        <v>740</v>
      </c>
      <c r="H550" s="1176"/>
      <c r="I550" s="403"/>
    </row>
    <row r="551" spans="2:11" s="580" customFormat="1" ht="14.1" customHeight="1" thickBot="1">
      <c r="B551" s="602"/>
      <c r="C551" s="456" t="s">
        <v>14</v>
      </c>
      <c r="D551" s="1029" t="s">
        <v>817</v>
      </c>
      <c r="E551" s="1030"/>
      <c r="F551" s="1030"/>
      <c r="G551" s="1030"/>
      <c r="H551" s="1031"/>
      <c r="I551" s="404"/>
    </row>
    <row r="552" spans="2:11" ht="14.1" customHeight="1">
      <c r="C552" s="1"/>
    </row>
    <row r="553" spans="2:11" ht="13.5" thickBot="1">
      <c r="B553" s="283">
        <v>30</v>
      </c>
      <c r="C553" s="279" t="str">
        <f>REKAP!E185</f>
        <v>Plesteran 1 Pc : 3 Kp : 10 Ps, tebal 15 mm</v>
      </c>
      <c r="D553" s="277"/>
      <c r="E553" s="962"/>
      <c r="F553" s="281"/>
      <c r="G553" s="614"/>
      <c r="H553" s="615"/>
      <c r="I553" s="615"/>
      <c r="K553" s="2" t="s">
        <v>75</v>
      </c>
    </row>
    <row r="554" spans="2:11">
      <c r="C554" s="1069" t="s">
        <v>0</v>
      </c>
      <c r="D554" s="1071" t="s">
        <v>1</v>
      </c>
      <c r="E554" s="1190" t="s">
        <v>2</v>
      </c>
      <c r="F554" s="1071" t="s">
        <v>3</v>
      </c>
      <c r="G554" s="1185" t="s">
        <v>4</v>
      </c>
      <c r="H554" s="7" t="s">
        <v>5</v>
      </c>
      <c r="I554" s="13" t="s">
        <v>59</v>
      </c>
    </row>
    <row r="555" spans="2:11" ht="13.5" thickBot="1">
      <c r="C555" s="1070"/>
      <c r="D555" s="1072"/>
      <c r="E555" s="1191"/>
      <c r="F555" s="1072"/>
      <c r="G555" s="1186"/>
      <c r="H555" s="8" t="s">
        <v>6</v>
      </c>
      <c r="I555" s="14" t="s">
        <v>6</v>
      </c>
    </row>
    <row r="556" spans="2:11" ht="14.1" customHeight="1">
      <c r="C556" s="16" t="s">
        <v>7</v>
      </c>
      <c r="D556" s="17" t="s">
        <v>74</v>
      </c>
      <c r="E556" s="26"/>
      <c r="F556" s="19"/>
      <c r="G556" s="57"/>
      <c r="H556" s="20"/>
      <c r="I556" s="21"/>
    </row>
    <row r="557" spans="2:11" ht="14.1" customHeight="1">
      <c r="C557" s="16">
        <v>1</v>
      </c>
      <c r="D557" s="17" t="s">
        <v>10</v>
      </c>
      <c r="E557" s="26"/>
      <c r="F557" s="19" t="s">
        <v>66</v>
      </c>
      <c r="G557" s="97">
        <v>0.36</v>
      </c>
      <c r="H557" s="20"/>
      <c r="I557" s="927"/>
    </row>
    <row r="558" spans="2:11" ht="14.1" customHeight="1">
      <c r="C558" s="16">
        <v>2</v>
      </c>
      <c r="D558" s="17" t="s">
        <v>143</v>
      </c>
      <c r="E558" s="26"/>
      <c r="F558" s="19" t="s">
        <v>66</v>
      </c>
      <c r="G558" s="97">
        <v>0.12</v>
      </c>
      <c r="H558" s="20"/>
      <c r="I558" s="927"/>
    </row>
    <row r="559" spans="2:11" ht="14.1" customHeight="1">
      <c r="C559" s="16">
        <v>3</v>
      </c>
      <c r="D559" s="17" t="s">
        <v>210</v>
      </c>
      <c r="E559" s="26"/>
      <c r="F559" s="19" t="s">
        <v>66</v>
      </c>
      <c r="G559" s="98">
        <v>1.2E-2</v>
      </c>
      <c r="H559" s="20"/>
      <c r="I559" s="928">
        <f>G559*H559</f>
        <v>0</v>
      </c>
    </row>
    <row r="560" spans="2:11" ht="14.1" customHeight="1">
      <c r="C560" s="16">
        <v>4</v>
      </c>
      <c r="D560" s="17" t="s">
        <v>11</v>
      </c>
      <c r="E560" s="26"/>
      <c r="F560" s="19" t="s">
        <v>66</v>
      </c>
      <c r="G560" s="99">
        <v>1.7999999999999999E-2</v>
      </c>
      <c r="H560" s="20"/>
      <c r="I560" s="928">
        <f>G560*H560</f>
        <v>0</v>
      </c>
    </row>
    <row r="561" spans="3:9" ht="14.1" customHeight="1">
      <c r="C561" s="1099" t="s">
        <v>60</v>
      </c>
      <c r="D561" s="1100"/>
      <c r="E561" s="1100"/>
      <c r="F561" s="1100"/>
      <c r="G561" s="1100"/>
      <c r="H561" s="1101"/>
      <c r="I561" s="929">
        <f>SUM(I556:I560)</f>
        <v>0</v>
      </c>
    </row>
    <row r="562" spans="3:9" ht="14.1" customHeight="1">
      <c r="C562" s="16" t="s">
        <v>8</v>
      </c>
      <c r="D562" s="611" t="s">
        <v>61</v>
      </c>
      <c r="E562" s="26"/>
      <c r="F562" s="22"/>
      <c r="G562" s="61"/>
      <c r="H562" s="24"/>
      <c r="I562" s="927"/>
    </row>
    <row r="563" spans="3:9" ht="14.1" customHeight="1">
      <c r="C563" s="16">
        <v>1</v>
      </c>
      <c r="D563" s="65" t="s">
        <v>156</v>
      </c>
      <c r="E563" s="26"/>
      <c r="F563" s="67" t="s">
        <v>56</v>
      </c>
      <c r="G563" s="97">
        <v>1.84</v>
      </c>
      <c r="H563" s="24"/>
      <c r="I563" s="928">
        <f>G563*H563</f>
        <v>0</v>
      </c>
    </row>
    <row r="564" spans="3:9" ht="14.1" customHeight="1">
      <c r="C564" s="16">
        <v>2</v>
      </c>
      <c r="D564" s="65" t="s">
        <v>203</v>
      </c>
      <c r="E564" s="26"/>
      <c r="F564" s="67" t="s">
        <v>19</v>
      </c>
      <c r="G564" s="97">
        <v>6.0000000000000001E-3</v>
      </c>
      <c r="H564" s="24"/>
      <c r="I564" s="928"/>
    </row>
    <row r="565" spans="3:9" ht="14.1" customHeight="1">
      <c r="C565" s="16">
        <v>3</v>
      </c>
      <c r="D565" s="66" t="s">
        <v>211</v>
      </c>
      <c r="E565" s="26"/>
      <c r="F565" s="67" t="s">
        <v>19</v>
      </c>
      <c r="G565" s="97">
        <v>1.4E-2</v>
      </c>
      <c r="H565" s="24"/>
      <c r="I565" s="928">
        <f>G565*H565</f>
        <v>0</v>
      </c>
    </row>
    <row r="566" spans="3:9" ht="14.1" customHeight="1">
      <c r="C566" s="1099" t="s">
        <v>18</v>
      </c>
      <c r="D566" s="1100"/>
      <c r="E566" s="1100"/>
      <c r="F566" s="1100"/>
      <c r="G566" s="1100"/>
      <c r="H566" s="1101"/>
      <c r="I566" s="929">
        <f>SUM(I562:I565)</f>
        <v>0</v>
      </c>
    </row>
    <row r="567" spans="3:9" ht="14.1" customHeight="1">
      <c r="C567" s="16" t="s">
        <v>9</v>
      </c>
      <c r="D567" s="17" t="s">
        <v>62</v>
      </c>
      <c r="E567" s="74"/>
      <c r="F567" s="15"/>
      <c r="G567" s="60"/>
      <c r="H567" s="15"/>
      <c r="I567" s="927"/>
    </row>
    <row r="568" spans="3:9" ht="14.1" customHeight="1">
      <c r="C568" s="16"/>
      <c r="D568" s="17"/>
      <c r="E568" s="26"/>
      <c r="F568" s="22"/>
      <c r="G568" s="59"/>
      <c r="H568" s="20"/>
      <c r="I568" s="928">
        <f>G568*H568</f>
        <v>0</v>
      </c>
    </row>
    <row r="569" spans="3:9" ht="14.1" customHeight="1">
      <c r="C569" s="1099" t="s">
        <v>63</v>
      </c>
      <c r="D569" s="1100"/>
      <c r="E569" s="1100"/>
      <c r="F569" s="1100"/>
      <c r="G569" s="1100"/>
      <c r="H569" s="1101"/>
      <c r="I569" s="929">
        <f>SUM(I567:I568)</f>
        <v>0</v>
      </c>
    </row>
    <row r="570" spans="3:9" ht="14.1" customHeight="1">
      <c r="C570" s="310" t="s">
        <v>12</v>
      </c>
      <c r="D570" s="1102" t="s">
        <v>64</v>
      </c>
      <c r="E570" s="1103"/>
      <c r="F570" s="1103"/>
      <c r="G570" s="1103"/>
      <c r="H570" s="1104"/>
      <c r="I570" s="929">
        <f>I561+I566+I569</f>
        <v>0</v>
      </c>
    </row>
    <row r="571" spans="3:9" ht="14.1" customHeight="1">
      <c r="C571" s="312" t="s">
        <v>13</v>
      </c>
      <c r="D571" s="1105" t="s">
        <v>65</v>
      </c>
      <c r="E571" s="1106"/>
      <c r="F571" s="1107"/>
      <c r="G571" s="34"/>
      <c r="H571" s="29">
        <f>I570</f>
        <v>0</v>
      </c>
      <c r="I571" s="930">
        <f>G571*H571</f>
        <v>0</v>
      </c>
    </row>
    <row r="572" spans="3:9" ht="14.1" customHeight="1" thickBot="1">
      <c r="C572" s="311" t="s">
        <v>14</v>
      </c>
      <c r="D572" s="1096" t="s">
        <v>73</v>
      </c>
      <c r="E572" s="1097"/>
      <c r="F572" s="1097"/>
      <c r="G572" s="1097"/>
      <c r="H572" s="1098"/>
      <c r="I572" s="931">
        <f>I570+I571</f>
        <v>0</v>
      </c>
    </row>
  </sheetData>
  <mergeCells count="214">
    <mergeCell ref="D550:F550"/>
    <mergeCell ref="G550:H550"/>
    <mergeCell ref="D551:H551"/>
    <mergeCell ref="D513:H513"/>
    <mergeCell ref="D514:F514"/>
    <mergeCell ref="G514:H514"/>
    <mergeCell ref="D515:H515"/>
    <mergeCell ref="G524:H524"/>
    <mergeCell ref="G527:H527"/>
    <mergeCell ref="G530:H530"/>
    <mergeCell ref="D531:H531"/>
    <mergeCell ref="D532:F532"/>
    <mergeCell ref="G532:H532"/>
    <mergeCell ref="D497:H497"/>
    <mergeCell ref="G506:H506"/>
    <mergeCell ref="G509:H509"/>
    <mergeCell ref="G512:H512"/>
    <mergeCell ref="D533:H533"/>
    <mergeCell ref="G542:H542"/>
    <mergeCell ref="G545:H545"/>
    <mergeCell ref="G548:H548"/>
    <mergeCell ref="D549:H549"/>
    <mergeCell ref="D477:F477"/>
    <mergeCell ref="G477:H477"/>
    <mergeCell ref="D478:H478"/>
    <mergeCell ref="G487:H487"/>
    <mergeCell ref="G491:H491"/>
    <mergeCell ref="G494:H494"/>
    <mergeCell ref="D495:H495"/>
    <mergeCell ref="D496:F496"/>
    <mergeCell ref="G496:H496"/>
    <mergeCell ref="G457:H457"/>
    <mergeCell ref="D458:H458"/>
    <mergeCell ref="D459:F459"/>
    <mergeCell ref="G459:H459"/>
    <mergeCell ref="D460:H460"/>
    <mergeCell ref="G469:H469"/>
    <mergeCell ref="G472:H472"/>
    <mergeCell ref="G475:H475"/>
    <mergeCell ref="D476:H476"/>
    <mergeCell ref="G432:H432"/>
    <mergeCell ref="G436:H436"/>
    <mergeCell ref="G439:H439"/>
    <mergeCell ref="D440:H440"/>
    <mergeCell ref="D441:F441"/>
    <mergeCell ref="G441:H441"/>
    <mergeCell ref="D442:H442"/>
    <mergeCell ref="G451:H451"/>
    <mergeCell ref="G454:H454"/>
    <mergeCell ref="G9:H9"/>
    <mergeCell ref="G13:H13"/>
    <mergeCell ref="G16:H16"/>
    <mergeCell ref="D17:H17"/>
    <mergeCell ref="D18:F18"/>
    <mergeCell ref="G18:H18"/>
    <mergeCell ref="D19:H19"/>
    <mergeCell ref="G28:H28"/>
    <mergeCell ref="G32:H32"/>
    <mergeCell ref="G35:H35"/>
    <mergeCell ref="D36:H36"/>
    <mergeCell ref="D37:F37"/>
    <mergeCell ref="G37:H37"/>
    <mergeCell ref="D38:H38"/>
    <mergeCell ref="G47:H47"/>
    <mergeCell ref="G51:H51"/>
    <mergeCell ref="G54:H54"/>
    <mergeCell ref="D55:H55"/>
    <mergeCell ref="D56:F56"/>
    <mergeCell ref="G56:H56"/>
    <mergeCell ref="D57:H57"/>
    <mergeCell ref="G66:H66"/>
    <mergeCell ref="G70:H70"/>
    <mergeCell ref="G73:H73"/>
    <mergeCell ref="D74:H74"/>
    <mergeCell ref="D75:F75"/>
    <mergeCell ref="G75:H75"/>
    <mergeCell ref="D76:H76"/>
    <mergeCell ref="G85:H85"/>
    <mergeCell ref="G89:H89"/>
    <mergeCell ref="G92:H92"/>
    <mergeCell ref="D93:H93"/>
    <mergeCell ref="D94:F94"/>
    <mergeCell ref="G94:H94"/>
    <mergeCell ref="D95:H95"/>
    <mergeCell ref="G104:H104"/>
    <mergeCell ref="G108:H108"/>
    <mergeCell ref="G111:H111"/>
    <mergeCell ref="D113:F113"/>
    <mergeCell ref="G113:H113"/>
    <mergeCell ref="D114:H114"/>
    <mergeCell ref="G123:H123"/>
    <mergeCell ref="G127:H127"/>
    <mergeCell ref="G130:H130"/>
    <mergeCell ref="G132:H132"/>
    <mergeCell ref="D112:H112"/>
    <mergeCell ref="D131:H131"/>
    <mergeCell ref="D132:F132"/>
    <mergeCell ref="G142:H142"/>
    <mergeCell ref="G146:H146"/>
    <mergeCell ref="G149:H149"/>
    <mergeCell ref="G152:H152"/>
    <mergeCell ref="D151:H151"/>
    <mergeCell ref="G162:H162"/>
    <mergeCell ref="G167:H167"/>
    <mergeCell ref="G170:H170"/>
    <mergeCell ref="D171:H171"/>
    <mergeCell ref="D172:F172"/>
    <mergeCell ref="D173:H173"/>
    <mergeCell ref="G172:H172"/>
    <mergeCell ref="G181:H181"/>
    <mergeCell ref="G186:H186"/>
    <mergeCell ref="G189:H189"/>
    <mergeCell ref="D190:H190"/>
    <mergeCell ref="D191:F191"/>
    <mergeCell ref="G191:H191"/>
    <mergeCell ref="D192:H192"/>
    <mergeCell ref="G201:H201"/>
    <mergeCell ref="G206:H206"/>
    <mergeCell ref="G209:H209"/>
    <mergeCell ref="D210:H210"/>
    <mergeCell ref="D211:F211"/>
    <mergeCell ref="G211:H211"/>
    <mergeCell ref="D212:H212"/>
    <mergeCell ref="G221:H221"/>
    <mergeCell ref="G226:H226"/>
    <mergeCell ref="G229:H229"/>
    <mergeCell ref="D230:H230"/>
    <mergeCell ref="D231:F231"/>
    <mergeCell ref="G231:H231"/>
    <mergeCell ref="D232:H232"/>
    <mergeCell ref="G241:H241"/>
    <mergeCell ref="G245:H245"/>
    <mergeCell ref="G248:H248"/>
    <mergeCell ref="D250:F250"/>
    <mergeCell ref="G250:H250"/>
    <mergeCell ref="D251:H251"/>
    <mergeCell ref="C554:C555"/>
    <mergeCell ref="D554:D555"/>
    <mergeCell ref="E554:E555"/>
    <mergeCell ref="F554:F555"/>
    <mergeCell ref="G554:G555"/>
    <mergeCell ref="G260:H260"/>
    <mergeCell ref="G264:H264"/>
    <mergeCell ref="G267:H267"/>
    <mergeCell ref="D268:H268"/>
    <mergeCell ref="D269:F269"/>
    <mergeCell ref="G269:H269"/>
    <mergeCell ref="D270:H270"/>
    <mergeCell ref="G279:H279"/>
    <mergeCell ref="G283:H283"/>
    <mergeCell ref="G286:H286"/>
    <mergeCell ref="D287:H287"/>
    <mergeCell ref="D385:H385"/>
    <mergeCell ref="D421:H421"/>
    <mergeCell ref="D422:F422"/>
    <mergeCell ref="G422:H422"/>
    <mergeCell ref="D423:H423"/>
    <mergeCell ref="G401:H401"/>
    <mergeCell ref="D346:F346"/>
    <mergeCell ref="G346:H346"/>
    <mergeCell ref="D347:H347"/>
    <mergeCell ref="G356:H356"/>
    <mergeCell ref="G360:H360"/>
    <mergeCell ref="G413:H413"/>
    <mergeCell ref="G417:H417"/>
    <mergeCell ref="G420:H420"/>
    <mergeCell ref="D133:H133"/>
    <mergeCell ref="D152:F152"/>
    <mergeCell ref="D153:H153"/>
    <mergeCell ref="G326:H326"/>
    <mergeCell ref="D327:H327"/>
    <mergeCell ref="G336:H336"/>
    <mergeCell ref="G341:H341"/>
    <mergeCell ref="G344:H344"/>
    <mergeCell ref="D345:H345"/>
    <mergeCell ref="G288:H288"/>
    <mergeCell ref="D289:H289"/>
    <mergeCell ref="G298:H298"/>
    <mergeCell ref="G302:H302"/>
    <mergeCell ref="G305:H305"/>
    <mergeCell ref="D306:H306"/>
    <mergeCell ref="D307:F307"/>
    <mergeCell ref="G307:H307"/>
    <mergeCell ref="D308:H308"/>
    <mergeCell ref="G317:H317"/>
    <mergeCell ref="G321:H321"/>
    <mergeCell ref="G324:H324"/>
    <mergeCell ref="D325:H325"/>
    <mergeCell ref="D326:F326"/>
    <mergeCell ref="D249:H249"/>
    <mergeCell ref="C561:H561"/>
    <mergeCell ref="C566:H566"/>
    <mergeCell ref="D571:F571"/>
    <mergeCell ref="D572:H572"/>
    <mergeCell ref="D288:F288"/>
    <mergeCell ref="G363:H363"/>
    <mergeCell ref="D364:H364"/>
    <mergeCell ref="D365:F365"/>
    <mergeCell ref="G365:H365"/>
    <mergeCell ref="D366:H366"/>
    <mergeCell ref="G375:H375"/>
    <mergeCell ref="G379:H379"/>
    <mergeCell ref="G382:H382"/>
    <mergeCell ref="D383:H383"/>
    <mergeCell ref="D384:F384"/>
    <mergeCell ref="G384:H384"/>
    <mergeCell ref="C569:H569"/>
    <mergeCell ref="D570:H570"/>
    <mergeCell ref="D402:H402"/>
    <mergeCell ref="D403:F403"/>
    <mergeCell ref="G403:H403"/>
    <mergeCell ref="D404:H404"/>
    <mergeCell ref="G394:H394"/>
    <mergeCell ref="G398:H398"/>
  </mergeCells>
  <printOptions horizontalCentered="1"/>
  <pageMargins left="0.78740157480314965" right="0.19685039370078741" top="0.74803149606299213" bottom="0.74803149606299213" header="0.31496062992125984" footer="0.31496062992125984"/>
  <pageSetup paperSize="258" scale="95" firstPageNumber="65" fitToHeight="0" orientation="portrait" useFirstPageNumber="1" horizontalDpi="4294967293" r:id="rId1"/>
  <headerFooter>
    <oddFooter>&amp;R&amp;P</oddFooter>
  </headerFooter>
  <rowBreaks count="9" manualBreakCount="9">
    <brk id="57" min="1" max="8" man="1"/>
    <brk id="114" max="16383" man="1"/>
    <brk id="173" max="16383" man="1"/>
    <brk id="232" min="1" max="8" man="1"/>
    <brk id="290" max="16383" man="1"/>
    <brk id="347" max="16383" man="1"/>
    <brk id="405" max="16383" man="1"/>
    <brk id="460" max="16383" man="1"/>
    <brk id="516" min="1" max="8" man="1"/>
  </rowBreaks>
  <colBreaks count="1" manualBreakCount="1">
    <brk id="9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theme="3" tint="0.59999389629810485"/>
  </sheetPr>
  <dimension ref="B2:J1548"/>
  <sheetViews>
    <sheetView showGridLines="0" view="pageBreakPreview" zoomScale="85" zoomScaleNormal="70" zoomScaleSheetLayoutView="85" workbookViewId="0">
      <selection activeCell="C1528" sqref="C1528:I1528"/>
    </sheetView>
  </sheetViews>
  <sheetFormatPr defaultRowHeight="12.75"/>
  <cols>
    <col min="1" max="1" width="9.140625" style="2"/>
    <col min="2" max="2" width="4.7109375" style="4" customWidth="1"/>
    <col min="3" max="3" width="4.5703125" style="4" customWidth="1"/>
    <col min="4" max="4" width="29.42578125" style="2" customWidth="1"/>
    <col min="5" max="5" width="9.140625" style="3" customWidth="1"/>
    <col min="6" max="6" width="6" style="4" customWidth="1"/>
    <col min="7" max="7" width="11" style="4" bestFit="1" customWidth="1"/>
    <col min="8" max="8" width="13.7109375" style="547" customWidth="1"/>
    <col min="9" max="9" width="13.140625" style="547" customWidth="1"/>
    <col min="10" max="10" width="9.140625" style="2" hidden="1" customWidth="1"/>
    <col min="11" max="16384" width="9.140625" style="2"/>
  </cols>
  <sheetData>
    <row r="2" spans="2:9">
      <c r="B2" s="10" t="s">
        <v>462</v>
      </c>
      <c r="C2" s="63" t="str">
        <f>'[1]Lamp_1 (Konstruksi 1-199)'!$D$1703</f>
        <v>PEKERJAAN PENUTUP LANTAI DAN DINDING</v>
      </c>
    </row>
    <row r="3" spans="2:9">
      <c r="C3" s="1"/>
    </row>
    <row r="4" spans="2:9" s="567" customFormat="1" ht="15.95" customHeight="1" thickBot="1">
      <c r="B4" s="598">
        <v>1</v>
      </c>
      <c r="C4" s="566" t="s">
        <v>1222</v>
      </c>
      <c r="H4" s="568"/>
      <c r="I4" s="568"/>
    </row>
    <row r="5" spans="2:9" s="580" customFormat="1" ht="35.1" customHeight="1" thickBot="1">
      <c r="B5" s="602"/>
      <c r="C5" s="334" t="s">
        <v>840</v>
      </c>
      <c r="D5" s="335" t="s">
        <v>841</v>
      </c>
      <c r="E5" s="335" t="s">
        <v>842</v>
      </c>
      <c r="F5" s="335" t="s">
        <v>843</v>
      </c>
      <c r="G5" s="335" t="s">
        <v>844</v>
      </c>
      <c r="H5" s="335" t="s">
        <v>845</v>
      </c>
      <c r="I5" s="337" t="s">
        <v>846</v>
      </c>
    </row>
    <row r="6" spans="2:9" s="580" customFormat="1" ht="12" customHeight="1">
      <c r="B6" s="602"/>
      <c r="C6" s="543" t="s">
        <v>7</v>
      </c>
      <c r="D6" s="289" t="s">
        <v>810</v>
      </c>
      <c r="E6" s="299"/>
      <c r="F6" s="299"/>
      <c r="G6" s="299"/>
      <c r="H6" s="299"/>
      <c r="I6" s="300"/>
    </row>
    <row r="7" spans="2:9" s="580" customFormat="1" ht="14.1" customHeight="1">
      <c r="B7" s="602"/>
      <c r="C7" s="753"/>
      <c r="D7" s="289" t="s">
        <v>10</v>
      </c>
      <c r="E7" s="285" t="s">
        <v>16</v>
      </c>
      <c r="F7" s="285" t="s">
        <v>726</v>
      </c>
      <c r="G7" s="286">
        <v>0.25</v>
      </c>
      <c r="H7" s="299"/>
      <c r="I7" s="300"/>
    </row>
    <row r="8" spans="2:9" s="580" customFormat="1" ht="14.1" customHeight="1">
      <c r="B8" s="602"/>
      <c r="C8" s="753"/>
      <c r="D8" s="289" t="s">
        <v>1161</v>
      </c>
      <c r="E8" s="285" t="s">
        <v>22</v>
      </c>
      <c r="F8" s="285" t="s">
        <v>726</v>
      </c>
      <c r="G8" s="286">
        <v>0.125</v>
      </c>
      <c r="H8" s="299"/>
      <c r="I8" s="300"/>
    </row>
    <row r="9" spans="2:9" s="580" customFormat="1" ht="14.1" customHeight="1">
      <c r="B9" s="602"/>
      <c r="C9" s="753"/>
      <c r="D9" s="289" t="s">
        <v>20</v>
      </c>
      <c r="E9" s="285" t="s">
        <v>21</v>
      </c>
      <c r="F9" s="285" t="s">
        <v>726</v>
      </c>
      <c r="G9" s="286">
        <v>1.2999999999999999E-2</v>
      </c>
      <c r="H9" s="299"/>
      <c r="I9" s="300"/>
    </row>
    <row r="10" spans="2:9" s="580" customFormat="1" ht="14.1" customHeight="1">
      <c r="B10" s="602"/>
      <c r="C10" s="754"/>
      <c r="D10" s="177" t="s">
        <v>11</v>
      </c>
      <c r="E10" s="287" t="s">
        <v>17</v>
      </c>
      <c r="F10" s="287" t="s">
        <v>726</v>
      </c>
      <c r="G10" s="288">
        <v>1.2999999999999999E-2</v>
      </c>
      <c r="H10" s="302"/>
      <c r="I10" s="303"/>
    </row>
    <row r="11" spans="2:9" s="580" customFormat="1" ht="14.1" customHeight="1">
      <c r="B11" s="602"/>
      <c r="C11" s="755"/>
      <c r="D11" s="316"/>
      <c r="E11" s="316"/>
      <c r="F11" s="316"/>
      <c r="G11" s="1155" t="s">
        <v>727</v>
      </c>
      <c r="H11" s="1156"/>
      <c r="I11" s="631"/>
    </row>
    <row r="12" spans="2:9" s="580" customFormat="1" ht="14.1" customHeight="1">
      <c r="B12" s="602"/>
      <c r="C12" s="292" t="s">
        <v>8</v>
      </c>
      <c r="D12" s="293" t="s">
        <v>811</v>
      </c>
      <c r="E12" s="296"/>
      <c r="F12" s="296"/>
      <c r="G12" s="296"/>
      <c r="H12" s="296"/>
      <c r="I12" s="297"/>
    </row>
    <row r="13" spans="2:9" s="580" customFormat="1" ht="14.1" customHeight="1">
      <c r="B13" s="602"/>
      <c r="C13" s="753"/>
      <c r="D13" s="289" t="s">
        <v>1162</v>
      </c>
      <c r="E13" s="299"/>
      <c r="F13" s="285" t="s">
        <v>825</v>
      </c>
      <c r="G13" s="749">
        <v>6.63</v>
      </c>
      <c r="H13" s="299"/>
      <c r="I13" s="300"/>
    </row>
    <row r="14" spans="2:9" s="580" customFormat="1" ht="14.1" customHeight="1">
      <c r="B14" s="602"/>
      <c r="C14" s="753"/>
      <c r="D14" s="289" t="s">
        <v>806</v>
      </c>
      <c r="E14" s="299"/>
      <c r="F14" s="285" t="s">
        <v>56</v>
      </c>
      <c r="G14" s="749">
        <v>9.8000000000000007</v>
      </c>
      <c r="H14" s="299"/>
      <c r="I14" s="300"/>
    </row>
    <row r="15" spans="2:9" s="580" customFormat="1" ht="14.1" customHeight="1">
      <c r="B15" s="602"/>
      <c r="C15" s="754"/>
      <c r="D15" s="177" t="s">
        <v>211</v>
      </c>
      <c r="E15" s="302"/>
      <c r="F15" s="586" t="s">
        <v>1201</v>
      </c>
      <c r="G15" s="288">
        <v>4.4999999999999998E-2</v>
      </c>
      <c r="H15" s="302"/>
      <c r="I15" s="303"/>
    </row>
    <row r="16" spans="2:9" s="580" customFormat="1" ht="14.1" customHeight="1">
      <c r="B16" s="602"/>
      <c r="C16" s="755"/>
      <c r="D16" s="316"/>
      <c r="E16" s="316"/>
      <c r="F16" s="316"/>
      <c r="G16" s="1155" t="s">
        <v>728</v>
      </c>
      <c r="H16" s="1156"/>
      <c r="I16" s="631"/>
    </row>
    <row r="17" spans="2:9" s="580" customFormat="1" ht="14.1" customHeight="1">
      <c r="B17" s="602"/>
      <c r="C17" s="292" t="s">
        <v>9</v>
      </c>
      <c r="D17" s="293" t="s">
        <v>815</v>
      </c>
      <c r="E17" s="296"/>
      <c r="F17" s="296"/>
      <c r="G17" s="296"/>
      <c r="H17" s="296"/>
      <c r="I17" s="297"/>
    </row>
    <row r="18" spans="2:9" s="580" customFormat="1" ht="14.1" customHeight="1">
      <c r="B18" s="602"/>
      <c r="C18" s="754"/>
      <c r="D18" s="302"/>
      <c r="E18" s="302"/>
      <c r="F18" s="302"/>
      <c r="G18" s="302"/>
      <c r="H18" s="302"/>
      <c r="I18" s="303"/>
    </row>
    <row r="19" spans="2:9" s="580" customFormat="1" ht="14.1" customHeight="1">
      <c r="B19" s="602"/>
      <c r="C19" s="755"/>
      <c r="D19" s="316"/>
      <c r="E19" s="316"/>
      <c r="F19" s="316"/>
      <c r="G19" s="1254" t="s">
        <v>729</v>
      </c>
      <c r="H19" s="1254"/>
      <c r="I19" s="631"/>
    </row>
    <row r="20" spans="2:9" s="580" customFormat="1" ht="14.1" customHeight="1">
      <c r="B20" s="602"/>
      <c r="C20" s="290" t="s">
        <v>12</v>
      </c>
      <c r="D20" s="1113" t="s">
        <v>730</v>
      </c>
      <c r="E20" s="1114"/>
      <c r="F20" s="1114"/>
      <c r="G20" s="1160"/>
      <c r="H20" s="1126"/>
      <c r="I20" s="306"/>
    </row>
    <row r="21" spans="2:9" s="580" customFormat="1" ht="14.1" customHeight="1">
      <c r="B21" s="602"/>
      <c r="C21" s="290" t="s">
        <v>13</v>
      </c>
      <c r="D21" s="1116" t="s">
        <v>816</v>
      </c>
      <c r="E21" s="1117"/>
      <c r="F21" s="1118"/>
      <c r="G21" s="1113" t="s">
        <v>740</v>
      </c>
      <c r="H21" s="1115"/>
      <c r="I21" s="306"/>
    </row>
    <row r="22" spans="2:9" s="580" customFormat="1" ht="14.1" customHeight="1" thickBot="1">
      <c r="B22" s="602"/>
      <c r="C22" s="291" t="s">
        <v>14</v>
      </c>
      <c r="D22" s="1119" t="s">
        <v>817</v>
      </c>
      <c r="E22" s="1120"/>
      <c r="F22" s="1120"/>
      <c r="G22" s="1120"/>
      <c r="H22" s="1121"/>
      <c r="I22" s="307"/>
    </row>
    <row r="23" spans="2:9" s="580" customFormat="1" ht="14.1" customHeight="1">
      <c r="B23" s="602"/>
      <c r="C23" s="623"/>
      <c r="D23" s="576"/>
      <c r="E23" s="576"/>
      <c r="F23" s="576"/>
      <c r="G23" s="576"/>
      <c r="H23" s="915"/>
      <c r="I23" s="316"/>
    </row>
    <row r="24" spans="2:9" s="567" customFormat="1" ht="15.95" customHeight="1" thickBot="1">
      <c r="B24" s="598">
        <v>2</v>
      </c>
      <c r="C24" s="566" t="s">
        <v>1223</v>
      </c>
      <c r="H24" s="568"/>
      <c r="I24" s="568"/>
    </row>
    <row r="25" spans="2:9" s="580" customFormat="1" ht="35.1" customHeight="1" thickBot="1">
      <c r="B25" s="602"/>
      <c r="C25" s="334" t="s">
        <v>840</v>
      </c>
      <c r="D25" s="335" t="s">
        <v>841</v>
      </c>
      <c r="E25" s="335" t="s">
        <v>842</v>
      </c>
      <c r="F25" s="335" t="s">
        <v>843</v>
      </c>
      <c r="G25" s="335" t="s">
        <v>844</v>
      </c>
      <c r="H25" s="335" t="s">
        <v>845</v>
      </c>
      <c r="I25" s="337" t="s">
        <v>846</v>
      </c>
    </row>
    <row r="26" spans="2:9" s="580" customFormat="1" ht="14.1" customHeight="1">
      <c r="B26" s="602"/>
      <c r="C26" s="543" t="s">
        <v>7</v>
      </c>
      <c r="D26" s="289" t="s">
        <v>810</v>
      </c>
      <c r="E26" s="299"/>
      <c r="F26" s="299"/>
      <c r="G26" s="299"/>
      <c r="H26" s="299"/>
      <c r="I26" s="300"/>
    </row>
    <row r="27" spans="2:9" s="580" customFormat="1" ht="14.1" customHeight="1">
      <c r="B27" s="602"/>
      <c r="C27" s="753"/>
      <c r="D27" s="289" t="s">
        <v>10</v>
      </c>
      <c r="E27" s="285" t="s">
        <v>16</v>
      </c>
      <c r="F27" s="285" t="s">
        <v>726</v>
      </c>
      <c r="G27" s="286">
        <v>0.25</v>
      </c>
      <c r="H27" s="299"/>
      <c r="I27" s="300"/>
    </row>
    <row r="28" spans="2:9" s="580" customFormat="1" ht="14.1" customHeight="1">
      <c r="B28" s="602"/>
      <c r="C28" s="753"/>
      <c r="D28" s="289" t="s">
        <v>143</v>
      </c>
      <c r="E28" s="285" t="s">
        <v>22</v>
      </c>
      <c r="F28" s="285" t="s">
        <v>726</v>
      </c>
      <c r="G28" s="286">
        <v>0.125</v>
      </c>
      <c r="H28" s="299"/>
      <c r="I28" s="300"/>
    </row>
    <row r="29" spans="2:9" s="580" customFormat="1" ht="14.1" customHeight="1">
      <c r="B29" s="602"/>
      <c r="C29" s="753"/>
      <c r="D29" s="289" t="s">
        <v>20</v>
      </c>
      <c r="E29" s="285" t="s">
        <v>21</v>
      </c>
      <c r="F29" s="285" t="s">
        <v>726</v>
      </c>
      <c r="G29" s="286">
        <v>1.2999999999999999E-2</v>
      </c>
      <c r="H29" s="299"/>
      <c r="I29" s="300"/>
    </row>
    <row r="30" spans="2:9" s="580" customFormat="1" ht="14.1" customHeight="1">
      <c r="B30" s="602"/>
      <c r="C30" s="754"/>
      <c r="D30" s="177" t="s">
        <v>11</v>
      </c>
      <c r="E30" s="287" t="s">
        <v>17</v>
      </c>
      <c r="F30" s="287" t="s">
        <v>726</v>
      </c>
      <c r="G30" s="288">
        <v>1.2999999999999999E-2</v>
      </c>
      <c r="H30" s="302"/>
      <c r="I30" s="303"/>
    </row>
    <row r="31" spans="2:9" s="580" customFormat="1" ht="14.1" customHeight="1">
      <c r="B31" s="602"/>
      <c r="C31" s="755"/>
      <c r="D31" s="316"/>
      <c r="E31" s="316"/>
      <c r="F31" s="316"/>
      <c r="G31" s="1155" t="s">
        <v>727</v>
      </c>
      <c r="H31" s="1156"/>
      <c r="I31" s="631"/>
    </row>
    <row r="32" spans="2:9" s="580" customFormat="1" ht="14.1" customHeight="1">
      <c r="B32" s="602"/>
      <c r="C32" s="292" t="s">
        <v>8</v>
      </c>
      <c r="D32" s="293" t="s">
        <v>811</v>
      </c>
      <c r="E32" s="296"/>
      <c r="F32" s="296"/>
      <c r="G32" s="296"/>
      <c r="H32" s="296"/>
      <c r="I32" s="297"/>
    </row>
    <row r="33" spans="2:9" s="580" customFormat="1" ht="14.1" customHeight="1">
      <c r="B33" s="602"/>
      <c r="C33" s="753"/>
      <c r="D33" s="289" t="s">
        <v>1162</v>
      </c>
      <c r="E33" s="299"/>
      <c r="F33" s="285" t="s">
        <v>1163</v>
      </c>
      <c r="G33" s="749">
        <v>11.87</v>
      </c>
      <c r="H33" s="299"/>
      <c r="I33" s="300"/>
    </row>
    <row r="34" spans="2:9" s="580" customFormat="1" ht="14.1" customHeight="1">
      <c r="B34" s="602"/>
      <c r="C34" s="753"/>
      <c r="D34" s="289" t="s">
        <v>806</v>
      </c>
      <c r="E34" s="299"/>
      <c r="F34" s="285" t="s">
        <v>56</v>
      </c>
      <c r="G34" s="749">
        <v>10</v>
      </c>
      <c r="H34" s="299"/>
      <c r="I34" s="300"/>
    </row>
    <row r="35" spans="2:9" s="580" customFormat="1" ht="14.1" customHeight="1">
      <c r="B35" s="602"/>
      <c r="C35" s="754"/>
      <c r="D35" s="177" t="s">
        <v>211</v>
      </c>
      <c r="E35" s="302"/>
      <c r="F35" s="586" t="s">
        <v>1201</v>
      </c>
      <c r="G35" s="288">
        <v>4.4999999999999998E-2</v>
      </c>
      <c r="H35" s="302"/>
      <c r="I35" s="303"/>
    </row>
    <row r="36" spans="2:9" s="580" customFormat="1" ht="14.1" customHeight="1">
      <c r="B36" s="602"/>
      <c r="C36" s="755"/>
      <c r="D36" s="316"/>
      <c r="E36" s="316"/>
      <c r="F36" s="316"/>
      <c r="G36" s="1155" t="s">
        <v>728</v>
      </c>
      <c r="H36" s="1156"/>
      <c r="I36" s="584"/>
    </row>
    <row r="37" spans="2:9" s="580" customFormat="1" ht="14.1" customHeight="1">
      <c r="B37" s="602"/>
      <c r="C37" s="292" t="s">
        <v>9</v>
      </c>
      <c r="D37" s="293" t="s">
        <v>815</v>
      </c>
      <c r="E37" s="296"/>
      <c r="F37" s="296"/>
      <c r="G37" s="296"/>
      <c r="H37" s="296"/>
      <c r="I37" s="297"/>
    </row>
    <row r="38" spans="2:9" s="580" customFormat="1" ht="14.1" customHeight="1">
      <c r="B38" s="602"/>
      <c r="C38" s="754"/>
      <c r="D38" s="302"/>
      <c r="E38" s="302"/>
      <c r="F38" s="302"/>
      <c r="G38" s="302"/>
      <c r="H38" s="302"/>
      <c r="I38" s="303"/>
    </row>
    <row r="39" spans="2:9" s="580" customFormat="1" ht="14.1" customHeight="1">
      <c r="B39" s="602"/>
      <c r="C39" s="757"/>
      <c r="D39" s="582"/>
      <c r="E39" s="582"/>
      <c r="F39" s="590"/>
      <c r="G39" s="1163" t="s">
        <v>729</v>
      </c>
      <c r="H39" s="1164"/>
      <c r="I39" s="584"/>
    </row>
    <row r="40" spans="2:9" s="580" customFormat="1" ht="14.1" customHeight="1">
      <c r="B40" s="602"/>
      <c r="C40" s="574" t="s">
        <v>12</v>
      </c>
      <c r="D40" s="1125" t="s">
        <v>730</v>
      </c>
      <c r="E40" s="1160"/>
      <c r="F40" s="1160"/>
      <c r="G40" s="1160"/>
      <c r="H40" s="1126"/>
      <c r="I40" s="305"/>
    </row>
    <row r="41" spans="2:9" s="580" customFormat="1" ht="14.1" customHeight="1">
      <c r="B41" s="602"/>
      <c r="C41" s="290" t="s">
        <v>13</v>
      </c>
      <c r="D41" s="1116" t="s">
        <v>816</v>
      </c>
      <c r="E41" s="1117"/>
      <c r="F41" s="1118"/>
      <c r="G41" s="1113" t="s">
        <v>740</v>
      </c>
      <c r="H41" s="1115"/>
      <c r="I41" s="306"/>
    </row>
    <row r="42" spans="2:9" s="580" customFormat="1" ht="14.1" customHeight="1" thickBot="1">
      <c r="B42" s="602"/>
      <c r="C42" s="291" t="s">
        <v>14</v>
      </c>
      <c r="D42" s="1119" t="s">
        <v>817</v>
      </c>
      <c r="E42" s="1120"/>
      <c r="F42" s="1120"/>
      <c r="G42" s="1120"/>
      <c r="H42" s="1121"/>
      <c r="I42" s="307"/>
    </row>
    <row r="43" spans="2:9" s="580" customFormat="1" ht="14.1" customHeight="1">
      <c r="B43" s="602"/>
      <c r="H43" s="316"/>
      <c r="I43" s="316"/>
    </row>
    <row r="44" spans="2:9" s="567" customFormat="1" ht="15.95" customHeight="1" thickBot="1">
      <c r="B44" s="598">
        <v>3</v>
      </c>
      <c r="C44" s="566" t="s">
        <v>1224</v>
      </c>
      <c r="H44" s="568"/>
      <c r="I44" s="568"/>
    </row>
    <row r="45" spans="2:9" s="580" customFormat="1" ht="35.1" customHeight="1" thickBot="1">
      <c r="B45" s="602"/>
      <c r="C45" s="334" t="s">
        <v>840</v>
      </c>
      <c r="D45" s="335" t="s">
        <v>841</v>
      </c>
      <c r="E45" s="335" t="s">
        <v>842</v>
      </c>
      <c r="F45" s="335" t="s">
        <v>843</v>
      </c>
      <c r="G45" s="335" t="s">
        <v>844</v>
      </c>
      <c r="H45" s="335" t="s">
        <v>845</v>
      </c>
      <c r="I45" s="337" t="s">
        <v>846</v>
      </c>
    </row>
    <row r="46" spans="2:9" s="580" customFormat="1" ht="14.1" customHeight="1">
      <c r="B46" s="602"/>
      <c r="C46" s="543" t="s">
        <v>7</v>
      </c>
      <c r="D46" s="289" t="s">
        <v>810</v>
      </c>
      <c r="E46" s="299"/>
      <c r="F46" s="299"/>
      <c r="G46" s="299"/>
      <c r="H46" s="299"/>
      <c r="I46" s="300"/>
    </row>
    <row r="47" spans="2:9" s="580" customFormat="1" ht="14.1" customHeight="1">
      <c r="B47" s="602"/>
      <c r="C47" s="753"/>
      <c r="D47" s="289" t="s">
        <v>10</v>
      </c>
      <c r="E47" s="285" t="s">
        <v>16</v>
      </c>
      <c r="F47" s="285" t="s">
        <v>726</v>
      </c>
      <c r="G47" s="286">
        <v>0.27</v>
      </c>
      <c r="H47" s="299"/>
      <c r="I47" s="300"/>
    </row>
    <row r="48" spans="2:9" s="580" customFormat="1" ht="14.1" customHeight="1">
      <c r="B48" s="602"/>
      <c r="C48" s="753"/>
      <c r="D48" s="289" t="s">
        <v>143</v>
      </c>
      <c r="E48" s="285" t="s">
        <v>22</v>
      </c>
      <c r="F48" s="285" t="s">
        <v>726</v>
      </c>
      <c r="G48" s="286">
        <v>0.13500000000000001</v>
      </c>
      <c r="H48" s="299"/>
      <c r="I48" s="300"/>
    </row>
    <row r="49" spans="2:9" s="580" customFormat="1" ht="14.1" customHeight="1">
      <c r="B49" s="602"/>
      <c r="C49" s="753"/>
      <c r="D49" s="289" t="s">
        <v>20</v>
      </c>
      <c r="E49" s="285" t="s">
        <v>21</v>
      </c>
      <c r="F49" s="285" t="s">
        <v>726</v>
      </c>
      <c r="G49" s="286">
        <v>1.4E-2</v>
      </c>
      <c r="H49" s="299"/>
      <c r="I49" s="300"/>
    </row>
    <row r="50" spans="2:9" s="580" customFormat="1" ht="14.1" customHeight="1">
      <c r="B50" s="602"/>
      <c r="C50" s="754"/>
      <c r="D50" s="177" t="s">
        <v>11</v>
      </c>
      <c r="E50" s="287" t="s">
        <v>17</v>
      </c>
      <c r="F50" s="287" t="s">
        <v>726</v>
      </c>
      <c r="G50" s="288">
        <v>1.4E-2</v>
      </c>
      <c r="H50" s="302"/>
      <c r="I50" s="303"/>
    </row>
    <row r="51" spans="2:9" s="580" customFormat="1" ht="14.1" customHeight="1">
      <c r="B51" s="602"/>
      <c r="C51" s="755"/>
      <c r="D51" s="316"/>
      <c r="E51" s="316"/>
      <c r="F51" s="316"/>
      <c r="G51" s="1155" t="s">
        <v>727</v>
      </c>
      <c r="H51" s="1156"/>
      <c r="I51" s="631"/>
    </row>
    <row r="52" spans="2:9" s="580" customFormat="1" ht="14.1" customHeight="1">
      <c r="B52" s="602"/>
      <c r="C52" s="292" t="s">
        <v>8</v>
      </c>
      <c r="D52" s="293" t="s">
        <v>811</v>
      </c>
      <c r="E52" s="296"/>
      <c r="F52" s="296"/>
      <c r="G52" s="296"/>
      <c r="H52" s="296"/>
      <c r="I52" s="297"/>
    </row>
    <row r="53" spans="2:9" s="580" customFormat="1" ht="14.1" customHeight="1">
      <c r="B53" s="602"/>
      <c r="C53" s="753"/>
      <c r="D53" s="289" t="s">
        <v>1162</v>
      </c>
      <c r="E53" s="299"/>
      <c r="F53" s="285" t="s">
        <v>825</v>
      </c>
      <c r="G53" s="749">
        <v>26.5</v>
      </c>
      <c r="H53" s="299"/>
      <c r="I53" s="300"/>
    </row>
    <row r="54" spans="2:9" s="580" customFormat="1" ht="14.1" customHeight="1">
      <c r="B54" s="602"/>
      <c r="C54" s="753"/>
      <c r="D54" s="289" t="s">
        <v>806</v>
      </c>
      <c r="E54" s="299"/>
      <c r="F54" s="285" t="s">
        <v>56</v>
      </c>
      <c r="G54" s="749">
        <v>10.4</v>
      </c>
      <c r="H54" s="299"/>
      <c r="I54" s="300"/>
    </row>
    <row r="55" spans="2:9" s="580" customFormat="1" ht="14.1" customHeight="1">
      <c r="B55" s="602"/>
      <c r="C55" s="754"/>
      <c r="D55" s="177" t="s">
        <v>211</v>
      </c>
      <c r="E55" s="302"/>
      <c r="F55" s="586" t="s">
        <v>1201</v>
      </c>
      <c r="G55" s="288">
        <v>4.4999999999999998E-2</v>
      </c>
      <c r="H55" s="302"/>
      <c r="I55" s="303"/>
    </row>
    <row r="56" spans="2:9" s="580" customFormat="1" ht="14.1" customHeight="1">
      <c r="B56" s="602"/>
      <c r="C56" s="755"/>
      <c r="D56" s="316"/>
      <c r="E56" s="316"/>
      <c r="F56" s="316"/>
      <c r="G56" s="1155" t="s">
        <v>728</v>
      </c>
      <c r="H56" s="1156"/>
      <c r="I56" s="631"/>
    </row>
    <row r="57" spans="2:9" s="580" customFormat="1" ht="14.1" customHeight="1">
      <c r="B57" s="602"/>
      <c r="C57" s="292" t="s">
        <v>9</v>
      </c>
      <c r="D57" s="293" t="s">
        <v>815</v>
      </c>
      <c r="E57" s="296"/>
      <c r="F57" s="296"/>
      <c r="G57" s="296"/>
      <c r="H57" s="296"/>
      <c r="I57" s="297"/>
    </row>
    <row r="58" spans="2:9" s="580" customFormat="1" ht="14.1" customHeight="1">
      <c r="B58" s="602"/>
      <c r="C58" s="754"/>
      <c r="D58" s="302"/>
      <c r="E58" s="302"/>
      <c r="F58" s="302"/>
      <c r="G58" s="302"/>
      <c r="H58" s="302"/>
      <c r="I58" s="303"/>
    </row>
    <row r="59" spans="2:9" s="580" customFormat="1" ht="14.1" customHeight="1">
      <c r="B59" s="602"/>
      <c r="C59" s="757"/>
      <c r="D59" s="582"/>
      <c r="E59" s="582"/>
      <c r="F59" s="590"/>
      <c r="G59" s="1163" t="s">
        <v>729</v>
      </c>
      <c r="H59" s="1164"/>
      <c r="I59" s="584"/>
    </row>
    <row r="60" spans="2:9" s="580" customFormat="1" ht="14.1" customHeight="1">
      <c r="B60" s="602"/>
      <c r="C60" s="574" t="s">
        <v>12</v>
      </c>
      <c r="D60" s="1125" t="s">
        <v>730</v>
      </c>
      <c r="E60" s="1160"/>
      <c r="F60" s="1160"/>
      <c r="G60" s="1160"/>
      <c r="H60" s="1126"/>
      <c r="I60" s="305"/>
    </row>
    <row r="61" spans="2:9" s="580" customFormat="1" ht="14.1" customHeight="1">
      <c r="B61" s="602"/>
      <c r="C61" s="290" t="s">
        <v>13</v>
      </c>
      <c r="D61" s="1116" t="s">
        <v>816</v>
      </c>
      <c r="E61" s="1117"/>
      <c r="F61" s="1118"/>
      <c r="G61" s="1113" t="s">
        <v>740</v>
      </c>
      <c r="H61" s="1115"/>
      <c r="I61" s="306"/>
    </row>
    <row r="62" spans="2:9" s="580" customFormat="1" ht="14.1" customHeight="1" thickBot="1">
      <c r="B62" s="602"/>
      <c r="C62" s="291" t="s">
        <v>14</v>
      </c>
      <c r="D62" s="1119" t="s">
        <v>817</v>
      </c>
      <c r="E62" s="1120"/>
      <c r="F62" s="1120"/>
      <c r="G62" s="1120"/>
      <c r="H62" s="1121"/>
      <c r="I62" s="307"/>
    </row>
    <row r="63" spans="2:9" s="580" customFormat="1" ht="14.1" hidden="1" customHeight="1">
      <c r="B63" s="602"/>
      <c r="C63" s="623"/>
      <c r="D63" s="576"/>
      <c r="E63" s="576"/>
      <c r="F63" s="576"/>
      <c r="G63" s="576"/>
      <c r="H63" s="915"/>
      <c r="I63" s="316"/>
    </row>
    <row r="64" spans="2:9" s="567" customFormat="1" ht="15.95" customHeight="1" thickBot="1">
      <c r="B64" s="598">
        <v>4</v>
      </c>
      <c r="C64" s="566" t="s">
        <v>1225</v>
      </c>
      <c r="H64" s="568"/>
      <c r="I64" s="568"/>
    </row>
    <row r="65" spans="2:9" s="580" customFormat="1" ht="35.1" customHeight="1" thickBot="1">
      <c r="B65" s="602"/>
      <c r="C65" s="334" t="s">
        <v>840</v>
      </c>
      <c r="D65" s="335" t="s">
        <v>841</v>
      </c>
      <c r="E65" s="335" t="s">
        <v>842</v>
      </c>
      <c r="F65" s="335" t="s">
        <v>843</v>
      </c>
      <c r="G65" s="335" t="s">
        <v>844</v>
      </c>
      <c r="H65" s="335" t="s">
        <v>845</v>
      </c>
      <c r="I65" s="337" t="s">
        <v>846</v>
      </c>
    </row>
    <row r="66" spans="2:9" s="580" customFormat="1" ht="14.1" customHeight="1">
      <c r="B66" s="602"/>
      <c r="C66" s="543" t="s">
        <v>7</v>
      </c>
      <c r="D66" s="289" t="s">
        <v>810</v>
      </c>
      <c r="E66" s="299"/>
      <c r="F66" s="299"/>
      <c r="G66" s="299"/>
      <c r="H66" s="299"/>
      <c r="I66" s="300"/>
    </row>
    <row r="67" spans="2:9" s="580" customFormat="1" ht="14.1" customHeight="1">
      <c r="B67" s="602"/>
      <c r="C67" s="753"/>
      <c r="D67" s="289" t="s">
        <v>10</v>
      </c>
      <c r="E67" s="285" t="s">
        <v>16</v>
      </c>
      <c r="F67" s="285" t="s">
        <v>726</v>
      </c>
      <c r="G67" s="286">
        <v>0.25</v>
      </c>
      <c r="H67" s="299"/>
      <c r="I67" s="300"/>
    </row>
    <row r="68" spans="2:9" s="580" customFormat="1" ht="14.1" customHeight="1">
      <c r="B68" s="602"/>
      <c r="C68" s="753"/>
      <c r="D68" s="289" t="s">
        <v>1164</v>
      </c>
      <c r="E68" s="285" t="s">
        <v>22</v>
      </c>
      <c r="F68" s="285" t="s">
        <v>726</v>
      </c>
      <c r="G68" s="286">
        <v>0.125</v>
      </c>
      <c r="H68" s="299"/>
      <c r="I68" s="300"/>
    </row>
    <row r="69" spans="2:9" s="580" customFormat="1" ht="14.1" customHeight="1">
      <c r="B69" s="602"/>
      <c r="C69" s="753"/>
      <c r="D69" s="289" t="s">
        <v>20</v>
      </c>
      <c r="E69" s="285" t="s">
        <v>21</v>
      </c>
      <c r="F69" s="285" t="s">
        <v>726</v>
      </c>
      <c r="G69" s="286">
        <v>1.2999999999999999E-2</v>
      </c>
      <c r="H69" s="299"/>
      <c r="I69" s="300"/>
    </row>
    <row r="70" spans="2:9" s="580" customFormat="1" ht="14.1" customHeight="1">
      <c r="B70" s="602"/>
      <c r="C70" s="754"/>
      <c r="D70" s="177" t="s">
        <v>11</v>
      </c>
      <c r="E70" s="287" t="s">
        <v>17</v>
      </c>
      <c r="F70" s="287" t="s">
        <v>726</v>
      </c>
      <c r="G70" s="288">
        <v>1.2999999999999999E-2</v>
      </c>
      <c r="H70" s="302"/>
      <c r="I70" s="303"/>
    </row>
    <row r="71" spans="2:9" s="580" customFormat="1" ht="14.1" customHeight="1">
      <c r="B71" s="602"/>
      <c r="C71" s="755"/>
      <c r="D71" s="316"/>
      <c r="E71" s="316"/>
      <c r="F71" s="316"/>
      <c r="G71" s="1155" t="s">
        <v>727</v>
      </c>
      <c r="H71" s="1156"/>
      <c r="I71" s="631"/>
    </row>
    <row r="72" spans="2:9" s="580" customFormat="1" ht="14.1" customHeight="1">
      <c r="B72" s="602"/>
      <c r="C72" s="292" t="s">
        <v>8</v>
      </c>
      <c r="D72" s="293" t="s">
        <v>811</v>
      </c>
      <c r="E72" s="296"/>
      <c r="F72" s="296"/>
      <c r="G72" s="296"/>
      <c r="H72" s="296"/>
      <c r="I72" s="297"/>
    </row>
    <row r="73" spans="2:9" s="580" customFormat="1" ht="14.1" customHeight="1">
      <c r="B73" s="602"/>
      <c r="C73" s="753"/>
      <c r="D73" s="289" t="s">
        <v>1165</v>
      </c>
      <c r="E73" s="299"/>
      <c r="F73" s="285" t="s">
        <v>1163</v>
      </c>
      <c r="G73" s="749">
        <v>6.63</v>
      </c>
      <c r="H73" s="299"/>
      <c r="I73" s="300"/>
    </row>
    <row r="74" spans="2:9" s="580" customFormat="1" ht="14.1" customHeight="1">
      <c r="B74" s="602"/>
      <c r="C74" s="753"/>
      <c r="D74" s="289" t="s">
        <v>806</v>
      </c>
      <c r="E74" s="299"/>
      <c r="F74" s="285" t="s">
        <v>56</v>
      </c>
      <c r="G74" s="749">
        <v>9.8000000000000007</v>
      </c>
      <c r="H74" s="299"/>
      <c r="I74" s="300"/>
    </row>
    <row r="75" spans="2:9" s="580" customFormat="1" ht="14.1" customHeight="1">
      <c r="B75" s="602"/>
      <c r="C75" s="753"/>
      <c r="D75" s="289" t="s">
        <v>406</v>
      </c>
      <c r="E75" s="299"/>
      <c r="F75" s="285" t="s">
        <v>734</v>
      </c>
      <c r="G75" s="749">
        <v>0.6</v>
      </c>
      <c r="H75" s="299"/>
      <c r="I75" s="300"/>
    </row>
    <row r="76" spans="2:9" s="580" customFormat="1" ht="14.1" customHeight="1">
      <c r="B76" s="602"/>
      <c r="C76" s="754"/>
      <c r="D76" s="177" t="s">
        <v>211</v>
      </c>
      <c r="E76" s="302"/>
      <c r="F76" s="586" t="s">
        <v>1201</v>
      </c>
      <c r="G76" s="288">
        <v>4.4999999999999998E-2</v>
      </c>
      <c r="H76" s="302"/>
      <c r="I76" s="303"/>
    </row>
    <row r="77" spans="2:9" s="580" customFormat="1" ht="14.1" customHeight="1">
      <c r="B77" s="602"/>
      <c r="C77" s="755"/>
      <c r="D77" s="316"/>
      <c r="E77" s="316"/>
      <c r="F77" s="316"/>
      <c r="G77" s="1155" t="s">
        <v>728</v>
      </c>
      <c r="H77" s="1156"/>
      <c r="I77" s="631"/>
    </row>
    <row r="78" spans="2:9" s="580" customFormat="1" ht="14.1" customHeight="1">
      <c r="B78" s="602"/>
      <c r="C78" s="292" t="s">
        <v>9</v>
      </c>
      <c r="D78" s="293" t="s">
        <v>815</v>
      </c>
      <c r="E78" s="296"/>
      <c r="F78" s="296"/>
      <c r="G78" s="296"/>
      <c r="H78" s="296"/>
      <c r="I78" s="297"/>
    </row>
    <row r="79" spans="2:9" s="580" customFormat="1" ht="14.1" customHeight="1">
      <c r="B79" s="602"/>
      <c r="C79" s="754"/>
      <c r="D79" s="302"/>
      <c r="E79" s="302"/>
      <c r="F79" s="302"/>
      <c r="G79" s="302"/>
      <c r="H79" s="302"/>
      <c r="I79" s="303"/>
    </row>
    <row r="80" spans="2:9" s="580" customFormat="1" ht="14.1" customHeight="1">
      <c r="B80" s="602"/>
      <c r="C80" s="757"/>
      <c r="D80" s="582"/>
      <c r="E80" s="582"/>
      <c r="F80" s="590"/>
      <c r="G80" s="1163" t="s">
        <v>729</v>
      </c>
      <c r="H80" s="1164"/>
      <c r="I80" s="584"/>
    </row>
    <row r="81" spans="2:9" s="580" customFormat="1" ht="14.1" customHeight="1">
      <c r="B81" s="602"/>
      <c r="C81" s="574" t="s">
        <v>12</v>
      </c>
      <c r="D81" s="1125" t="s">
        <v>730</v>
      </c>
      <c r="E81" s="1160"/>
      <c r="F81" s="1160"/>
      <c r="G81" s="1160"/>
      <c r="H81" s="1126"/>
      <c r="I81" s="305"/>
    </row>
    <row r="82" spans="2:9" s="580" customFormat="1" ht="14.1" customHeight="1">
      <c r="B82" s="602"/>
      <c r="C82" s="290" t="s">
        <v>13</v>
      </c>
      <c r="D82" s="1116" t="s">
        <v>816</v>
      </c>
      <c r="E82" s="1117"/>
      <c r="F82" s="1118"/>
      <c r="G82" s="1113" t="s">
        <v>740</v>
      </c>
      <c r="H82" s="1115"/>
      <c r="I82" s="306"/>
    </row>
    <row r="83" spans="2:9" s="580" customFormat="1" ht="14.1" customHeight="1" thickBot="1">
      <c r="B83" s="602"/>
      <c r="C83" s="291" t="s">
        <v>14</v>
      </c>
      <c r="D83" s="1119" t="s">
        <v>817</v>
      </c>
      <c r="E83" s="1120"/>
      <c r="F83" s="1120"/>
      <c r="G83" s="1120"/>
      <c r="H83" s="1121"/>
      <c r="I83" s="307"/>
    </row>
    <row r="84" spans="2:9" s="580" customFormat="1" ht="14.1" customHeight="1">
      <c r="B84" s="602"/>
      <c r="H84" s="316"/>
      <c r="I84" s="316"/>
    </row>
    <row r="85" spans="2:9" s="567" customFormat="1" ht="15.95" customHeight="1" thickBot="1">
      <c r="B85" s="598">
        <v>5</v>
      </c>
      <c r="C85" s="566" t="s">
        <v>1226</v>
      </c>
      <c r="H85" s="568"/>
      <c r="I85" s="568"/>
    </row>
    <row r="86" spans="2:9" s="580" customFormat="1" ht="35.1" customHeight="1" thickBot="1">
      <c r="B86" s="602"/>
      <c r="C86" s="334" t="s">
        <v>840</v>
      </c>
      <c r="D86" s="335" t="s">
        <v>841</v>
      </c>
      <c r="E86" s="335" t="s">
        <v>842</v>
      </c>
      <c r="F86" s="335" t="s">
        <v>843</v>
      </c>
      <c r="G86" s="335" t="s">
        <v>844</v>
      </c>
      <c r="H86" s="335" t="s">
        <v>845</v>
      </c>
      <c r="I86" s="337" t="s">
        <v>846</v>
      </c>
    </row>
    <row r="87" spans="2:9" s="580" customFormat="1" ht="14.1" customHeight="1">
      <c r="B87" s="602"/>
      <c r="C87" s="543" t="s">
        <v>7</v>
      </c>
      <c r="D87" s="289" t="s">
        <v>810</v>
      </c>
      <c r="E87" s="299"/>
      <c r="F87" s="299"/>
      <c r="G87" s="299"/>
      <c r="H87" s="299"/>
      <c r="I87" s="300"/>
    </row>
    <row r="88" spans="2:9" s="580" customFormat="1" ht="14.1" customHeight="1">
      <c r="B88" s="602"/>
      <c r="C88" s="753"/>
      <c r="D88" s="289" t="s">
        <v>10</v>
      </c>
      <c r="E88" s="285" t="s">
        <v>16</v>
      </c>
      <c r="F88" s="285" t="s">
        <v>726</v>
      </c>
      <c r="G88" s="286">
        <v>0.26</v>
      </c>
      <c r="H88" s="299"/>
      <c r="I88" s="300"/>
    </row>
    <row r="89" spans="2:9" s="580" customFormat="1" ht="14.1" customHeight="1">
      <c r="B89" s="602"/>
      <c r="C89" s="753"/>
      <c r="D89" s="289" t="s">
        <v>143</v>
      </c>
      <c r="E89" s="285" t="s">
        <v>22</v>
      </c>
      <c r="F89" s="285" t="s">
        <v>726</v>
      </c>
      <c r="G89" s="749">
        <v>0.13</v>
      </c>
      <c r="H89" s="299"/>
      <c r="I89" s="300"/>
    </row>
    <row r="90" spans="2:9" s="580" customFormat="1" ht="14.1" customHeight="1">
      <c r="B90" s="602"/>
      <c r="C90" s="753"/>
      <c r="D90" s="289" t="s">
        <v>20</v>
      </c>
      <c r="E90" s="285" t="s">
        <v>21</v>
      </c>
      <c r="F90" s="285" t="s">
        <v>726</v>
      </c>
      <c r="G90" s="286">
        <v>1.2999999999999999E-2</v>
      </c>
      <c r="H90" s="299"/>
      <c r="I90" s="300"/>
    </row>
    <row r="91" spans="2:9" s="580" customFormat="1" ht="14.1" customHeight="1">
      <c r="B91" s="602"/>
      <c r="C91" s="754"/>
      <c r="D91" s="177" t="s">
        <v>11</v>
      </c>
      <c r="E91" s="287" t="s">
        <v>17</v>
      </c>
      <c r="F91" s="287" t="s">
        <v>726</v>
      </c>
      <c r="G91" s="288">
        <v>1.2999999999999999E-2</v>
      </c>
      <c r="H91" s="302"/>
      <c r="I91" s="303"/>
    </row>
    <row r="92" spans="2:9" s="580" customFormat="1" ht="14.1" customHeight="1">
      <c r="B92" s="602"/>
      <c r="C92" s="755"/>
      <c r="D92" s="316"/>
      <c r="E92" s="316"/>
      <c r="F92" s="316"/>
      <c r="G92" s="1155" t="s">
        <v>727</v>
      </c>
      <c r="H92" s="1156"/>
      <c r="I92" s="631"/>
    </row>
    <row r="93" spans="2:9" s="580" customFormat="1" ht="14.1" customHeight="1">
      <c r="B93" s="602"/>
      <c r="C93" s="292" t="s">
        <v>8</v>
      </c>
      <c r="D93" s="293" t="s">
        <v>811</v>
      </c>
      <c r="E93" s="296"/>
      <c r="F93" s="296"/>
      <c r="G93" s="296"/>
      <c r="H93" s="296"/>
      <c r="I93" s="297"/>
    </row>
    <row r="94" spans="2:9" s="580" customFormat="1" ht="14.1" customHeight="1">
      <c r="B94" s="602"/>
      <c r="C94" s="753"/>
      <c r="D94" s="289" t="s">
        <v>1165</v>
      </c>
      <c r="E94" s="299"/>
      <c r="F94" s="285" t="s">
        <v>1163</v>
      </c>
      <c r="G94" s="749">
        <v>11.87</v>
      </c>
      <c r="H94" s="299"/>
      <c r="I94" s="300"/>
    </row>
    <row r="95" spans="2:9" s="580" customFormat="1" ht="14.1" customHeight="1">
      <c r="B95" s="602"/>
      <c r="C95" s="753"/>
      <c r="D95" s="289" t="s">
        <v>806</v>
      </c>
      <c r="E95" s="299"/>
      <c r="F95" s="285" t="s">
        <v>56</v>
      </c>
      <c r="G95" s="749">
        <v>10</v>
      </c>
      <c r="H95" s="299"/>
      <c r="I95" s="300"/>
    </row>
    <row r="96" spans="2:9" s="580" customFormat="1" ht="14.1" customHeight="1">
      <c r="B96" s="602"/>
      <c r="C96" s="753"/>
      <c r="D96" s="289" t="s">
        <v>406</v>
      </c>
      <c r="E96" s="299"/>
      <c r="F96" s="285" t="s">
        <v>734</v>
      </c>
      <c r="G96" s="749">
        <v>0.6</v>
      </c>
      <c r="H96" s="299"/>
      <c r="I96" s="300"/>
    </row>
    <row r="97" spans="2:9" s="580" customFormat="1" ht="14.1" customHeight="1">
      <c r="B97" s="602"/>
      <c r="C97" s="754"/>
      <c r="D97" s="177" t="s">
        <v>211</v>
      </c>
      <c r="E97" s="302"/>
      <c r="F97" s="586" t="s">
        <v>1201</v>
      </c>
      <c r="G97" s="288">
        <v>4.4999999999999998E-2</v>
      </c>
      <c r="H97" s="302"/>
      <c r="I97" s="303"/>
    </row>
    <row r="98" spans="2:9" s="580" customFormat="1" ht="14.1" customHeight="1">
      <c r="B98" s="602"/>
      <c r="C98" s="755"/>
      <c r="D98" s="316"/>
      <c r="E98" s="316"/>
      <c r="F98" s="316"/>
      <c r="G98" s="1155" t="s">
        <v>728</v>
      </c>
      <c r="H98" s="1156"/>
      <c r="I98" s="631"/>
    </row>
    <row r="99" spans="2:9" s="580" customFormat="1" ht="14.1" customHeight="1">
      <c r="B99" s="602"/>
      <c r="C99" s="292" t="s">
        <v>9</v>
      </c>
      <c r="D99" s="293" t="s">
        <v>815</v>
      </c>
      <c r="E99" s="296"/>
      <c r="F99" s="296"/>
      <c r="G99" s="296"/>
      <c r="H99" s="296"/>
      <c r="I99" s="297"/>
    </row>
    <row r="100" spans="2:9" s="580" customFormat="1" ht="14.1" customHeight="1">
      <c r="B100" s="602"/>
      <c r="C100" s="754"/>
      <c r="D100" s="302"/>
      <c r="E100" s="302"/>
      <c r="F100" s="302"/>
      <c r="G100" s="302"/>
      <c r="H100" s="302"/>
      <c r="I100" s="303"/>
    </row>
    <row r="101" spans="2:9" s="580" customFormat="1" ht="14.1" customHeight="1">
      <c r="B101" s="602"/>
      <c r="C101" s="757"/>
      <c r="D101" s="582"/>
      <c r="E101" s="582"/>
      <c r="F101" s="590"/>
      <c r="G101" s="1163" t="s">
        <v>729</v>
      </c>
      <c r="H101" s="1164"/>
      <c r="I101" s="584"/>
    </row>
    <row r="102" spans="2:9" s="580" customFormat="1" ht="14.1" customHeight="1">
      <c r="B102" s="602"/>
      <c r="C102" s="574" t="s">
        <v>12</v>
      </c>
      <c r="D102" s="1125" t="s">
        <v>730</v>
      </c>
      <c r="E102" s="1160"/>
      <c r="F102" s="1160"/>
      <c r="G102" s="1160"/>
      <c r="H102" s="1126"/>
      <c r="I102" s="305"/>
    </row>
    <row r="103" spans="2:9" s="580" customFormat="1" ht="14.1" customHeight="1">
      <c r="B103" s="602"/>
      <c r="C103" s="290" t="s">
        <v>13</v>
      </c>
      <c r="D103" s="1116" t="s">
        <v>816</v>
      </c>
      <c r="E103" s="1117"/>
      <c r="F103" s="1118"/>
      <c r="G103" s="1113" t="s">
        <v>740</v>
      </c>
      <c r="H103" s="1115"/>
      <c r="I103" s="306"/>
    </row>
    <row r="104" spans="2:9" s="580" customFormat="1" ht="14.1" customHeight="1" thickBot="1">
      <c r="B104" s="602"/>
      <c r="C104" s="291" t="s">
        <v>14</v>
      </c>
      <c r="D104" s="1119" t="s">
        <v>817</v>
      </c>
      <c r="E104" s="1120"/>
      <c r="F104" s="1120"/>
      <c r="G104" s="1120"/>
      <c r="H104" s="1121"/>
      <c r="I104" s="307"/>
    </row>
    <row r="105" spans="2:9" s="580" customFormat="1" ht="14.1" customHeight="1">
      <c r="B105" s="602"/>
      <c r="C105" s="623"/>
      <c r="D105" s="576"/>
      <c r="E105" s="576"/>
      <c r="F105" s="576"/>
      <c r="G105" s="576"/>
      <c r="H105" s="915"/>
      <c r="I105" s="316"/>
    </row>
    <row r="106" spans="2:9" s="567" customFormat="1" ht="15.95" customHeight="1" thickBot="1">
      <c r="B106" s="598">
        <v>6</v>
      </c>
      <c r="C106" s="566" t="s">
        <v>1227</v>
      </c>
      <c r="H106" s="568"/>
      <c r="I106" s="568"/>
    </row>
    <row r="107" spans="2:9" s="580" customFormat="1" ht="35.1" customHeight="1" thickBot="1">
      <c r="B107" s="602"/>
      <c r="C107" s="334" t="s">
        <v>840</v>
      </c>
      <c r="D107" s="335" t="s">
        <v>841</v>
      </c>
      <c r="E107" s="335" t="s">
        <v>842</v>
      </c>
      <c r="F107" s="335" t="s">
        <v>843</v>
      </c>
      <c r="G107" s="335" t="s">
        <v>844</v>
      </c>
      <c r="H107" s="335" t="s">
        <v>845</v>
      </c>
      <c r="I107" s="337" t="s">
        <v>846</v>
      </c>
    </row>
    <row r="108" spans="2:9" s="580" customFormat="1" ht="14.1" customHeight="1">
      <c r="B108" s="602"/>
      <c r="C108" s="543" t="s">
        <v>7</v>
      </c>
      <c r="D108" s="289" t="s">
        <v>810</v>
      </c>
      <c r="E108" s="299"/>
      <c r="F108" s="299"/>
      <c r="G108" s="299"/>
      <c r="H108" s="299"/>
      <c r="I108" s="300"/>
    </row>
    <row r="109" spans="2:9" s="580" customFormat="1" ht="14.1" customHeight="1">
      <c r="B109" s="602"/>
      <c r="C109" s="753"/>
      <c r="D109" s="289" t="s">
        <v>10</v>
      </c>
      <c r="E109" s="285" t="s">
        <v>16</v>
      </c>
      <c r="F109" s="285" t="s">
        <v>726</v>
      </c>
      <c r="G109" s="286">
        <v>0.27</v>
      </c>
      <c r="H109" s="299"/>
      <c r="I109" s="300"/>
    </row>
    <row r="110" spans="2:9" s="580" customFormat="1" ht="14.1" customHeight="1">
      <c r="B110" s="602"/>
      <c r="C110" s="753"/>
      <c r="D110" s="289" t="s">
        <v>143</v>
      </c>
      <c r="E110" s="285" t="s">
        <v>22</v>
      </c>
      <c r="F110" s="285" t="s">
        <v>726</v>
      </c>
      <c r="G110" s="286">
        <v>0.13500000000000001</v>
      </c>
      <c r="H110" s="299"/>
      <c r="I110" s="300"/>
    </row>
    <row r="111" spans="2:9" s="580" customFormat="1" ht="14.1" customHeight="1">
      <c r="B111" s="602"/>
      <c r="C111" s="753"/>
      <c r="D111" s="289" t="s">
        <v>20</v>
      </c>
      <c r="E111" s="285" t="s">
        <v>21</v>
      </c>
      <c r="F111" s="285" t="s">
        <v>726</v>
      </c>
      <c r="G111" s="286">
        <v>1.4E-2</v>
      </c>
      <c r="H111" s="299"/>
      <c r="I111" s="300"/>
    </row>
    <row r="112" spans="2:9" s="580" customFormat="1" ht="14.1" customHeight="1">
      <c r="B112" s="602"/>
      <c r="C112" s="754"/>
      <c r="D112" s="177" t="s">
        <v>11</v>
      </c>
      <c r="E112" s="287" t="s">
        <v>17</v>
      </c>
      <c r="F112" s="287" t="s">
        <v>726</v>
      </c>
      <c r="G112" s="288">
        <v>1.4E-2</v>
      </c>
      <c r="H112" s="302"/>
      <c r="I112" s="303"/>
    </row>
    <row r="113" spans="2:9" s="580" customFormat="1" ht="14.1" customHeight="1">
      <c r="B113" s="602"/>
      <c r="C113" s="755"/>
      <c r="D113" s="316"/>
      <c r="E113" s="316"/>
      <c r="F113" s="316"/>
      <c r="G113" s="1155" t="s">
        <v>727</v>
      </c>
      <c r="H113" s="1156"/>
      <c r="I113" s="631"/>
    </row>
    <row r="114" spans="2:9" s="580" customFormat="1" ht="14.1" customHeight="1">
      <c r="B114" s="602"/>
      <c r="C114" s="292" t="s">
        <v>8</v>
      </c>
      <c r="D114" s="293" t="s">
        <v>811</v>
      </c>
      <c r="E114" s="296"/>
      <c r="F114" s="296"/>
      <c r="G114" s="296"/>
      <c r="H114" s="296"/>
      <c r="I114" s="297"/>
    </row>
    <row r="115" spans="2:9" s="580" customFormat="1" ht="14.1" customHeight="1">
      <c r="B115" s="602"/>
      <c r="C115" s="753"/>
      <c r="D115" s="289" t="s">
        <v>1165</v>
      </c>
      <c r="E115" s="299"/>
      <c r="F115" s="285" t="s">
        <v>1163</v>
      </c>
      <c r="G115" s="749">
        <v>26.5</v>
      </c>
      <c r="H115" s="299"/>
      <c r="I115" s="300"/>
    </row>
    <row r="116" spans="2:9" s="580" customFormat="1" ht="14.1" customHeight="1">
      <c r="B116" s="602"/>
      <c r="C116" s="753"/>
      <c r="D116" s="289" t="s">
        <v>806</v>
      </c>
      <c r="E116" s="299"/>
      <c r="F116" s="285" t="s">
        <v>56</v>
      </c>
      <c r="G116" s="749">
        <v>10.4</v>
      </c>
      <c r="H116" s="299"/>
      <c r="I116" s="300"/>
    </row>
    <row r="117" spans="2:9" s="580" customFormat="1" ht="14.1" customHeight="1">
      <c r="B117" s="602"/>
      <c r="C117" s="753"/>
      <c r="D117" s="289" t="s">
        <v>406</v>
      </c>
      <c r="E117" s="299"/>
      <c r="F117" s="285" t="s">
        <v>734</v>
      </c>
      <c r="G117" s="749">
        <v>1</v>
      </c>
      <c r="H117" s="299"/>
      <c r="I117" s="300"/>
    </row>
    <row r="118" spans="2:9" s="580" customFormat="1" ht="14.1" customHeight="1">
      <c r="B118" s="602"/>
      <c r="C118" s="754"/>
      <c r="D118" s="177" t="s">
        <v>211</v>
      </c>
      <c r="E118" s="302"/>
      <c r="F118" s="586" t="s">
        <v>1201</v>
      </c>
      <c r="G118" s="288">
        <v>4.4999999999999998E-2</v>
      </c>
      <c r="H118" s="302"/>
      <c r="I118" s="303"/>
    </row>
    <row r="119" spans="2:9" s="580" customFormat="1" ht="14.1" customHeight="1">
      <c r="B119" s="602"/>
      <c r="C119" s="755"/>
      <c r="D119" s="316"/>
      <c r="E119" s="316"/>
      <c r="F119" s="316"/>
      <c r="G119" s="1155" t="s">
        <v>728</v>
      </c>
      <c r="H119" s="1156"/>
      <c r="I119" s="631"/>
    </row>
    <row r="120" spans="2:9" s="580" customFormat="1" ht="14.1" customHeight="1">
      <c r="B120" s="602"/>
      <c r="C120" s="292" t="s">
        <v>9</v>
      </c>
      <c r="D120" s="293" t="s">
        <v>815</v>
      </c>
      <c r="E120" s="296"/>
      <c r="F120" s="296"/>
      <c r="G120" s="296"/>
      <c r="H120" s="296"/>
      <c r="I120" s="297"/>
    </row>
    <row r="121" spans="2:9" s="580" customFormat="1" ht="14.1" customHeight="1">
      <c r="B121" s="602"/>
      <c r="C121" s="754"/>
      <c r="D121" s="302"/>
      <c r="E121" s="302"/>
      <c r="F121" s="302"/>
      <c r="G121" s="302"/>
      <c r="H121" s="302"/>
      <c r="I121" s="303"/>
    </row>
    <row r="122" spans="2:9" s="580" customFormat="1" ht="14.1" customHeight="1">
      <c r="B122" s="602"/>
      <c r="C122" s="757"/>
      <c r="D122" s="582"/>
      <c r="E122" s="582"/>
      <c r="F122" s="590"/>
      <c r="G122" s="1163" t="s">
        <v>729</v>
      </c>
      <c r="H122" s="1164"/>
      <c r="I122" s="584"/>
    </row>
    <row r="123" spans="2:9" s="580" customFormat="1" ht="14.1" customHeight="1">
      <c r="B123" s="602"/>
      <c r="C123" s="574" t="s">
        <v>12</v>
      </c>
      <c r="D123" s="1125" t="s">
        <v>730</v>
      </c>
      <c r="E123" s="1160"/>
      <c r="F123" s="1160"/>
      <c r="G123" s="1160"/>
      <c r="H123" s="1126"/>
      <c r="I123" s="305"/>
    </row>
    <row r="124" spans="2:9" s="580" customFormat="1" ht="14.1" customHeight="1">
      <c r="B124" s="602"/>
      <c r="C124" s="290" t="s">
        <v>13</v>
      </c>
      <c r="D124" s="1116" t="s">
        <v>816</v>
      </c>
      <c r="E124" s="1117"/>
      <c r="F124" s="1118"/>
      <c r="G124" s="1113" t="s">
        <v>740</v>
      </c>
      <c r="H124" s="1115"/>
      <c r="I124" s="306"/>
    </row>
    <row r="125" spans="2:9" s="580" customFormat="1" ht="14.1" customHeight="1" thickBot="1">
      <c r="B125" s="602"/>
      <c r="C125" s="291" t="s">
        <v>14</v>
      </c>
      <c r="D125" s="1119" t="s">
        <v>817</v>
      </c>
      <c r="E125" s="1120"/>
      <c r="F125" s="1120"/>
      <c r="G125" s="1120"/>
      <c r="H125" s="1121"/>
      <c r="I125" s="307"/>
    </row>
    <row r="126" spans="2:9" s="567" customFormat="1" ht="15.95" customHeight="1" thickBot="1">
      <c r="B126" s="598">
        <v>7</v>
      </c>
      <c r="C126" s="566" t="s">
        <v>1228</v>
      </c>
      <c r="H126" s="568"/>
      <c r="I126" s="568"/>
    </row>
    <row r="127" spans="2:9" s="580" customFormat="1" ht="35.1" customHeight="1" thickBot="1">
      <c r="B127" s="602"/>
      <c r="C127" s="334" t="s">
        <v>840</v>
      </c>
      <c r="D127" s="335" t="s">
        <v>841</v>
      </c>
      <c r="E127" s="335" t="s">
        <v>842</v>
      </c>
      <c r="F127" s="335" t="s">
        <v>843</v>
      </c>
      <c r="G127" s="335" t="s">
        <v>844</v>
      </c>
      <c r="H127" s="335" t="s">
        <v>845</v>
      </c>
      <c r="I127" s="337" t="s">
        <v>846</v>
      </c>
    </row>
    <row r="128" spans="2:9" s="580" customFormat="1" ht="14.1" customHeight="1">
      <c r="B128" s="602"/>
      <c r="C128" s="543" t="s">
        <v>7</v>
      </c>
      <c r="D128" s="289" t="s">
        <v>810</v>
      </c>
      <c r="E128" s="299"/>
      <c r="F128" s="299"/>
      <c r="G128" s="299"/>
      <c r="H128" s="299"/>
      <c r="I128" s="300"/>
    </row>
    <row r="129" spans="2:9" s="580" customFormat="1" ht="14.1" customHeight="1">
      <c r="B129" s="602"/>
      <c r="C129" s="753"/>
      <c r="D129" s="289" t="s">
        <v>10</v>
      </c>
      <c r="E129" s="285" t="s">
        <v>16</v>
      </c>
      <c r="F129" s="285" t="s">
        <v>726</v>
      </c>
      <c r="G129" s="286">
        <v>0.25</v>
      </c>
      <c r="H129" s="299"/>
      <c r="I129" s="300"/>
    </row>
    <row r="130" spans="2:9" s="580" customFormat="1" ht="14.1" customHeight="1">
      <c r="B130" s="602"/>
      <c r="C130" s="753"/>
      <c r="D130" s="289" t="s">
        <v>143</v>
      </c>
      <c r="E130" s="285" t="s">
        <v>22</v>
      </c>
      <c r="F130" s="285" t="s">
        <v>726</v>
      </c>
      <c r="G130" s="286">
        <v>0.125</v>
      </c>
      <c r="H130" s="299"/>
      <c r="I130" s="300"/>
    </row>
    <row r="131" spans="2:9" s="580" customFormat="1" ht="14.1" customHeight="1">
      <c r="B131" s="602"/>
      <c r="C131" s="753"/>
      <c r="D131" s="289" t="s">
        <v>20</v>
      </c>
      <c r="E131" s="285" t="s">
        <v>21</v>
      </c>
      <c r="F131" s="285" t="s">
        <v>726</v>
      </c>
      <c r="G131" s="286">
        <v>1.2999999999999999E-2</v>
      </c>
      <c r="H131" s="299"/>
      <c r="I131" s="300"/>
    </row>
    <row r="132" spans="2:9" s="580" customFormat="1" ht="14.1" customHeight="1">
      <c r="B132" s="602"/>
      <c r="C132" s="754"/>
      <c r="D132" s="177" t="s">
        <v>11</v>
      </c>
      <c r="E132" s="287" t="s">
        <v>17</v>
      </c>
      <c r="F132" s="287" t="s">
        <v>726</v>
      </c>
      <c r="G132" s="288">
        <v>1.2999999999999999E-2</v>
      </c>
      <c r="H132" s="302"/>
      <c r="I132" s="303"/>
    </row>
    <row r="133" spans="2:9" s="580" customFormat="1" ht="14.1" customHeight="1">
      <c r="B133" s="602"/>
      <c r="C133" s="755"/>
      <c r="D133" s="316"/>
      <c r="E133" s="316"/>
      <c r="F133" s="316"/>
      <c r="G133" s="1155" t="s">
        <v>727</v>
      </c>
      <c r="H133" s="1156"/>
      <c r="I133" s="631"/>
    </row>
    <row r="134" spans="2:9" s="580" customFormat="1" ht="14.1" customHeight="1">
      <c r="B134" s="602"/>
      <c r="C134" s="292" t="s">
        <v>8</v>
      </c>
      <c r="D134" s="293" t="s">
        <v>811</v>
      </c>
      <c r="E134" s="296"/>
      <c r="F134" s="296"/>
      <c r="G134" s="296"/>
      <c r="H134" s="296"/>
      <c r="I134" s="297"/>
    </row>
    <row r="135" spans="2:9" s="580" customFormat="1" ht="14.1" customHeight="1">
      <c r="B135" s="602"/>
      <c r="C135" s="753"/>
      <c r="D135" s="289" t="s">
        <v>1166</v>
      </c>
      <c r="E135" s="299"/>
      <c r="F135" s="285" t="s">
        <v>1163</v>
      </c>
      <c r="G135" s="749">
        <v>6.63</v>
      </c>
      <c r="H135" s="299"/>
      <c r="I135" s="300"/>
    </row>
    <row r="136" spans="2:9" s="580" customFormat="1" ht="14.1" customHeight="1">
      <c r="B136" s="602"/>
      <c r="C136" s="753"/>
      <c r="D136" s="289" t="s">
        <v>806</v>
      </c>
      <c r="E136" s="299"/>
      <c r="F136" s="285" t="s">
        <v>56</v>
      </c>
      <c r="G136" s="749">
        <v>9.8000000000000007</v>
      </c>
      <c r="H136" s="299"/>
      <c r="I136" s="300"/>
    </row>
    <row r="137" spans="2:9" s="580" customFormat="1" ht="14.1" customHeight="1">
      <c r="B137" s="602"/>
      <c r="C137" s="753"/>
      <c r="D137" s="289" t="s">
        <v>406</v>
      </c>
      <c r="E137" s="299"/>
      <c r="F137" s="285" t="s">
        <v>734</v>
      </c>
      <c r="G137" s="749">
        <v>1.3</v>
      </c>
      <c r="H137" s="299"/>
      <c r="I137" s="300"/>
    </row>
    <row r="138" spans="2:9" s="580" customFormat="1" ht="14.1" customHeight="1">
      <c r="B138" s="602"/>
      <c r="C138" s="754"/>
      <c r="D138" s="177" t="s">
        <v>211</v>
      </c>
      <c r="E138" s="302"/>
      <c r="F138" s="586" t="s">
        <v>1201</v>
      </c>
      <c r="G138" s="288">
        <v>4.4999999999999998E-2</v>
      </c>
      <c r="H138" s="302"/>
      <c r="I138" s="303"/>
    </row>
    <row r="139" spans="2:9" s="580" customFormat="1" ht="14.1" customHeight="1">
      <c r="B139" s="602"/>
      <c r="C139" s="755"/>
      <c r="D139" s="316"/>
      <c r="E139" s="316"/>
      <c r="F139" s="316"/>
      <c r="G139" s="1155" t="s">
        <v>728</v>
      </c>
      <c r="H139" s="1156"/>
      <c r="I139" s="631"/>
    </row>
    <row r="140" spans="2:9" s="580" customFormat="1" ht="14.1" customHeight="1">
      <c r="B140" s="602"/>
      <c r="C140" s="292" t="s">
        <v>9</v>
      </c>
      <c r="D140" s="293" t="s">
        <v>815</v>
      </c>
      <c r="E140" s="296"/>
      <c r="F140" s="296"/>
      <c r="G140" s="296"/>
      <c r="H140" s="296"/>
      <c r="I140" s="297"/>
    </row>
    <row r="141" spans="2:9" s="580" customFormat="1" ht="14.1" customHeight="1">
      <c r="B141" s="602"/>
      <c r="C141" s="754"/>
      <c r="D141" s="302"/>
      <c r="E141" s="302"/>
      <c r="F141" s="302"/>
      <c r="G141" s="302"/>
      <c r="H141" s="302"/>
      <c r="I141" s="303"/>
    </row>
    <row r="142" spans="2:9" s="580" customFormat="1" ht="14.1" customHeight="1">
      <c r="B142" s="602"/>
      <c r="C142" s="755"/>
      <c r="D142" s="316"/>
      <c r="E142" s="316"/>
      <c r="F142" s="316"/>
      <c r="G142" s="1163" t="s">
        <v>729</v>
      </c>
      <c r="H142" s="1164"/>
      <c r="I142" s="631"/>
    </row>
    <row r="143" spans="2:9" s="580" customFormat="1" ht="14.1" customHeight="1">
      <c r="B143" s="602"/>
      <c r="C143" s="290" t="s">
        <v>12</v>
      </c>
      <c r="D143" s="1113" t="s">
        <v>730</v>
      </c>
      <c r="E143" s="1114"/>
      <c r="F143" s="1114"/>
      <c r="G143" s="1160"/>
      <c r="H143" s="1126"/>
      <c r="I143" s="306"/>
    </row>
    <row r="144" spans="2:9" s="580" customFormat="1" ht="14.1" customHeight="1">
      <c r="B144" s="602"/>
      <c r="C144" s="290" t="s">
        <v>13</v>
      </c>
      <c r="D144" s="1116" t="s">
        <v>816</v>
      </c>
      <c r="E144" s="1117"/>
      <c r="F144" s="1118"/>
      <c r="G144" s="1113" t="s">
        <v>740</v>
      </c>
      <c r="H144" s="1115"/>
      <c r="I144" s="306"/>
    </row>
    <row r="145" spans="2:9" s="580" customFormat="1" ht="14.1" customHeight="1" thickBot="1">
      <c r="B145" s="602"/>
      <c r="C145" s="291" t="s">
        <v>14</v>
      </c>
      <c r="D145" s="1119" t="s">
        <v>817</v>
      </c>
      <c r="E145" s="1120"/>
      <c r="F145" s="1120"/>
      <c r="G145" s="1120"/>
      <c r="H145" s="1121"/>
      <c r="I145" s="307"/>
    </row>
    <row r="146" spans="2:9" s="580" customFormat="1" ht="14.1" customHeight="1">
      <c r="B146" s="602"/>
      <c r="C146" s="623"/>
      <c r="D146" s="576"/>
      <c r="E146" s="576"/>
      <c r="F146" s="576"/>
      <c r="G146" s="576"/>
      <c r="H146" s="915"/>
      <c r="I146" s="316"/>
    </row>
    <row r="147" spans="2:9" s="567" customFormat="1" ht="15.95" customHeight="1" thickBot="1">
      <c r="B147" s="598">
        <v>8</v>
      </c>
      <c r="C147" s="566" t="s">
        <v>1229</v>
      </c>
      <c r="H147" s="568"/>
      <c r="I147" s="568"/>
    </row>
    <row r="148" spans="2:9" s="580" customFormat="1" ht="35.1" customHeight="1" thickBot="1">
      <c r="B148" s="602"/>
      <c r="C148" s="334" t="s">
        <v>840</v>
      </c>
      <c r="D148" s="335" t="s">
        <v>841</v>
      </c>
      <c r="E148" s="335" t="s">
        <v>842</v>
      </c>
      <c r="F148" s="335" t="s">
        <v>843</v>
      </c>
      <c r="G148" s="335" t="s">
        <v>844</v>
      </c>
      <c r="H148" s="335" t="s">
        <v>845</v>
      </c>
      <c r="I148" s="337" t="s">
        <v>846</v>
      </c>
    </row>
    <row r="149" spans="2:9" s="580" customFormat="1" ht="14.1" customHeight="1">
      <c r="B149" s="602"/>
      <c r="C149" s="491" t="s">
        <v>7</v>
      </c>
      <c r="D149" s="365" t="s">
        <v>810</v>
      </c>
      <c r="E149" s="382"/>
      <c r="F149" s="382"/>
      <c r="G149" s="382"/>
      <c r="H149" s="382"/>
      <c r="I149" s="384"/>
    </row>
    <row r="150" spans="2:9" s="580" customFormat="1" ht="14.1" customHeight="1">
      <c r="B150" s="602"/>
      <c r="C150" s="758"/>
      <c r="D150" s="365" t="s">
        <v>10</v>
      </c>
      <c r="E150" s="351" t="s">
        <v>16</v>
      </c>
      <c r="F150" s="351" t="s">
        <v>726</v>
      </c>
      <c r="G150" s="352">
        <v>0.26</v>
      </c>
      <c r="H150" s="382"/>
      <c r="I150" s="384"/>
    </row>
    <row r="151" spans="2:9" s="580" customFormat="1" ht="14.1" customHeight="1">
      <c r="B151" s="602"/>
      <c r="C151" s="758"/>
      <c r="D151" s="365" t="s">
        <v>143</v>
      </c>
      <c r="E151" s="351" t="s">
        <v>22</v>
      </c>
      <c r="F151" s="351" t="s">
        <v>726</v>
      </c>
      <c r="G151" s="352">
        <v>0.13</v>
      </c>
      <c r="H151" s="382"/>
      <c r="I151" s="384"/>
    </row>
    <row r="152" spans="2:9" s="580" customFormat="1" ht="14.1" customHeight="1">
      <c r="B152" s="602"/>
      <c r="C152" s="758"/>
      <c r="D152" s="365" t="s">
        <v>20</v>
      </c>
      <c r="E152" s="351" t="s">
        <v>21</v>
      </c>
      <c r="F152" s="351" t="s">
        <v>726</v>
      </c>
      <c r="G152" s="352">
        <v>1.2999999999999999E-2</v>
      </c>
      <c r="H152" s="382"/>
      <c r="I152" s="384"/>
    </row>
    <row r="153" spans="2:9" s="580" customFormat="1" ht="14.1" customHeight="1">
      <c r="B153" s="602"/>
      <c r="C153" s="759"/>
      <c r="D153" s="387" t="s">
        <v>11</v>
      </c>
      <c r="E153" s="354" t="s">
        <v>17</v>
      </c>
      <c r="F153" s="354" t="s">
        <v>726</v>
      </c>
      <c r="G153" s="355">
        <v>1.2999999999999999E-2</v>
      </c>
      <c r="H153" s="388"/>
      <c r="I153" s="389"/>
    </row>
    <row r="154" spans="2:9" s="580" customFormat="1" ht="14.1" customHeight="1">
      <c r="B154" s="602"/>
      <c r="C154" s="760"/>
      <c r="D154" s="440"/>
      <c r="E154" s="440"/>
      <c r="F154" s="440"/>
      <c r="G154" s="1027" t="s">
        <v>727</v>
      </c>
      <c r="H154" s="1028"/>
      <c r="I154" s="435"/>
    </row>
    <row r="155" spans="2:9" s="580" customFormat="1" ht="14.1" customHeight="1">
      <c r="B155" s="602"/>
      <c r="C155" s="457" t="s">
        <v>8</v>
      </c>
      <c r="D155" s="458" t="s">
        <v>811</v>
      </c>
      <c r="E155" s="393"/>
      <c r="F155" s="393"/>
      <c r="G155" s="393"/>
      <c r="H155" s="393"/>
      <c r="I155" s="436"/>
    </row>
    <row r="156" spans="2:9" s="580" customFormat="1" ht="14.1" customHeight="1">
      <c r="B156" s="602"/>
      <c r="C156" s="758"/>
      <c r="D156" s="365" t="s">
        <v>1166</v>
      </c>
      <c r="E156" s="382"/>
      <c r="F156" s="351" t="s">
        <v>1163</v>
      </c>
      <c r="G156" s="396">
        <v>11.87</v>
      </c>
      <c r="H156" s="382"/>
      <c r="I156" s="384"/>
    </row>
    <row r="157" spans="2:9" s="580" customFormat="1" ht="14.1" customHeight="1">
      <c r="B157" s="602"/>
      <c r="C157" s="758"/>
      <c r="D157" s="365" t="s">
        <v>806</v>
      </c>
      <c r="E157" s="382"/>
      <c r="F157" s="351" t="s">
        <v>56</v>
      </c>
      <c r="G157" s="396">
        <v>10</v>
      </c>
      <c r="H157" s="382"/>
      <c r="I157" s="384"/>
    </row>
    <row r="158" spans="2:9" s="580" customFormat="1" ht="14.1" customHeight="1">
      <c r="B158" s="602"/>
      <c r="C158" s="758"/>
      <c r="D158" s="365" t="s">
        <v>406</v>
      </c>
      <c r="E158" s="382"/>
      <c r="F158" s="351" t="s">
        <v>734</v>
      </c>
      <c r="G158" s="396">
        <v>1.5</v>
      </c>
      <c r="H158" s="382"/>
      <c r="I158" s="384"/>
    </row>
    <row r="159" spans="2:9" s="580" customFormat="1" ht="14.1" customHeight="1">
      <c r="B159" s="602"/>
      <c r="C159" s="759"/>
      <c r="D159" s="387" t="s">
        <v>211</v>
      </c>
      <c r="E159" s="388"/>
      <c r="F159" s="459" t="s">
        <v>1201</v>
      </c>
      <c r="G159" s="355">
        <v>4.4999999999999998E-2</v>
      </c>
      <c r="H159" s="388"/>
      <c r="I159" s="389"/>
    </row>
    <row r="160" spans="2:9" s="580" customFormat="1" ht="14.1" customHeight="1">
      <c r="B160" s="602"/>
      <c r="C160" s="760"/>
      <c r="D160" s="440"/>
      <c r="E160" s="440"/>
      <c r="F160" s="440"/>
      <c r="G160" s="1027" t="s">
        <v>728</v>
      </c>
      <c r="H160" s="1028"/>
      <c r="I160" s="395"/>
    </row>
    <row r="161" spans="2:9" s="580" customFormat="1" ht="14.1" customHeight="1">
      <c r="B161" s="602"/>
      <c r="C161" s="457" t="s">
        <v>9</v>
      </c>
      <c r="D161" s="458" t="s">
        <v>815</v>
      </c>
      <c r="E161" s="393"/>
      <c r="F161" s="393"/>
      <c r="G161" s="393"/>
      <c r="H161" s="393"/>
      <c r="I161" s="436"/>
    </row>
    <row r="162" spans="2:9" s="580" customFormat="1" ht="14.1" customHeight="1">
      <c r="B162" s="602"/>
      <c r="C162" s="759"/>
      <c r="D162" s="388"/>
      <c r="E162" s="388"/>
      <c r="F162" s="388"/>
      <c r="G162" s="388"/>
      <c r="H162" s="388"/>
      <c r="I162" s="389"/>
    </row>
    <row r="163" spans="2:9" s="580" customFormat="1" ht="14.1" customHeight="1">
      <c r="B163" s="602"/>
      <c r="C163" s="760"/>
      <c r="D163" s="440"/>
      <c r="E163" s="440"/>
      <c r="F163" s="440"/>
      <c r="G163" s="1027" t="s">
        <v>729</v>
      </c>
      <c r="H163" s="1028"/>
      <c r="I163" s="395"/>
    </row>
    <row r="164" spans="2:9" s="580" customFormat="1" ht="14.1" customHeight="1">
      <c r="B164" s="602"/>
      <c r="C164" s="377" t="s">
        <v>12</v>
      </c>
      <c r="D164" s="1039" t="s">
        <v>730</v>
      </c>
      <c r="E164" s="1035"/>
      <c r="F164" s="1035"/>
      <c r="G164" s="1034"/>
      <c r="H164" s="1023"/>
      <c r="I164" s="403"/>
    </row>
    <row r="165" spans="2:9" s="580" customFormat="1" ht="14.1" customHeight="1">
      <c r="B165" s="602"/>
      <c r="C165" s="377" t="s">
        <v>13</v>
      </c>
      <c r="D165" s="1036" t="s">
        <v>816</v>
      </c>
      <c r="E165" s="1037"/>
      <c r="F165" s="1038"/>
      <c r="G165" s="1039" t="s">
        <v>740</v>
      </c>
      <c r="H165" s="1051"/>
      <c r="I165" s="403"/>
    </row>
    <row r="166" spans="2:9" s="580" customFormat="1" ht="14.1" customHeight="1" thickBot="1">
      <c r="B166" s="602"/>
      <c r="C166" s="456" t="s">
        <v>14</v>
      </c>
      <c r="D166" s="1029" t="s">
        <v>817</v>
      </c>
      <c r="E166" s="1030"/>
      <c r="F166" s="1030"/>
      <c r="G166" s="1030"/>
      <c r="H166" s="1031"/>
      <c r="I166" s="404"/>
    </row>
    <row r="167" spans="2:9" s="580" customFormat="1" ht="14.1" customHeight="1">
      <c r="B167" s="602"/>
      <c r="H167" s="316"/>
      <c r="I167" s="316"/>
    </row>
    <row r="168" spans="2:9" s="567" customFormat="1" ht="15.95" customHeight="1" thickBot="1">
      <c r="B168" s="598">
        <v>9</v>
      </c>
      <c r="C168" s="566" t="s">
        <v>1230</v>
      </c>
      <c r="H168" s="568"/>
      <c r="I168" s="568"/>
    </row>
    <row r="169" spans="2:9" s="580" customFormat="1" ht="35.1" customHeight="1" thickBot="1">
      <c r="B169" s="602"/>
      <c r="C169" s="334" t="s">
        <v>840</v>
      </c>
      <c r="D169" s="335" t="s">
        <v>841</v>
      </c>
      <c r="E169" s="335" t="s">
        <v>842</v>
      </c>
      <c r="F169" s="335" t="s">
        <v>843</v>
      </c>
      <c r="G169" s="335" t="s">
        <v>844</v>
      </c>
      <c r="H169" s="335" t="s">
        <v>845</v>
      </c>
      <c r="I169" s="337" t="s">
        <v>846</v>
      </c>
    </row>
    <row r="170" spans="2:9" s="580" customFormat="1" ht="14.1" customHeight="1">
      <c r="B170" s="602"/>
      <c r="C170" s="543" t="s">
        <v>7</v>
      </c>
      <c r="D170" s="289" t="s">
        <v>810</v>
      </c>
      <c r="E170" s="299"/>
      <c r="F170" s="299"/>
      <c r="G170" s="299"/>
      <c r="H170" s="299"/>
      <c r="I170" s="300"/>
    </row>
    <row r="171" spans="2:9" s="580" customFormat="1" ht="14.1" customHeight="1">
      <c r="B171" s="602"/>
      <c r="C171" s="753"/>
      <c r="D171" s="289" t="s">
        <v>10</v>
      </c>
      <c r="E171" s="285" t="s">
        <v>16</v>
      </c>
      <c r="F171" s="285" t="s">
        <v>726</v>
      </c>
      <c r="G171" s="286">
        <v>0.25</v>
      </c>
      <c r="H171" s="299"/>
      <c r="I171" s="300"/>
    </row>
    <row r="172" spans="2:9" s="580" customFormat="1" ht="14.1" customHeight="1">
      <c r="B172" s="602"/>
      <c r="C172" s="753"/>
      <c r="D172" s="289" t="s">
        <v>143</v>
      </c>
      <c r="E172" s="285" t="s">
        <v>22</v>
      </c>
      <c r="F172" s="285" t="s">
        <v>726</v>
      </c>
      <c r="G172" s="286">
        <v>0.125</v>
      </c>
      <c r="H172" s="299"/>
      <c r="I172" s="300"/>
    </row>
    <row r="173" spans="2:9" s="580" customFormat="1" ht="14.1" customHeight="1">
      <c r="B173" s="602"/>
      <c r="C173" s="753"/>
      <c r="D173" s="289" t="s">
        <v>20</v>
      </c>
      <c r="E173" s="285" t="s">
        <v>21</v>
      </c>
      <c r="F173" s="285" t="s">
        <v>726</v>
      </c>
      <c r="G173" s="286">
        <v>1.2999999999999999E-2</v>
      </c>
      <c r="H173" s="299"/>
      <c r="I173" s="300"/>
    </row>
    <row r="174" spans="2:9" s="580" customFormat="1" ht="14.1" customHeight="1">
      <c r="B174" s="602"/>
      <c r="C174" s="754"/>
      <c r="D174" s="177" t="s">
        <v>11</v>
      </c>
      <c r="E174" s="287" t="s">
        <v>17</v>
      </c>
      <c r="F174" s="287" t="s">
        <v>726</v>
      </c>
      <c r="G174" s="288">
        <v>1.2999999999999999E-2</v>
      </c>
      <c r="H174" s="302"/>
      <c r="I174" s="303"/>
    </row>
    <row r="175" spans="2:9" s="580" customFormat="1" ht="14.1" customHeight="1">
      <c r="B175" s="602"/>
      <c r="C175" s="755"/>
      <c r="D175" s="316"/>
      <c r="E175" s="316"/>
      <c r="F175" s="316"/>
      <c r="G175" s="1155" t="s">
        <v>727</v>
      </c>
      <c r="H175" s="1156"/>
      <c r="I175" s="631"/>
    </row>
    <row r="176" spans="2:9" s="580" customFormat="1" ht="14.1" customHeight="1">
      <c r="B176" s="602"/>
      <c r="C176" s="292" t="s">
        <v>8</v>
      </c>
      <c r="D176" s="293" t="s">
        <v>811</v>
      </c>
      <c r="E176" s="296"/>
      <c r="F176" s="296"/>
      <c r="G176" s="296"/>
      <c r="H176" s="296"/>
      <c r="I176" s="297"/>
    </row>
    <row r="177" spans="2:9" s="580" customFormat="1" ht="14.1" customHeight="1">
      <c r="B177" s="602"/>
      <c r="C177" s="753"/>
      <c r="D177" s="289" t="s">
        <v>1167</v>
      </c>
      <c r="E177" s="299"/>
      <c r="F177" s="285" t="s">
        <v>1163</v>
      </c>
      <c r="G177" s="749">
        <v>6.63</v>
      </c>
      <c r="H177" s="299"/>
      <c r="I177" s="300"/>
    </row>
    <row r="178" spans="2:9" s="580" customFormat="1" ht="14.1" customHeight="1">
      <c r="B178" s="602"/>
      <c r="C178" s="753"/>
      <c r="D178" s="289" t="s">
        <v>806</v>
      </c>
      <c r="E178" s="299"/>
      <c r="F178" s="285" t="s">
        <v>56</v>
      </c>
      <c r="G178" s="749">
        <v>9.8000000000000007</v>
      </c>
      <c r="H178" s="299"/>
      <c r="I178" s="300"/>
    </row>
    <row r="179" spans="2:9" s="580" customFormat="1" ht="14.1" customHeight="1">
      <c r="B179" s="602"/>
      <c r="C179" s="753"/>
      <c r="D179" s="289" t="s">
        <v>406</v>
      </c>
      <c r="E179" s="299"/>
      <c r="F179" s="285" t="s">
        <v>734</v>
      </c>
      <c r="G179" s="749">
        <v>1.3</v>
      </c>
      <c r="H179" s="299"/>
      <c r="I179" s="300"/>
    </row>
    <row r="180" spans="2:9" s="580" customFormat="1" ht="14.1" customHeight="1">
      <c r="B180" s="602"/>
      <c r="C180" s="754"/>
      <c r="D180" s="177" t="s">
        <v>211</v>
      </c>
      <c r="E180" s="302"/>
      <c r="F180" s="586" t="s">
        <v>1201</v>
      </c>
      <c r="G180" s="288">
        <v>4.4999999999999998E-2</v>
      </c>
      <c r="H180" s="302"/>
      <c r="I180" s="303"/>
    </row>
    <row r="181" spans="2:9" s="580" customFormat="1" ht="14.1" customHeight="1">
      <c r="B181" s="602"/>
      <c r="C181" s="755"/>
      <c r="D181" s="316"/>
      <c r="E181" s="316"/>
      <c r="F181" s="316"/>
      <c r="G181" s="1155" t="s">
        <v>728</v>
      </c>
      <c r="H181" s="1156"/>
      <c r="I181" s="631"/>
    </row>
    <row r="182" spans="2:9" s="580" customFormat="1" ht="14.1" customHeight="1">
      <c r="B182" s="602"/>
      <c r="C182" s="292" t="s">
        <v>9</v>
      </c>
      <c r="D182" s="293" t="s">
        <v>815</v>
      </c>
      <c r="E182" s="296"/>
      <c r="F182" s="296"/>
      <c r="G182" s="296"/>
      <c r="H182" s="296"/>
      <c r="I182" s="297"/>
    </row>
    <row r="183" spans="2:9" s="580" customFormat="1" ht="14.1" customHeight="1">
      <c r="B183" s="602"/>
      <c r="C183" s="754"/>
      <c r="D183" s="302"/>
      <c r="E183" s="302"/>
      <c r="F183" s="302"/>
      <c r="G183" s="302"/>
      <c r="H183" s="302"/>
      <c r="I183" s="303"/>
    </row>
    <row r="184" spans="2:9" s="580" customFormat="1" ht="14.1" customHeight="1">
      <c r="B184" s="602"/>
      <c r="C184" s="755"/>
      <c r="D184" s="316"/>
      <c r="E184" s="316"/>
      <c r="F184" s="316"/>
      <c r="G184" s="1163" t="s">
        <v>729</v>
      </c>
      <c r="H184" s="1164"/>
      <c r="I184" s="631"/>
    </row>
    <row r="185" spans="2:9" s="580" customFormat="1" ht="14.1" customHeight="1">
      <c r="B185" s="602"/>
      <c r="C185" s="290" t="s">
        <v>12</v>
      </c>
      <c r="D185" s="1113" t="s">
        <v>730</v>
      </c>
      <c r="E185" s="1114"/>
      <c r="F185" s="1114"/>
      <c r="G185" s="1160"/>
      <c r="H185" s="1126"/>
      <c r="I185" s="306"/>
    </row>
    <row r="186" spans="2:9" s="580" customFormat="1" ht="14.1" customHeight="1">
      <c r="B186" s="602"/>
      <c r="C186" s="290" t="s">
        <v>13</v>
      </c>
      <c r="D186" s="1116" t="s">
        <v>816</v>
      </c>
      <c r="E186" s="1117"/>
      <c r="F186" s="1118"/>
      <c r="G186" s="1113" t="s">
        <v>740</v>
      </c>
      <c r="H186" s="1115"/>
      <c r="I186" s="306"/>
    </row>
    <row r="187" spans="2:9" s="580" customFormat="1" ht="14.1" customHeight="1" thickBot="1">
      <c r="B187" s="602"/>
      <c r="C187" s="291" t="s">
        <v>14</v>
      </c>
      <c r="D187" s="1119" t="s">
        <v>817</v>
      </c>
      <c r="E187" s="1120"/>
      <c r="F187" s="1120"/>
      <c r="G187" s="1120"/>
      <c r="H187" s="1121"/>
      <c r="I187" s="307"/>
    </row>
    <row r="188" spans="2:9" s="580" customFormat="1" ht="14.1" customHeight="1">
      <c r="B188" s="602"/>
      <c r="C188" s="623"/>
      <c r="D188" s="576"/>
      <c r="E188" s="576"/>
      <c r="F188" s="576"/>
      <c r="G188" s="576"/>
      <c r="H188" s="915"/>
      <c r="I188" s="316"/>
    </row>
    <row r="189" spans="2:9" s="567" customFormat="1" ht="15.95" customHeight="1" thickBot="1">
      <c r="B189" s="598">
        <v>10</v>
      </c>
      <c r="C189" s="566" t="s">
        <v>1231</v>
      </c>
      <c r="H189" s="568"/>
      <c r="I189" s="568"/>
    </row>
    <row r="190" spans="2:9" s="580" customFormat="1" ht="35.1" customHeight="1" thickBot="1">
      <c r="B190" s="602"/>
      <c r="C190" s="334" t="s">
        <v>840</v>
      </c>
      <c r="D190" s="335" t="s">
        <v>841</v>
      </c>
      <c r="E190" s="335" t="s">
        <v>842</v>
      </c>
      <c r="F190" s="335" t="s">
        <v>843</v>
      </c>
      <c r="G190" s="335" t="s">
        <v>844</v>
      </c>
      <c r="H190" s="335" t="s">
        <v>845</v>
      </c>
      <c r="I190" s="337" t="s">
        <v>846</v>
      </c>
    </row>
    <row r="191" spans="2:9" s="580" customFormat="1" ht="12" customHeight="1">
      <c r="B191" s="602"/>
      <c r="C191" s="543" t="s">
        <v>7</v>
      </c>
      <c r="D191" s="289" t="s">
        <v>810</v>
      </c>
      <c r="E191" s="299"/>
      <c r="F191" s="299"/>
      <c r="G191" s="299"/>
      <c r="H191" s="299"/>
      <c r="I191" s="300"/>
    </row>
    <row r="192" spans="2:9" s="580" customFormat="1" ht="14.1" customHeight="1">
      <c r="B192" s="602"/>
      <c r="C192" s="753"/>
      <c r="D192" s="289" t="s">
        <v>10</v>
      </c>
      <c r="E192" s="285" t="s">
        <v>16</v>
      </c>
      <c r="F192" s="285" t="s">
        <v>726</v>
      </c>
      <c r="G192" s="286">
        <v>0.26</v>
      </c>
      <c r="H192" s="299"/>
      <c r="I192" s="300"/>
    </row>
    <row r="193" spans="2:9" s="580" customFormat="1" ht="14.1" customHeight="1">
      <c r="B193" s="602"/>
      <c r="C193" s="753"/>
      <c r="D193" s="289" t="s">
        <v>143</v>
      </c>
      <c r="E193" s="285" t="s">
        <v>22</v>
      </c>
      <c r="F193" s="285" t="s">
        <v>726</v>
      </c>
      <c r="G193" s="749">
        <v>0.13</v>
      </c>
      <c r="H193" s="299"/>
      <c r="I193" s="300"/>
    </row>
    <row r="194" spans="2:9" s="580" customFormat="1" ht="12.95" customHeight="1">
      <c r="B194" s="602"/>
      <c r="C194" s="753"/>
      <c r="D194" s="289" t="s">
        <v>20</v>
      </c>
      <c r="E194" s="285" t="s">
        <v>21</v>
      </c>
      <c r="F194" s="285" t="s">
        <v>726</v>
      </c>
      <c r="G194" s="286">
        <v>1.2999999999999999E-2</v>
      </c>
      <c r="H194" s="299"/>
      <c r="I194" s="300"/>
    </row>
    <row r="195" spans="2:9" s="580" customFormat="1" ht="14.1" customHeight="1">
      <c r="B195" s="602"/>
      <c r="C195" s="754"/>
      <c r="D195" s="177" t="s">
        <v>11</v>
      </c>
      <c r="E195" s="287" t="s">
        <v>17</v>
      </c>
      <c r="F195" s="287" t="s">
        <v>726</v>
      </c>
      <c r="G195" s="288">
        <v>1.2999999999999999E-2</v>
      </c>
      <c r="H195" s="302"/>
      <c r="I195" s="303"/>
    </row>
    <row r="196" spans="2:9" s="580" customFormat="1" ht="12" customHeight="1">
      <c r="B196" s="602"/>
      <c r="C196" s="755"/>
      <c r="D196" s="316"/>
      <c r="E196" s="316"/>
      <c r="F196" s="316"/>
      <c r="G196" s="1155" t="s">
        <v>727</v>
      </c>
      <c r="H196" s="1156"/>
      <c r="I196" s="631"/>
    </row>
    <row r="197" spans="2:9" s="580" customFormat="1" ht="12" customHeight="1">
      <c r="B197" s="602"/>
      <c r="C197" s="292" t="s">
        <v>8</v>
      </c>
      <c r="D197" s="293" t="s">
        <v>811</v>
      </c>
      <c r="E197" s="296"/>
      <c r="F197" s="296"/>
      <c r="G197" s="296"/>
      <c r="H197" s="296"/>
      <c r="I197" s="297"/>
    </row>
    <row r="198" spans="2:9" s="580" customFormat="1" ht="14.1" customHeight="1">
      <c r="B198" s="602"/>
      <c r="C198" s="753"/>
      <c r="D198" s="289" t="s">
        <v>1167</v>
      </c>
      <c r="E198" s="299"/>
      <c r="F198" s="285" t="s">
        <v>1163</v>
      </c>
      <c r="G198" s="749">
        <v>11.87</v>
      </c>
      <c r="H198" s="299"/>
      <c r="I198" s="300"/>
    </row>
    <row r="199" spans="2:9" s="580" customFormat="1" ht="12.95" customHeight="1">
      <c r="B199" s="602"/>
      <c r="C199" s="753"/>
      <c r="D199" s="289" t="s">
        <v>806</v>
      </c>
      <c r="E199" s="299"/>
      <c r="F199" s="285" t="s">
        <v>56</v>
      </c>
      <c r="G199" s="749">
        <v>10</v>
      </c>
      <c r="H199" s="299"/>
      <c r="I199" s="300"/>
    </row>
    <row r="200" spans="2:9" s="580" customFormat="1" ht="14.1" customHeight="1">
      <c r="B200" s="602"/>
      <c r="C200" s="753"/>
      <c r="D200" s="289" t="s">
        <v>406</v>
      </c>
      <c r="E200" s="299"/>
      <c r="F200" s="285" t="s">
        <v>734</v>
      </c>
      <c r="G200" s="749">
        <v>1.5</v>
      </c>
      <c r="H200" s="299"/>
      <c r="I200" s="300"/>
    </row>
    <row r="201" spans="2:9" s="580" customFormat="1" ht="14.1" customHeight="1">
      <c r="B201" s="602"/>
      <c r="C201" s="754"/>
      <c r="D201" s="177" t="s">
        <v>211</v>
      </c>
      <c r="E201" s="302"/>
      <c r="F201" s="586" t="s">
        <v>1201</v>
      </c>
      <c r="G201" s="288">
        <v>4.4999999999999998E-2</v>
      </c>
      <c r="H201" s="302"/>
      <c r="I201" s="303"/>
    </row>
    <row r="202" spans="2:9" s="580" customFormat="1" ht="12" customHeight="1">
      <c r="B202" s="602"/>
      <c r="C202" s="755"/>
      <c r="D202" s="316"/>
      <c r="E202" s="316"/>
      <c r="F202" s="316"/>
      <c r="G202" s="1155" t="s">
        <v>728</v>
      </c>
      <c r="H202" s="1156"/>
      <c r="I202" s="631"/>
    </row>
    <row r="203" spans="2:9" s="580" customFormat="1" ht="12" customHeight="1">
      <c r="B203" s="602"/>
      <c r="C203" s="292" t="s">
        <v>9</v>
      </c>
      <c r="D203" s="293" t="s">
        <v>815</v>
      </c>
      <c r="E203" s="296"/>
      <c r="F203" s="296"/>
      <c r="G203" s="296"/>
      <c r="H203" s="296"/>
      <c r="I203" s="297"/>
    </row>
    <row r="204" spans="2:9" s="580" customFormat="1" ht="12" customHeight="1">
      <c r="B204" s="602"/>
      <c r="C204" s="754"/>
      <c r="D204" s="302"/>
      <c r="E204" s="302"/>
      <c r="F204" s="302"/>
      <c r="G204" s="302"/>
      <c r="H204" s="302"/>
      <c r="I204" s="303"/>
    </row>
    <row r="205" spans="2:9" s="580" customFormat="1" ht="12" customHeight="1">
      <c r="B205" s="602"/>
      <c r="C205" s="755"/>
      <c r="D205" s="316"/>
      <c r="E205" s="316"/>
      <c r="F205" s="316"/>
      <c r="G205" s="1163" t="s">
        <v>729</v>
      </c>
      <c r="H205" s="1164"/>
      <c r="I205" s="631"/>
    </row>
    <row r="206" spans="2:9" s="580" customFormat="1" ht="12" customHeight="1">
      <c r="B206" s="602"/>
      <c r="C206" s="290" t="s">
        <v>12</v>
      </c>
      <c r="D206" s="1113" t="s">
        <v>730</v>
      </c>
      <c r="E206" s="1114"/>
      <c r="F206" s="1114"/>
      <c r="G206" s="1160"/>
      <c r="H206" s="1126"/>
      <c r="I206" s="306"/>
    </row>
    <row r="207" spans="2:9" s="580" customFormat="1" ht="12" customHeight="1">
      <c r="B207" s="602"/>
      <c r="C207" s="290" t="s">
        <v>13</v>
      </c>
      <c r="D207" s="1116" t="s">
        <v>816</v>
      </c>
      <c r="E207" s="1117"/>
      <c r="F207" s="1118"/>
      <c r="G207" s="1113" t="s">
        <v>740</v>
      </c>
      <c r="H207" s="1115"/>
      <c r="I207" s="306"/>
    </row>
    <row r="208" spans="2:9" s="580" customFormat="1" ht="12" customHeight="1" thickBot="1">
      <c r="B208" s="602"/>
      <c r="C208" s="291" t="s">
        <v>14</v>
      </c>
      <c r="D208" s="1119" t="s">
        <v>817</v>
      </c>
      <c r="E208" s="1120"/>
      <c r="F208" s="1120"/>
      <c r="G208" s="1120"/>
      <c r="H208" s="1121"/>
      <c r="I208" s="307"/>
    </row>
    <row r="209" spans="2:9" s="580" customFormat="1">
      <c r="B209" s="602"/>
      <c r="H209" s="316"/>
      <c r="I209" s="316"/>
    </row>
    <row r="210" spans="2:9" s="567" customFormat="1" ht="15.95" customHeight="1" thickBot="1">
      <c r="B210" s="598">
        <v>11</v>
      </c>
      <c r="C210" s="566" t="s">
        <v>1647</v>
      </c>
      <c r="H210" s="568"/>
      <c r="I210" s="568"/>
    </row>
    <row r="211" spans="2:9" s="580" customFormat="1" ht="35.1" customHeight="1" thickBot="1">
      <c r="B211" s="602"/>
      <c r="C211" s="334" t="s">
        <v>840</v>
      </c>
      <c r="D211" s="335" t="s">
        <v>841</v>
      </c>
      <c r="E211" s="335" t="s">
        <v>842</v>
      </c>
      <c r="F211" s="335" t="s">
        <v>843</v>
      </c>
      <c r="G211" s="335" t="s">
        <v>844</v>
      </c>
      <c r="H211" s="335" t="s">
        <v>845</v>
      </c>
      <c r="I211" s="337" t="s">
        <v>846</v>
      </c>
    </row>
    <row r="212" spans="2:9" s="580" customFormat="1" ht="12" customHeight="1">
      <c r="B212" s="602"/>
      <c r="C212" s="543" t="s">
        <v>7</v>
      </c>
      <c r="D212" s="289" t="s">
        <v>810</v>
      </c>
      <c r="E212" s="299"/>
      <c r="F212" s="299"/>
      <c r="G212" s="299"/>
      <c r="H212" s="299"/>
      <c r="I212" s="300"/>
    </row>
    <row r="213" spans="2:9" s="580" customFormat="1" ht="14.1" customHeight="1">
      <c r="B213" s="602"/>
      <c r="C213" s="753"/>
      <c r="D213" s="289" t="s">
        <v>10</v>
      </c>
      <c r="E213" s="285" t="s">
        <v>16</v>
      </c>
      <c r="F213" s="285" t="s">
        <v>726</v>
      </c>
      <c r="G213" s="286">
        <v>0.25</v>
      </c>
      <c r="H213" s="299"/>
      <c r="I213" s="300"/>
    </row>
    <row r="214" spans="2:9" s="580" customFormat="1" ht="12.95" customHeight="1">
      <c r="B214" s="602"/>
      <c r="C214" s="753"/>
      <c r="D214" s="289" t="s">
        <v>409</v>
      </c>
      <c r="E214" s="285" t="s">
        <v>22</v>
      </c>
      <c r="F214" s="285" t="s">
        <v>726</v>
      </c>
      <c r="G214" s="286">
        <v>0.125</v>
      </c>
      <c r="H214" s="299"/>
      <c r="I214" s="300"/>
    </row>
    <row r="215" spans="2:9" s="580" customFormat="1" ht="14.1" customHeight="1">
      <c r="B215" s="602"/>
      <c r="C215" s="753"/>
      <c r="D215" s="289" t="s">
        <v>20</v>
      </c>
      <c r="E215" s="285" t="s">
        <v>21</v>
      </c>
      <c r="F215" s="285" t="s">
        <v>726</v>
      </c>
      <c r="G215" s="286">
        <v>1.2999999999999999E-2</v>
      </c>
      <c r="H215" s="299"/>
      <c r="I215" s="300"/>
    </row>
    <row r="216" spans="2:9" s="580" customFormat="1" ht="14.1" customHeight="1">
      <c r="B216" s="602"/>
      <c r="C216" s="754"/>
      <c r="D216" s="177" t="s">
        <v>11</v>
      </c>
      <c r="E216" s="287" t="s">
        <v>17</v>
      </c>
      <c r="F216" s="287" t="s">
        <v>726</v>
      </c>
      <c r="G216" s="288">
        <v>1.2999999999999999E-2</v>
      </c>
      <c r="H216" s="302"/>
      <c r="I216" s="303"/>
    </row>
    <row r="217" spans="2:9" s="580" customFormat="1" ht="12" customHeight="1">
      <c r="B217" s="602"/>
      <c r="C217" s="755"/>
      <c r="D217" s="316"/>
      <c r="E217" s="316"/>
      <c r="F217" s="316"/>
      <c r="G217" s="1155" t="s">
        <v>727</v>
      </c>
      <c r="H217" s="1156"/>
      <c r="I217" s="631"/>
    </row>
    <row r="218" spans="2:9" s="580" customFormat="1" ht="12" customHeight="1">
      <c r="B218" s="602"/>
      <c r="C218" s="292" t="s">
        <v>8</v>
      </c>
      <c r="D218" s="293" t="s">
        <v>811</v>
      </c>
      <c r="E218" s="296"/>
      <c r="F218" s="296"/>
      <c r="G218" s="296"/>
      <c r="H218" s="296"/>
      <c r="I218" s="297"/>
    </row>
    <row r="219" spans="2:9" s="580" customFormat="1" ht="12.95" customHeight="1">
      <c r="B219" s="602"/>
      <c r="C219" s="753"/>
      <c r="D219" s="289" t="s">
        <v>1168</v>
      </c>
      <c r="E219" s="299"/>
      <c r="F219" s="285" t="s">
        <v>1163</v>
      </c>
      <c r="G219" s="749">
        <v>6.63</v>
      </c>
      <c r="H219" s="299"/>
      <c r="I219" s="300"/>
    </row>
    <row r="220" spans="2:9" s="580" customFormat="1" ht="14.1" customHeight="1">
      <c r="B220" s="602"/>
      <c r="C220" s="753"/>
      <c r="D220" s="289" t="s">
        <v>806</v>
      </c>
      <c r="E220" s="299"/>
      <c r="F220" s="285" t="s">
        <v>56</v>
      </c>
      <c r="G220" s="749">
        <v>9.8000000000000007</v>
      </c>
      <c r="H220" s="299"/>
      <c r="I220" s="300"/>
    </row>
    <row r="221" spans="2:9" s="580" customFormat="1" ht="14.1" customHeight="1">
      <c r="B221" s="602"/>
      <c r="C221" s="753"/>
      <c r="D221" s="289" t="s">
        <v>406</v>
      </c>
      <c r="E221" s="299"/>
      <c r="F221" s="285" t="s">
        <v>734</v>
      </c>
      <c r="G221" s="749">
        <v>1.3</v>
      </c>
      <c r="H221" s="299"/>
      <c r="I221" s="300"/>
    </row>
    <row r="222" spans="2:9" s="580" customFormat="1" ht="12.95" customHeight="1">
      <c r="B222" s="602"/>
      <c r="C222" s="754"/>
      <c r="D222" s="177" t="s">
        <v>211</v>
      </c>
      <c r="E222" s="302"/>
      <c r="F222" s="586" t="s">
        <v>1201</v>
      </c>
      <c r="G222" s="288">
        <v>4.4999999999999998E-2</v>
      </c>
      <c r="H222" s="302"/>
      <c r="I222" s="303"/>
    </row>
    <row r="223" spans="2:9" s="580" customFormat="1" ht="12" customHeight="1">
      <c r="B223" s="602"/>
      <c r="C223" s="755"/>
      <c r="D223" s="316"/>
      <c r="E223" s="316"/>
      <c r="F223" s="316"/>
      <c r="G223" s="1155" t="s">
        <v>728</v>
      </c>
      <c r="H223" s="1156"/>
      <c r="I223" s="631"/>
    </row>
    <row r="224" spans="2:9" s="580" customFormat="1" ht="12" customHeight="1">
      <c r="B224" s="602"/>
      <c r="C224" s="292" t="s">
        <v>9</v>
      </c>
      <c r="D224" s="293" t="s">
        <v>815</v>
      </c>
      <c r="E224" s="296"/>
      <c r="F224" s="750"/>
      <c r="G224" s="296"/>
      <c r="H224" s="296"/>
      <c r="I224" s="297"/>
    </row>
    <row r="225" spans="2:9" s="580" customFormat="1" ht="12" customHeight="1">
      <c r="B225" s="602"/>
      <c r="C225" s="754"/>
      <c r="D225" s="302"/>
      <c r="E225" s="302"/>
      <c r="F225" s="302"/>
      <c r="G225" s="302"/>
      <c r="H225" s="302"/>
      <c r="I225" s="303"/>
    </row>
    <row r="226" spans="2:9" s="580" customFormat="1" ht="12" customHeight="1">
      <c r="B226" s="602"/>
      <c r="C226" s="755"/>
      <c r="D226" s="316"/>
      <c r="E226" s="316"/>
      <c r="F226" s="316"/>
      <c r="G226" s="1163" t="s">
        <v>729</v>
      </c>
      <c r="H226" s="1164"/>
      <c r="I226" s="631"/>
    </row>
    <row r="227" spans="2:9" s="580" customFormat="1" ht="12" customHeight="1">
      <c r="B227" s="602"/>
      <c r="C227" s="290" t="s">
        <v>12</v>
      </c>
      <c r="D227" s="1113" t="s">
        <v>730</v>
      </c>
      <c r="E227" s="1114"/>
      <c r="F227" s="1114"/>
      <c r="G227" s="1160"/>
      <c r="H227" s="1126"/>
      <c r="I227" s="306"/>
    </row>
    <row r="228" spans="2:9" s="580" customFormat="1" ht="12" customHeight="1">
      <c r="B228" s="602"/>
      <c r="C228" s="290" t="s">
        <v>13</v>
      </c>
      <c r="D228" s="1116" t="s">
        <v>816</v>
      </c>
      <c r="E228" s="1117"/>
      <c r="F228" s="1118"/>
      <c r="G228" s="1113" t="s">
        <v>740</v>
      </c>
      <c r="H228" s="1115"/>
      <c r="I228" s="306"/>
    </row>
    <row r="229" spans="2:9" s="580" customFormat="1" ht="12" customHeight="1" thickBot="1">
      <c r="B229" s="602"/>
      <c r="C229" s="291" t="s">
        <v>14</v>
      </c>
      <c r="D229" s="1119" t="s">
        <v>817</v>
      </c>
      <c r="E229" s="1120"/>
      <c r="F229" s="1120"/>
      <c r="G229" s="1120"/>
      <c r="H229" s="1121"/>
      <c r="I229" s="307"/>
    </row>
    <row r="230" spans="2:9" s="580" customFormat="1" ht="12" customHeight="1">
      <c r="B230" s="602"/>
      <c r="C230" s="623"/>
      <c r="D230" s="576"/>
      <c r="E230" s="576"/>
      <c r="F230" s="576"/>
      <c r="G230" s="576"/>
      <c r="H230" s="915"/>
      <c r="I230" s="316"/>
    </row>
    <row r="231" spans="2:9" s="567" customFormat="1" ht="15.95" customHeight="1" thickBot="1">
      <c r="B231" s="598">
        <v>12</v>
      </c>
      <c r="C231" s="566" t="s">
        <v>1232</v>
      </c>
      <c r="H231" s="568"/>
      <c r="I231" s="568"/>
    </row>
    <row r="232" spans="2:9" s="580" customFormat="1" ht="35.1" customHeight="1" thickBot="1">
      <c r="B232" s="602"/>
      <c r="C232" s="334" t="s">
        <v>840</v>
      </c>
      <c r="D232" s="335" t="s">
        <v>841</v>
      </c>
      <c r="E232" s="335" t="s">
        <v>842</v>
      </c>
      <c r="F232" s="335" t="s">
        <v>843</v>
      </c>
      <c r="G232" s="335" t="s">
        <v>844</v>
      </c>
      <c r="H232" s="335" t="s">
        <v>845</v>
      </c>
      <c r="I232" s="337" t="s">
        <v>846</v>
      </c>
    </row>
    <row r="233" spans="2:9" s="580" customFormat="1" ht="14.1" customHeight="1">
      <c r="B233" s="602"/>
      <c r="C233" s="491" t="s">
        <v>7</v>
      </c>
      <c r="D233" s="365" t="s">
        <v>810</v>
      </c>
      <c r="E233" s="382"/>
      <c r="F233" s="382"/>
      <c r="G233" s="382"/>
      <c r="H233" s="382"/>
      <c r="I233" s="384"/>
    </row>
    <row r="234" spans="2:9" s="580" customFormat="1" ht="14.1" customHeight="1">
      <c r="B234" s="602"/>
      <c r="C234" s="758"/>
      <c r="D234" s="365" t="s">
        <v>10</v>
      </c>
      <c r="E234" s="351" t="s">
        <v>16</v>
      </c>
      <c r="F234" s="351" t="s">
        <v>726</v>
      </c>
      <c r="G234" s="352">
        <v>0.26</v>
      </c>
      <c r="H234" s="382"/>
      <c r="I234" s="384"/>
    </row>
    <row r="235" spans="2:9" s="580" customFormat="1" ht="14.1" customHeight="1">
      <c r="B235" s="602"/>
      <c r="C235" s="758"/>
      <c r="D235" s="365" t="s">
        <v>143</v>
      </c>
      <c r="E235" s="351" t="s">
        <v>22</v>
      </c>
      <c r="F235" s="351" t="s">
        <v>726</v>
      </c>
      <c r="G235" s="396">
        <v>0.13</v>
      </c>
      <c r="H235" s="382"/>
      <c r="I235" s="384"/>
    </row>
    <row r="236" spans="2:9" s="580" customFormat="1" ht="14.1" customHeight="1">
      <c r="B236" s="602"/>
      <c r="C236" s="758"/>
      <c r="D236" s="365" t="s">
        <v>20</v>
      </c>
      <c r="E236" s="351" t="s">
        <v>21</v>
      </c>
      <c r="F236" s="351" t="s">
        <v>726</v>
      </c>
      <c r="G236" s="352">
        <v>1.2999999999999999E-2</v>
      </c>
      <c r="H236" s="382"/>
      <c r="I236" s="384"/>
    </row>
    <row r="237" spans="2:9" s="580" customFormat="1" ht="14.1" customHeight="1">
      <c r="B237" s="602"/>
      <c r="C237" s="759"/>
      <c r="D237" s="387" t="s">
        <v>11</v>
      </c>
      <c r="E237" s="354" t="s">
        <v>17</v>
      </c>
      <c r="F237" s="354" t="s">
        <v>726</v>
      </c>
      <c r="G237" s="355">
        <v>1.2999999999999999E-2</v>
      </c>
      <c r="H237" s="388"/>
      <c r="I237" s="389"/>
    </row>
    <row r="238" spans="2:9" s="580" customFormat="1" ht="14.1" customHeight="1">
      <c r="B238" s="602"/>
      <c r="C238" s="760"/>
      <c r="D238" s="440"/>
      <c r="E238" s="440"/>
      <c r="F238" s="440"/>
      <c r="G238" s="1027" t="s">
        <v>727</v>
      </c>
      <c r="H238" s="1028"/>
      <c r="I238" s="395"/>
    </row>
    <row r="239" spans="2:9" s="580" customFormat="1" ht="14.1" customHeight="1">
      <c r="B239" s="602"/>
      <c r="C239" s="457" t="s">
        <v>8</v>
      </c>
      <c r="D239" s="458" t="s">
        <v>811</v>
      </c>
      <c r="E239" s="393"/>
      <c r="F239" s="393"/>
      <c r="G239" s="393"/>
      <c r="H239" s="393"/>
      <c r="I239" s="436"/>
    </row>
    <row r="240" spans="2:9" s="580" customFormat="1" ht="14.1" customHeight="1">
      <c r="B240" s="602"/>
      <c r="C240" s="758"/>
      <c r="D240" s="365" t="s">
        <v>1168</v>
      </c>
      <c r="E240" s="382"/>
      <c r="F240" s="351" t="s">
        <v>1163</v>
      </c>
      <c r="G240" s="396">
        <v>11.87</v>
      </c>
      <c r="H240" s="382"/>
      <c r="I240" s="384"/>
    </row>
    <row r="241" spans="2:9" s="580" customFormat="1" ht="14.1" customHeight="1">
      <c r="B241" s="602"/>
      <c r="C241" s="758"/>
      <c r="D241" s="365" t="s">
        <v>806</v>
      </c>
      <c r="E241" s="382"/>
      <c r="F241" s="351" t="s">
        <v>56</v>
      </c>
      <c r="G241" s="396">
        <v>10</v>
      </c>
      <c r="H241" s="382"/>
      <c r="I241" s="384"/>
    </row>
    <row r="242" spans="2:9" s="580" customFormat="1" ht="14.1" customHeight="1">
      <c r="B242" s="602"/>
      <c r="C242" s="758"/>
      <c r="D242" s="365" t="s">
        <v>406</v>
      </c>
      <c r="E242" s="382"/>
      <c r="F242" s="351" t="s">
        <v>734</v>
      </c>
      <c r="G242" s="396">
        <v>1.5</v>
      </c>
      <c r="H242" s="382"/>
      <c r="I242" s="384"/>
    </row>
    <row r="243" spans="2:9" s="580" customFormat="1" ht="14.1" customHeight="1">
      <c r="B243" s="602"/>
      <c r="C243" s="759"/>
      <c r="D243" s="387" t="s">
        <v>211</v>
      </c>
      <c r="E243" s="388"/>
      <c r="F243" s="459" t="s">
        <v>1201</v>
      </c>
      <c r="G243" s="355">
        <v>4.4999999999999998E-2</v>
      </c>
      <c r="H243" s="388"/>
      <c r="I243" s="389"/>
    </row>
    <row r="244" spans="2:9" s="580" customFormat="1" ht="14.1" customHeight="1">
      <c r="B244" s="602"/>
      <c r="C244" s="760"/>
      <c r="D244" s="440"/>
      <c r="E244" s="440"/>
      <c r="F244" s="440"/>
      <c r="G244" s="1027" t="s">
        <v>728</v>
      </c>
      <c r="H244" s="1028"/>
      <c r="I244" s="395"/>
    </row>
    <row r="245" spans="2:9" s="580" customFormat="1" ht="14.1" customHeight="1">
      <c r="B245" s="602"/>
      <c r="C245" s="457" t="s">
        <v>9</v>
      </c>
      <c r="D245" s="458" t="s">
        <v>815</v>
      </c>
      <c r="E245" s="393"/>
      <c r="F245" s="393"/>
      <c r="G245" s="393"/>
      <c r="H245" s="393"/>
      <c r="I245" s="436"/>
    </row>
    <row r="246" spans="2:9" s="580" customFormat="1" ht="14.1" customHeight="1">
      <c r="B246" s="602"/>
      <c r="C246" s="759"/>
      <c r="D246" s="388"/>
      <c r="E246" s="388"/>
      <c r="F246" s="388"/>
      <c r="G246" s="388"/>
      <c r="H246" s="388"/>
      <c r="I246" s="389"/>
    </row>
    <row r="247" spans="2:9" s="580" customFormat="1" ht="14.1" customHeight="1">
      <c r="B247" s="602"/>
      <c r="C247" s="1019"/>
      <c r="D247" s="1020"/>
      <c r="E247" s="1020"/>
      <c r="F247" s="1021"/>
      <c r="G247" s="1022" t="s">
        <v>729</v>
      </c>
      <c r="H247" s="1023"/>
      <c r="I247" s="401"/>
    </row>
    <row r="248" spans="2:9" s="580" customFormat="1" ht="14.1" customHeight="1">
      <c r="B248" s="602"/>
      <c r="C248" s="377" t="s">
        <v>12</v>
      </c>
      <c r="D248" s="1039" t="s">
        <v>730</v>
      </c>
      <c r="E248" s="1035"/>
      <c r="F248" s="1035"/>
      <c r="G248" s="1035"/>
      <c r="H248" s="1051"/>
      <c r="I248" s="403"/>
    </row>
    <row r="249" spans="2:9" s="580" customFormat="1" ht="14.1" customHeight="1">
      <c r="B249" s="602"/>
      <c r="C249" s="377" t="s">
        <v>13</v>
      </c>
      <c r="D249" s="1036" t="s">
        <v>816</v>
      </c>
      <c r="E249" s="1037"/>
      <c r="F249" s="1038"/>
      <c r="G249" s="1039" t="s">
        <v>740</v>
      </c>
      <c r="H249" s="1051"/>
      <c r="I249" s="403"/>
    </row>
    <row r="250" spans="2:9" s="580" customFormat="1" ht="14.1" customHeight="1" thickBot="1">
      <c r="B250" s="602"/>
      <c r="C250" s="456" t="s">
        <v>14</v>
      </c>
      <c r="D250" s="1029" t="s">
        <v>817</v>
      </c>
      <c r="E250" s="1030"/>
      <c r="F250" s="1030"/>
      <c r="G250" s="1030"/>
      <c r="H250" s="1031"/>
      <c r="I250" s="404"/>
    </row>
    <row r="251" spans="2:9" s="580" customFormat="1" ht="14.1" customHeight="1">
      <c r="B251" s="602"/>
      <c r="H251" s="316"/>
      <c r="I251" s="316"/>
    </row>
    <row r="252" spans="2:9" s="580" customFormat="1" ht="14.1" customHeight="1">
      <c r="B252" s="602"/>
      <c r="H252" s="316"/>
      <c r="I252" s="316"/>
    </row>
    <row r="253" spans="2:9" s="567" customFormat="1" ht="15.95" customHeight="1" thickBot="1">
      <c r="B253" s="598">
        <v>13</v>
      </c>
      <c r="C253" s="566" t="s">
        <v>1233</v>
      </c>
      <c r="H253" s="568"/>
      <c r="I253" s="568"/>
    </row>
    <row r="254" spans="2:9" s="580" customFormat="1" ht="35.1" customHeight="1" thickBot="1">
      <c r="B254" s="602"/>
      <c r="C254" s="334" t="s">
        <v>840</v>
      </c>
      <c r="D254" s="335" t="s">
        <v>841</v>
      </c>
      <c r="E254" s="335" t="s">
        <v>842</v>
      </c>
      <c r="F254" s="335" t="s">
        <v>843</v>
      </c>
      <c r="G254" s="335" t="s">
        <v>844</v>
      </c>
      <c r="H254" s="335" t="s">
        <v>845</v>
      </c>
      <c r="I254" s="337" t="s">
        <v>846</v>
      </c>
    </row>
    <row r="255" spans="2:9" s="580" customFormat="1" ht="12" customHeight="1">
      <c r="B255" s="602"/>
      <c r="C255" s="491" t="s">
        <v>7</v>
      </c>
      <c r="D255" s="365" t="s">
        <v>810</v>
      </c>
      <c r="E255" s="382"/>
      <c r="F255" s="382"/>
      <c r="G255" s="382"/>
      <c r="H255" s="382"/>
      <c r="I255" s="384"/>
    </row>
    <row r="256" spans="2:9" s="580" customFormat="1" ht="14.1" customHeight="1">
      <c r="B256" s="602"/>
      <c r="C256" s="758"/>
      <c r="D256" s="365" t="s">
        <v>10</v>
      </c>
      <c r="E256" s="351" t="s">
        <v>16</v>
      </c>
      <c r="F256" s="351" t="s">
        <v>726</v>
      </c>
      <c r="G256" s="396">
        <v>0.24</v>
      </c>
      <c r="H256" s="382"/>
      <c r="I256" s="384"/>
    </row>
    <row r="257" spans="2:9" s="580" customFormat="1" ht="12.95" customHeight="1">
      <c r="B257" s="602"/>
      <c r="C257" s="758"/>
      <c r="D257" s="365" t="s">
        <v>143</v>
      </c>
      <c r="E257" s="351" t="s">
        <v>22</v>
      </c>
      <c r="F257" s="351" t="s">
        <v>726</v>
      </c>
      <c r="G257" s="396">
        <v>0.12</v>
      </c>
      <c r="H257" s="382"/>
      <c r="I257" s="384"/>
    </row>
    <row r="258" spans="2:9" s="580" customFormat="1" ht="14.1" customHeight="1">
      <c r="B258" s="602"/>
      <c r="C258" s="758"/>
      <c r="D258" s="365" t="s">
        <v>20</v>
      </c>
      <c r="E258" s="351" t="s">
        <v>21</v>
      </c>
      <c r="F258" s="351" t="s">
        <v>726</v>
      </c>
      <c r="G258" s="352">
        <v>1.2E-2</v>
      </c>
      <c r="H258" s="382"/>
      <c r="I258" s="384"/>
    </row>
    <row r="259" spans="2:9" s="580" customFormat="1" ht="14.1" customHeight="1">
      <c r="B259" s="602"/>
      <c r="C259" s="759"/>
      <c r="D259" s="387" t="s">
        <v>11</v>
      </c>
      <c r="E259" s="354" t="s">
        <v>17</v>
      </c>
      <c r="F259" s="354" t="s">
        <v>726</v>
      </c>
      <c r="G259" s="355">
        <v>1.2E-2</v>
      </c>
      <c r="H259" s="388"/>
      <c r="I259" s="389"/>
    </row>
    <row r="260" spans="2:9" s="580" customFormat="1" ht="12" customHeight="1">
      <c r="B260" s="602"/>
      <c r="C260" s="760"/>
      <c r="D260" s="440"/>
      <c r="E260" s="440"/>
      <c r="F260" s="440"/>
      <c r="G260" s="1027" t="s">
        <v>727</v>
      </c>
      <c r="H260" s="1028"/>
      <c r="I260" s="395"/>
    </row>
    <row r="261" spans="2:9" s="580" customFormat="1" ht="12" customHeight="1">
      <c r="B261" s="602"/>
      <c r="C261" s="457" t="s">
        <v>8</v>
      </c>
      <c r="D261" s="458" t="s">
        <v>811</v>
      </c>
      <c r="E261" s="393"/>
      <c r="F261" s="393"/>
      <c r="G261" s="393"/>
      <c r="H261" s="393"/>
      <c r="I261" s="436"/>
    </row>
    <row r="262" spans="2:9" s="580" customFormat="1" ht="24" customHeight="1">
      <c r="B262" s="602"/>
      <c r="C262" s="758"/>
      <c r="D262" s="365" t="s">
        <v>1169</v>
      </c>
      <c r="E262" s="382"/>
      <c r="F262" s="351" t="s">
        <v>1163</v>
      </c>
      <c r="G262" s="396">
        <v>3.1</v>
      </c>
      <c r="H262" s="382"/>
      <c r="I262" s="384"/>
    </row>
    <row r="263" spans="2:9" s="580" customFormat="1" ht="12.95" customHeight="1">
      <c r="B263" s="602"/>
      <c r="C263" s="758"/>
      <c r="D263" s="365" t="s">
        <v>806</v>
      </c>
      <c r="E263" s="382"/>
      <c r="F263" s="351" t="s">
        <v>56</v>
      </c>
      <c r="G263" s="396">
        <v>9.6</v>
      </c>
      <c r="H263" s="382"/>
      <c r="I263" s="384"/>
    </row>
    <row r="264" spans="2:9" s="580" customFormat="1" ht="14.1" customHeight="1">
      <c r="B264" s="602"/>
      <c r="C264" s="758"/>
      <c r="D264" s="365" t="s">
        <v>406</v>
      </c>
      <c r="E264" s="382"/>
      <c r="F264" s="351" t="s">
        <v>734</v>
      </c>
      <c r="G264" s="396">
        <v>1.5</v>
      </c>
      <c r="H264" s="382"/>
      <c r="I264" s="384"/>
    </row>
    <row r="265" spans="2:9" s="580" customFormat="1" ht="14.1" customHeight="1">
      <c r="B265" s="602"/>
      <c r="C265" s="759"/>
      <c r="D265" s="387" t="s">
        <v>211</v>
      </c>
      <c r="E265" s="388"/>
      <c r="F265" s="459" t="s">
        <v>1201</v>
      </c>
      <c r="G265" s="355">
        <v>4.4999999999999998E-2</v>
      </c>
      <c r="H265" s="388"/>
      <c r="I265" s="389"/>
    </row>
    <row r="266" spans="2:9" s="580" customFormat="1" ht="12" customHeight="1">
      <c r="B266" s="602"/>
      <c r="C266" s="760"/>
      <c r="D266" s="440"/>
      <c r="E266" s="440"/>
      <c r="F266" s="440"/>
      <c r="G266" s="1027" t="s">
        <v>728</v>
      </c>
      <c r="H266" s="1028"/>
      <c r="I266" s="395"/>
    </row>
    <row r="267" spans="2:9" s="580" customFormat="1" ht="12" customHeight="1">
      <c r="B267" s="602"/>
      <c r="C267" s="457" t="s">
        <v>9</v>
      </c>
      <c r="D267" s="458" t="s">
        <v>815</v>
      </c>
      <c r="E267" s="393"/>
      <c r="F267" s="393"/>
      <c r="G267" s="393"/>
      <c r="H267" s="393"/>
      <c r="I267" s="436"/>
    </row>
    <row r="268" spans="2:9" s="580" customFormat="1" ht="12" customHeight="1">
      <c r="B268" s="602"/>
      <c r="C268" s="759"/>
      <c r="D268" s="388"/>
      <c r="E268" s="388"/>
      <c r="F268" s="388"/>
      <c r="G268" s="388"/>
      <c r="H268" s="388"/>
      <c r="I268" s="389"/>
    </row>
    <row r="269" spans="2:9" s="580" customFormat="1" ht="12" customHeight="1">
      <c r="B269" s="602"/>
      <c r="C269" s="760"/>
      <c r="D269" s="440"/>
      <c r="E269" s="440"/>
      <c r="F269" s="440"/>
      <c r="G269" s="1027" t="s">
        <v>729</v>
      </c>
      <c r="H269" s="1028"/>
      <c r="I269" s="395"/>
    </row>
    <row r="270" spans="2:9" s="580" customFormat="1" ht="12" customHeight="1">
      <c r="B270" s="602"/>
      <c r="C270" s="377" t="s">
        <v>12</v>
      </c>
      <c r="D270" s="1039" t="s">
        <v>730</v>
      </c>
      <c r="E270" s="1035"/>
      <c r="F270" s="1035"/>
      <c r="G270" s="1034"/>
      <c r="H270" s="1023"/>
      <c r="I270" s="403"/>
    </row>
    <row r="271" spans="2:9" s="580" customFormat="1" ht="12" customHeight="1">
      <c r="B271" s="602"/>
      <c r="C271" s="377" t="s">
        <v>13</v>
      </c>
      <c r="D271" s="1036" t="s">
        <v>816</v>
      </c>
      <c r="E271" s="1037"/>
      <c r="F271" s="1038"/>
      <c r="G271" s="1039" t="s">
        <v>740</v>
      </c>
      <c r="H271" s="1051"/>
      <c r="I271" s="403"/>
    </row>
    <row r="272" spans="2:9" s="580" customFormat="1" ht="12" customHeight="1" thickBot="1">
      <c r="B272" s="602"/>
      <c r="C272" s="456" t="s">
        <v>14</v>
      </c>
      <c r="D272" s="1029" t="s">
        <v>817</v>
      </c>
      <c r="E272" s="1030"/>
      <c r="F272" s="1030"/>
      <c r="G272" s="1030"/>
      <c r="H272" s="1031"/>
      <c r="I272" s="404"/>
    </row>
    <row r="273" spans="2:9" s="580" customFormat="1" ht="12" customHeight="1">
      <c r="B273" s="602"/>
      <c r="C273" s="623"/>
      <c r="D273" s="576"/>
      <c r="E273" s="576"/>
      <c r="F273" s="576"/>
      <c r="G273" s="576"/>
      <c r="H273" s="915"/>
      <c r="I273" s="316"/>
    </row>
    <row r="274" spans="2:9" s="567" customFormat="1" ht="15.95" customHeight="1" thickBot="1">
      <c r="B274" s="598">
        <v>14</v>
      </c>
      <c r="C274" s="566" t="s">
        <v>1234</v>
      </c>
      <c r="H274" s="568"/>
      <c r="I274" s="568"/>
    </row>
    <row r="275" spans="2:9" s="580" customFormat="1" ht="35.1" customHeight="1" thickBot="1">
      <c r="B275" s="602"/>
      <c r="C275" s="334" t="s">
        <v>840</v>
      </c>
      <c r="D275" s="335" t="s">
        <v>841</v>
      </c>
      <c r="E275" s="335" t="s">
        <v>842</v>
      </c>
      <c r="F275" s="335" t="s">
        <v>843</v>
      </c>
      <c r="G275" s="335" t="s">
        <v>844</v>
      </c>
      <c r="H275" s="335" t="s">
        <v>845</v>
      </c>
      <c r="I275" s="337" t="s">
        <v>846</v>
      </c>
    </row>
    <row r="276" spans="2:9" s="580" customFormat="1" ht="12" customHeight="1">
      <c r="B276" s="602"/>
      <c r="C276" s="491" t="s">
        <v>7</v>
      </c>
      <c r="D276" s="365" t="s">
        <v>810</v>
      </c>
      <c r="E276" s="382"/>
      <c r="F276" s="382"/>
      <c r="G276" s="382"/>
      <c r="H276" s="382"/>
      <c r="I276" s="384"/>
    </row>
    <row r="277" spans="2:9" s="580" customFormat="1" ht="14.1" customHeight="1">
      <c r="B277" s="602"/>
      <c r="C277" s="758"/>
      <c r="D277" s="365" t="s">
        <v>10</v>
      </c>
      <c r="E277" s="351" t="s">
        <v>16</v>
      </c>
      <c r="F277" s="351" t="s">
        <v>726</v>
      </c>
      <c r="G277" s="396">
        <v>0.25</v>
      </c>
      <c r="H277" s="382"/>
      <c r="I277" s="384"/>
    </row>
    <row r="278" spans="2:9" s="580" customFormat="1" ht="12.95" customHeight="1">
      <c r="B278" s="602"/>
      <c r="C278" s="758"/>
      <c r="D278" s="365" t="s">
        <v>143</v>
      </c>
      <c r="E278" s="351" t="s">
        <v>22</v>
      </c>
      <c r="F278" s="351" t="s">
        <v>726</v>
      </c>
      <c r="G278" s="352">
        <v>0.125</v>
      </c>
      <c r="H278" s="382"/>
      <c r="I278" s="384"/>
    </row>
    <row r="279" spans="2:9" s="580" customFormat="1" ht="14.1" customHeight="1">
      <c r="B279" s="602"/>
      <c r="C279" s="758"/>
      <c r="D279" s="365" t="s">
        <v>20</v>
      </c>
      <c r="E279" s="351" t="s">
        <v>21</v>
      </c>
      <c r="F279" s="351" t="s">
        <v>726</v>
      </c>
      <c r="G279" s="352">
        <v>1.2999999999999999E-2</v>
      </c>
      <c r="H279" s="382"/>
      <c r="I279" s="384"/>
    </row>
    <row r="280" spans="2:9" s="580" customFormat="1" ht="14.1" customHeight="1">
      <c r="B280" s="602"/>
      <c r="C280" s="759"/>
      <c r="D280" s="387" t="s">
        <v>11</v>
      </c>
      <c r="E280" s="354" t="s">
        <v>17</v>
      </c>
      <c r="F280" s="354" t="s">
        <v>726</v>
      </c>
      <c r="G280" s="355">
        <v>1.2999999999999999E-2</v>
      </c>
      <c r="H280" s="388"/>
      <c r="I280" s="389"/>
    </row>
    <row r="281" spans="2:9" s="580" customFormat="1" ht="12" customHeight="1">
      <c r="B281" s="602"/>
      <c r="C281" s="760"/>
      <c r="D281" s="440"/>
      <c r="E281" s="440"/>
      <c r="F281" s="440"/>
      <c r="G281" s="1027" t="s">
        <v>727</v>
      </c>
      <c r="H281" s="1028"/>
      <c r="I281" s="395"/>
    </row>
    <row r="282" spans="2:9" s="580" customFormat="1" ht="12" customHeight="1">
      <c r="B282" s="602"/>
      <c r="C282" s="457" t="s">
        <v>8</v>
      </c>
      <c r="D282" s="458" t="s">
        <v>811</v>
      </c>
      <c r="E282" s="393"/>
      <c r="F282" s="393"/>
      <c r="G282" s="393"/>
      <c r="H282" s="393"/>
      <c r="I282" s="436"/>
    </row>
    <row r="283" spans="2:9" s="580" customFormat="1" ht="23.1" customHeight="1">
      <c r="B283" s="602"/>
      <c r="C283" s="758"/>
      <c r="D283" s="365" t="s">
        <v>1169</v>
      </c>
      <c r="E283" s="382"/>
      <c r="F283" s="351" t="s">
        <v>1163</v>
      </c>
      <c r="G283" s="396">
        <v>6.63</v>
      </c>
      <c r="H283" s="382"/>
      <c r="I283" s="384"/>
    </row>
    <row r="284" spans="2:9" s="580" customFormat="1" ht="14.1" customHeight="1">
      <c r="B284" s="602"/>
      <c r="C284" s="758"/>
      <c r="D284" s="365" t="s">
        <v>806</v>
      </c>
      <c r="E284" s="382"/>
      <c r="F284" s="351" t="s">
        <v>56</v>
      </c>
      <c r="G284" s="396">
        <v>9.8000000000000007</v>
      </c>
      <c r="H284" s="382"/>
      <c r="I284" s="384"/>
    </row>
    <row r="285" spans="2:9" s="580" customFormat="1" ht="14.1" customHeight="1">
      <c r="B285" s="602"/>
      <c r="C285" s="758"/>
      <c r="D285" s="365" t="s">
        <v>406</v>
      </c>
      <c r="E285" s="382"/>
      <c r="F285" s="351" t="s">
        <v>734</v>
      </c>
      <c r="G285" s="396">
        <v>1.3</v>
      </c>
      <c r="H285" s="382"/>
      <c r="I285" s="384"/>
    </row>
    <row r="286" spans="2:9" s="580" customFormat="1" ht="12.95" customHeight="1">
      <c r="B286" s="602"/>
      <c r="C286" s="759"/>
      <c r="D286" s="387" t="s">
        <v>211</v>
      </c>
      <c r="E286" s="388"/>
      <c r="F286" s="459" t="s">
        <v>1201</v>
      </c>
      <c r="G286" s="355">
        <v>4.4999999999999998E-2</v>
      </c>
      <c r="H286" s="388"/>
      <c r="I286" s="389"/>
    </row>
    <row r="287" spans="2:9" s="580" customFormat="1" ht="12" customHeight="1">
      <c r="B287" s="602"/>
      <c r="C287" s="760"/>
      <c r="D287" s="440"/>
      <c r="E287" s="440"/>
      <c r="F287" s="440"/>
      <c r="G287" s="1027" t="s">
        <v>728</v>
      </c>
      <c r="H287" s="1028"/>
      <c r="I287" s="395"/>
    </row>
    <row r="288" spans="2:9" s="580" customFormat="1" ht="12" customHeight="1">
      <c r="B288" s="602"/>
      <c r="C288" s="457" t="s">
        <v>9</v>
      </c>
      <c r="D288" s="458" t="s">
        <v>815</v>
      </c>
      <c r="E288" s="393"/>
      <c r="F288" s="393"/>
      <c r="G288" s="393"/>
      <c r="H288" s="393"/>
      <c r="I288" s="436"/>
    </row>
    <row r="289" spans="2:9" s="580" customFormat="1" ht="12" customHeight="1">
      <c r="B289" s="602"/>
      <c r="C289" s="759"/>
      <c r="D289" s="388"/>
      <c r="E289" s="388"/>
      <c r="F289" s="388"/>
      <c r="G289" s="388"/>
      <c r="H289" s="388"/>
      <c r="I289" s="389"/>
    </row>
    <row r="290" spans="2:9" s="580" customFormat="1" ht="12" customHeight="1">
      <c r="B290" s="602"/>
      <c r="C290" s="760"/>
      <c r="D290" s="440"/>
      <c r="E290" s="440"/>
      <c r="F290" s="440"/>
      <c r="G290" s="1027" t="s">
        <v>729</v>
      </c>
      <c r="H290" s="1028"/>
      <c r="I290" s="395"/>
    </row>
    <row r="291" spans="2:9" s="580" customFormat="1" ht="12" customHeight="1">
      <c r="B291" s="602"/>
      <c r="C291" s="377" t="s">
        <v>12</v>
      </c>
      <c r="D291" s="1039" t="s">
        <v>730</v>
      </c>
      <c r="E291" s="1035"/>
      <c r="F291" s="1035"/>
      <c r="G291" s="1034"/>
      <c r="H291" s="1023"/>
      <c r="I291" s="403"/>
    </row>
    <row r="292" spans="2:9" s="580" customFormat="1" ht="12" customHeight="1">
      <c r="B292" s="602"/>
      <c r="C292" s="377" t="s">
        <v>13</v>
      </c>
      <c r="D292" s="1036" t="s">
        <v>816</v>
      </c>
      <c r="E292" s="1037"/>
      <c r="F292" s="1038"/>
      <c r="G292" s="1039" t="s">
        <v>740</v>
      </c>
      <c r="H292" s="1051"/>
      <c r="I292" s="403"/>
    </row>
    <row r="293" spans="2:9" s="580" customFormat="1" ht="12" customHeight="1" thickBot="1">
      <c r="B293" s="602"/>
      <c r="C293" s="456" t="s">
        <v>14</v>
      </c>
      <c r="D293" s="1029" t="s">
        <v>817</v>
      </c>
      <c r="E293" s="1030"/>
      <c r="F293" s="1030"/>
      <c r="G293" s="1030"/>
      <c r="H293" s="1031"/>
      <c r="I293" s="404"/>
    </row>
    <row r="294" spans="2:9" s="580" customFormat="1">
      <c r="B294" s="602"/>
      <c r="H294" s="316"/>
      <c r="I294" s="316"/>
    </row>
    <row r="295" spans="2:9" s="567" customFormat="1" ht="15.95" customHeight="1" thickBot="1">
      <c r="B295" s="598">
        <v>15</v>
      </c>
      <c r="C295" s="566" t="s">
        <v>1235</v>
      </c>
      <c r="H295" s="568"/>
      <c r="I295" s="568"/>
    </row>
    <row r="296" spans="2:9" s="580" customFormat="1" ht="35.1" customHeight="1" thickBot="1">
      <c r="B296" s="602"/>
      <c r="C296" s="334" t="s">
        <v>840</v>
      </c>
      <c r="D296" s="335" t="s">
        <v>841</v>
      </c>
      <c r="E296" s="335" t="s">
        <v>842</v>
      </c>
      <c r="F296" s="335" t="s">
        <v>843</v>
      </c>
      <c r="G296" s="335" t="s">
        <v>844</v>
      </c>
      <c r="H296" s="335" t="s">
        <v>845</v>
      </c>
      <c r="I296" s="337" t="s">
        <v>846</v>
      </c>
    </row>
    <row r="297" spans="2:9" s="580" customFormat="1" ht="12" customHeight="1">
      <c r="B297" s="602"/>
      <c r="C297" s="543" t="s">
        <v>7</v>
      </c>
      <c r="D297" s="289" t="s">
        <v>810</v>
      </c>
      <c r="E297" s="299"/>
      <c r="F297" s="299"/>
      <c r="G297" s="299"/>
      <c r="H297" s="299"/>
      <c r="I297" s="300"/>
    </row>
    <row r="298" spans="2:9" s="580" customFormat="1" ht="14.1" customHeight="1">
      <c r="B298" s="602"/>
      <c r="C298" s="753"/>
      <c r="D298" s="289" t="s">
        <v>10</v>
      </c>
      <c r="E298" s="285" t="s">
        <v>16</v>
      </c>
      <c r="F298" s="285" t="s">
        <v>726</v>
      </c>
      <c r="G298" s="749">
        <v>0.26</v>
      </c>
      <c r="H298" s="299"/>
      <c r="I298" s="300"/>
    </row>
    <row r="299" spans="2:9" s="580" customFormat="1" ht="12.95" customHeight="1">
      <c r="B299" s="602"/>
      <c r="C299" s="753"/>
      <c r="D299" s="289" t="s">
        <v>143</v>
      </c>
      <c r="E299" s="285" t="s">
        <v>22</v>
      </c>
      <c r="F299" s="285" t="s">
        <v>726</v>
      </c>
      <c r="G299" s="749">
        <v>0.13</v>
      </c>
      <c r="H299" s="299"/>
      <c r="I299" s="300"/>
    </row>
    <row r="300" spans="2:9" s="580" customFormat="1" ht="14.1" customHeight="1">
      <c r="B300" s="602"/>
      <c r="C300" s="753"/>
      <c r="D300" s="289" t="s">
        <v>20</v>
      </c>
      <c r="E300" s="285" t="s">
        <v>21</v>
      </c>
      <c r="F300" s="285" t="s">
        <v>726</v>
      </c>
      <c r="G300" s="286">
        <v>1.2999999999999999E-2</v>
      </c>
      <c r="H300" s="299"/>
      <c r="I300" s="300"/>
    </row>
    <row r="301" spans="2:9" s="580" customFormat="1" ht="14.1" customHeight="1">
      <c r="B301" s="602"/>
      <c r="C301" s="754"/>
      <c r="D301" s="177" t="s">
        <v>11</v>
      </c>
      <c r="E301" s="287" t="s">
        <v>17</v>
      </c>
      <c r="F301" s="287" t="s">
        <v>726</v>
      </c>
      <c r="G301" s="288">
        <v>1.2999999999999999E-2</v>
      </c>
      <c r="H301" s="302"/>
      <c r="I301" s="303"/>
    </row>
    <row r="302" spans="2:9" s="580" customFormat="1" ht="12" customHeight="1">
      <c r="B302" s="602"/>
      <c r="C302" s="755"/>
      <c r="D302" s="316"/>
      <c r="E302" s="316"/>
      <c r="F302" s="316"/>
      <c r="G302" s="1155" t="s">
        <v>727</v>
      </c>
      <c r="H302" s="1156"/>
      <c r="I302" s="631"/>
    </row>
    <row r="303" spans="2:9" s="580" customFormat="1" ht="12" customHeight="1">
      <c r="B303" s="602"/>
      <c r="C303" s="292" t="s">
        <v>8</v>
      </c>
      <c r="D303" s="293" t="s">
        <v>811</v>
      </c>
      <c r="E303" s="296"/>
      <c r="F303" s="296"/>
      <c r="G303" s="296"/>
      <c r="H303" s="296"/>
      <c r="I303" s="297"/>
    </row>
    <row r="304" spans="2:9" s="580" customFormat="1" ht="24" customHeight="1">
      <c r="B304" s="602"/>
      <c r="C304" s="753"/>
      <c r="D304" s="289" t="s">
        <v>1169</v>
      </c>
      <c r="E304" s="299"/>
      <c r="F304" s="285" t="s">
        <v>1163</v>
      </c>
      <c r="G304" s="749">
        <v>11.87</v>
      </c>
      <c r="H304" s="299"/>
      <c r="I304" s="300"/>
    </row>
    <row r="305" spans="2:9" s="580" customFormat="1" ht="12.95" customHeight="1">
      <c r="B305" s="602"/>
      <c r="C305" s="753"/>
      <c r="D305" s="289" t="s">
        <v>806</v>
      </c>
      <c r="E305" s="299"/>
      <c r="F305" s="285" t="s">
        <v>56</v>
      </c>
      <c r="G305" s="749">
        <v>10</v>
      </c>
      <c r="H305" s="299"/>
      <c r="I305" s="300"/>
    </row>
    <row r="306" spans="2:9" s="580" customFormat="1" ht="14.1" customHeight="1">
      <c r="B306" s="602"/>
      <c r="C306" s="753"/>
      <c r="D306" s="289" t="s">
        <v>406</v>
      </c>
      <c r="E306" s="299"/>
      <c r="F306" s="285" t="s">
        <v>734</v>
      </c>
      <c r="G306" s="749">
        <v>1.5</v>
      </c>
      <c r="H306" s="299"/>
      <c r="I306" s="300"/>
    </row>
    <row r="307" spans="2:9" s="580" customFormat="1" ht="14.1" customHeight="1">
      <c r="B307" s="602"/>
      <c r="C307" s="754"/>
      <c r="D307" s="177" t="s">
        <v>211</v>
      </c>
      <c r="E307" s="302"/>
      <c r="F307" s="586" t="s">
        <v>1201</v>
      </c>
      <c r="G307" s="288">
        <v>4.4999999999999998E-2</v>
      </c>
      <c r="H307" s="302"/>
      <c r="I307" s="303"/>
    </row>
    <row r="308" spans="2:9" s="580" customFormat="1" ht="12" customHeight="1">
      <c r="B308" s="602"/>
      <c r="C308" s="755"/>
      <c r="D308" s="316"/>
      <c r="E308" s="316"/>
      <c r="F308" s="316"/>
      <c r="G308" s="1155" t="s">
        <v>728</v>
      </c>
      <c r="H308" s="1156"/>
      <c r="I308" s="631"/>
    </row>
    <row r="309" spans="2:9" s="580" customFormat="1" ht="12" customHeight="1">
      <c r="B309" s="602"/>
      <c r="C309" s="292" t="s">
        <v>9</v>
      </c>
      <c r="D309" s="293" t="s">
        <v>815</v>
      </c>
      <c r="E309" s="296"/>
      <c r="F309" s="296"/>
      <c r="G309" s="296"/>
      <c r="H309" s="296"/>
      <c r="I309" s="297"/>
    </row>
    <row r="310" spans="2:9" s="580" customFormat="1" ht="12" customHeight="1">
      <c r="B310" s="602"/>
      <c r="C310" s="754"/>
      <c r="D310" s="302"/>
      <c r="E310" s="302"/>
      <c r="F310" s="302"/>
      <c r="G310" s="302"/>
      <c r="H310" s="302"/>
      <c r="I310" s="303"/>
    </row>
    <row r="311" spans="2:9" s="580" customFormat="1" ht="12" customHeight="1">
      <c r="B311" s="602"/>
      <c r="C311" s="755"/>
      <c r="D311" s="316"/>
      <c r="E311" s="316"/>
      <c r="F311" s="316"/>
      <c r="G311" s="1163" t="s">
        <v>729</v>
      </c>
      <c r="H311" s="1164"/>
      <c r="I311" s="631"/>
    </row>
    <row r="312" spans="2:9" s="580" customFormat="1" ht="12" customHeight="1">
      <c r="B312" s="602"/>
      <c r="C312" s="290" t="s">
        <v>12</v>
      </c>
      <c r="D312" s="1113" t="s">
        <v>730</v>
      </c>
      <c r="E312" s="1114"/>
      <c r="F312" s="1114"/>
      <c r="G312" s="1160"/>
      <c r="H312" s="1126"/>
      <c r="I312" s="306"/>
    </row>
    <row r="313" spans="2:9" s="580" customFormat="1" ht="12" customHeight="1">
      <c r="B313" s="602"/>
      <c r="C313" s="290" t="s">
        <v>13</v>
      </c>
      <c r="D313" s="1116" t="s">
        <v>816</v>
      </c>
      <c r="E313" s="1117"/>
      <c r="F313" s="1118"/>
      <c r="G313" s="1113" t="s">
        <v>740</v>
      </c>
      <c r="H313" s="1115"/>
      <c r="I313" s="306"/>
    </row>
    <row r="314" spans="2:9" s="580" customFormat="1" ht="12" customHeight="1" thickBot="1">
      <c r="B314" s="602"/>
      <c r="C314" s="291" t="s">
        <v>14</v>
      </c>
      <c r="D314" s="1119" t="s">
        <v>817</v>
      </c>
      <c r="E314" s="1120"/>
      <c r="F314" s="1120"/>
      <c r="G314" s="1120"/>
      <c r="H314" s="1121"/>
      <c r="I314" s="307"/>
    </row>
    <row r="315" spans="2:9" s="580" customFormat="1" ht="12" customHeight="1">
      <c r="B315" s="602"/>
      <c r="C315" s="623"/>
      <c r="D315" s="576"/>
      <c r="E315" s="576"/>
      <c r="F315" s="576"/>
      <c r="G315" s="576"/>
      <c r="H315" s="915"/>
      <c r="I315" s="316"/>
    </row>
    <row r="316" spans="2:9" s="597" customFormat="1" ht="15.95" customHeight="1" thickBot="1">
      <c r="B316" s="598">
        <v>16</v>
      </c>
      <c r="C316" s="572" t="s">
        <v>1202</v>
      </c>
      <c r="H316" s="599"/>
      <c r="I316" s="599"/>
    </row>
    <row r="317" spans="2:9" s="580" customFormat="1" ht="35.1" customHeight="1" thickBot="1">
      <c r="B317" s="602"/>
      <c r="C317" s="334" t="s">
        <v>840</v>
      </c>
      <c r="D317" s="335" t="s">
        <v>841</v>
      </c>
      <c r="E317" s="335" t="s">
        <v>842</v>
      </c>
      <c r="F317" s="335" t="s">
        <v>843</v>
      </c>
      <c r="G317" s="335" t="s">
        <v>844</v>
      </c>
      <c r="H317" s="335" t="s">
        <v>845</v>
      </c>
      <c r="I317" s="337" t="s">
        <v>846</v>
      </c>
    </row>
    <row r="318" spans="2:9" s="580" customFormat="1" ht="14.1" customHeight="1">
      <c r="B318" s="602"/>
      <c r="C318" s="491" t="s">
        <v>7</v>
      </c>
      <c r="D318" s="365" t="s">
        <v>810</v>
      </c>
      <c r="E318" s="382"/>
      <c r="F318" s="382"/>
      <c r="G318" s="382"/>
      <c r="H318" s="382"/>
      <c r="I318" s="384"/>
    </row>
    <row r="319" spans="2:9" s="580" customFormat="1" ht="14.1" customHeight="1">
      <c r="B319" s="602"/>
      <c r="C319" s="758"/>
      <c r="D319" s="365" t="s">
        <v>10</v>
      </c>
      <c r="E319" s="351" t="s">
        <v>16</v>
      </c>
      <c r="F319" s="351" t="s">
        <v>726</v>
      </c>
      <c r="G319" s="396">
        <v>0.09</v>
      </c>
      <c r="H319" s="382"/>
      <c r="I319" s="384"/>
    </row>
    <row r="320" spans="2:9" s="580" customFormat="1" ht="14.1" customHeight="1">
      <c r="B320" s="602"/>
      <c r="C320" s="758"/>
      <c r="D320" s="365" t="s">
        <v>143</v>
      </c>
      <c r="E320" s="351" t="s">
        <v>22</v>
      </c>
      <c r="F320" s="351" t="s">
        <v>726</v>
      </c>
      <c r="G320" s="396">
        <v>0.09</v>
      </c>
      <c r="H320" s="382"/>
      <c r="I320" s="384"/>
    </row>
    <row r="321" spans="2:9" s="580" customFormat="1" ht="14.1" customHeight="1">
      <c r="B321" s="602"/>
      <c r="C321" s="758"/>
      <c r="D321" s="365" t="s">
        <v>20</v>
      </c>
      <c r="E321" s="351" t="s">
        <v>21</v>
      </c>
      <c r="F321" s="351" t="s">
        <v>726</v>
      </c>
      <c r="G321" s="352">
        <v>8.9999999999999993E-3</v>
      </c>
      <c r="H321" s="382"/>
      <c r="I321" s="384"/>
    </row>
    <row r="322" spans="2:9" s="580" customFormat="1" ht="14.1" customHeight="1">
      <c r="B322" s="602"/>
      <c r="C322" s="759"/>
      <c r="D322" s="387" t="s">
        <v>11</v>
      </c>
      <c r="E322" s="354" t="s">
        <v>17</v>
      </c>
      <c r="F322" s="354" t="s">
        <v>726</v>
      </c>
      <c r="G322" s="355">
        <v>5.0000000000000001E-3</v>
      </c>
      <c r="H322" s="388"/>
      <c r="I322" s="389"/>
    </row>
    <row r="323" spans="2:9" s="580" customFormat="1" ht="14.1" customHeight="1">
      <c r="B323" s="602"/>
      <c r="C323" s="760"/>
      <c r="D323" s="440"/>
      <c r="E323" s="440"/>
      <c r="F323" s="440"/>
      <c r="G323" s="1027" t="s">
        <v>727</v>
      </c>
      <c r="H323" s="1028"/>
      <c r="I323" s="395"/>
    </row>
    <row r="324" spans="2:9" s="580" customFormat="1" ht="14.1" customHeight="1">
      <c r="B324" s="602"/>
      <c r="C324" s="457" t="s">
        <v>8</v>
      </c>
      <c r="D324" s="458" t="s">
        <v>811</v>
      </c>
      <c r="E324" s="393"/>
      <c r="F324" s="393"/>
      <c r="G324" s="393"/>
      <c r="H324" s="393"/>
      <c r="I324" s="436"/>
    </row>
    <row r="325" spans="2:9" s="580" customFormat="1" ht="14.1" customHeight="1">
      <c r="B325" s="602"/>
      <c r="C325" s="758"/>
      <c r="D325" s="365" t="s">
        <v>1170</v>
      </c>
      <c r="E325" s="382"/>
      <c r="F325" s="351" t="s">
        <v>1163</v>
      </c>
      <c r="G325" s="396">
        <v>5.3</v>
      </c>
      <c r="H325" s="382"/>
      <c r="I325" s="384"/>
    </row>
    <row r="326" spans="2:9" s="580" customFormat="1" ht="14.1" customHeight="1">
      <c r="B326" s="602"/>
      <c r="C326" s="758"/>
      <c r="D326" s="365" t="s">
        <v>806</v>
      </c>
      <c r="E326" s="382"/>
      <c r="F326" s="351" t="s">
        <v>56</v>
      </c>
      <c r="G326" s="396">
        <v>1.65</v>
      </c>
      <c r="H326" s="382"/>
      <c r="I326" s="384"/>
    </row>
    <row r="327" spans="2:9" s="580" customFormat="1" ht="14.1" customHeight="1">
      <c r="B327" s="602"/>
      <c r="C327" s="759"/>
      <c r="D327" s="387" t="s">
        <v>211</v>
      </c>
      <c r="E327" s="388"/>
      <c r="F327" s="459" t="s">
        <v>1201</v>
      </c>
      <c r="G327" s="355">
        <v>4.0000000000000001E-3</v>
      </c>
      <c r="H327" s="388"/>
      <c r="I327" s="389"/>
    </row>
    <row r="328" spans="2:9" s="580" customFormat="1" ht="14.1" customHeight="1">
      <c r="B328" s="602"/>
      <c r="C328" s="760"/>
      <c r="D328" s="440"/>
      <c r="E328" s="440"/>
      <c r="F328" s="440"/>
      <c r="G328" s="1027" t="s">
        <v>728</v>
      </c>
      <c r="H328" s="1028"/>
      <c r="I328" s="395"/>
    </row>
    <row r="329" spans="2:9" s="580" customFormat="1" ht="14.1" customHeight="1">
      <c r="B329" s="602"/>
      <c r="C329" s="457" t="s">
        <v>9</v>
      </c>
      <c r="D329" s="458" t="s">
        <v>815</v>
      </c>
      <c r="E329" s="393"/>
      <c r="F329" s="393"/>
      <c r="G329" s="393"/>
      <c r="H329" s="393"/>
      <c r="I329" s="436"/>
    </row>
    <row r="330" spans="2:9" s="580" customFormat="1" ht="14.1" customHeight="1">
      <c r="B330" s="602"/>
      <c r="C330" s="759"/>
      <c r="D330" s="388"/>
      <c r="E330" s="388"/>
      <c r="F330" s="388"/>
      <c r="G330" s="388"/>
      <c r="H330" s="388"/>
      <c r="I330" s="389"/>
    </row>
    <row r="331" spans="2:9" s="580" customFormat="1" ht="14.1" customHeight="1">
      <c r="B331" s="602"/>
      <c r="C331" s="760"/>
      <c r="D331" s="440"/>
      <c r="E331" s="440"/>
      <c r="F331" s="440"/>
      <c r="G331" s="1027" t="s">
        <v>729</v>
      </c>
      <c r="H331" s="1028"/>
      <c r="I331" s="395"/>
    </row>
    <row r="332" spans="2:9" s="580" customFormat="1" ht="14.1" customHeight="1">
      <c r="B332" s="602"/>
      <c r="C332" s="377" t="s">
        <v>12</v>
      </c>
      <c r="D332" s="1039" t="s">
        <v>730</v>
      </c>
      <c r="E332" s="1035"/>
      <c r="F332" s="1035"/>
      <c r="G332" s="1034"/>
      <c r="H332" s="1023"/>
      <c r="I332" s="403"/>
    </row>
    <row r="333" spans="2:9" s="580" customFormat="1" ht="14.1" customHeight="1">
      <c r="B333" s="602"/>
      <c r="C333" s="377" t="s">
        <v>13</v>
      </c>
      <c r="D333" s="1036" t="s">
        <v>816</v>
      </c>
      <c r="E333" s="1037"/>
      <c r="F333" s="1038"/>
      <c r="G333" s="1039" t="s">
        <v>740</v>
      </c>
      <c r="H333" s="1051"/>
      <c r="I333" s="403"/>
    </row>
    <row r="334" spans="2:9" s="580" customFormat="1" ht="14.1" customHeight="1" thickBot="1">
      <c r="B334" s="602"/>
      <c r="C334" s="456" t="s">
        <v>14</v>
      </c>
      <c r="D334" s="1029" t="s">
        <v>817</v>
      </c>
      <c r="E334" s="1030"/>
      <c r="F334" s="1030"/>
      <c r="G334" s="1030"/>
      <c r="H334" s="1031"/>
      <c r="I334" s="404"/>
    </row>
    <row r="335" spans="2:9" s="580" customFormat="1" ht="14.1" customHeight="1">
      <c r="B335" s="602"/>
      <c r="H335" s="316"/>
      <c r="I335" s="316"/>
    </row>
    <row r="336" spans="2:9" s="580" customFormat="1" ht="14.1" customHeight="1">
      <c r="B336" s="602"/>
      <c r="H336" s="316"/>
      <c r="I336" s="316"/>
    </row>
    <row r="337" spans="2:9" s="597" customFormat="1" ht="15.95" customHeight="1" thickBot="1">
      <c r="B337" s="598">
        <v>17</v>
      </c>
      <c r="C337" s="572" t="s">
        <v>1203</v>
      </c>
      <c r="H337" s="599"/>
      <c r="I337" s="599"/>
    </row>
    <row r="338" spans="2:9" s="580" customFormat="1" ht="35.1" customHeight="1" thickBot="1">
      <c r="B338" s="602"/>
      <c r="C338" s="334" t="s">
        <v>840</v>
      </c>
      <c r="D338" s="335" t="s">
        <v>841</v>
      </c>
      <c r="E338" s="335" t="s">
        <v>842</v>
      </c>
      <c r="F338" s="335" t="s">
        <v>843</v>
      </c>
      <c r="G338" s="335" t="s">
        <v>844</v>
      </c>
      <c r="H338" s="335" t="s">
        <v>845</v>
      </c>
      <c r="I338" s="337" t="s">
        <v>846</v>
      </c>
    </row>
    <row r="339" spans="2:9" s="580" customFormat="1" ht="14.1" customHeight="1">
      <c r="B339" s="602"/>
      <c r="C339" s="491" t="s">
        <v>7</v>
      </c>
      <c r="D339" s="365" t="s">
        <v>810</v>
      </c>
      <c r="E339" s="382"/>
      <c r="F339" s="382"/>
      <c r="G339" s="382"/>
      <c r="H339" s="382"/>
      <c r="I339" s="384"/>
    </row>
    <row r="340" spans="2:9" s="580" customFormat="1" ht="14.1" customHeight="1">
      <c r="B340" s="602"/>
      <c r="C340" s="758"/>
      <c r="D340" s="365" t="s">
        <v>10</v>
      </c>
      <c r="E340" s="351" t="s">
        <v>16</v>
      </c>
      <c r="F340" s="351" t="s">
        <v>726</v>
      </c>
      <c r="G340" s="396">
        <v>0.09</v>
      </c>
      <c r="H340" s="382"/>
      <c r="I340" s="384"/>
    </row>
    <row r="341" spans="2:9" s="580" customFormat="1" ht="14.1" customHeight="1">
      <c r="B341" s="602"/>
      <c r="C341" s="758"/>
      <c r="D341" s="365" t="s">
        <v>143</v>
      </c>
      <c r="E341" s="351" t="s">
        <v>22</v>
      </c>
      <c r="F341" s="351" t="s">
        <v>726</v>
      </c>
      <c r="G341" s="396">
        <v>0.09</v>
      </c>
      <c r="H341" s="382"/>
      <c r="I341" s="384"/>
    </row>
    <row r="342" spans="2:9" s="580" customFormat="1" ht="14.1" customHeight="1">
      <c r="B342" s="602"/>
      <c r="C342" s="758"/>
      <c r="D342" s="365" t="s">
        <v>20</v>
      </c>
      <c r="E342" s="351" t="s">
        <v>21</v>
      </c>
      <c r="F342" s="351" t="s">
        <v>726</v>
      </c>
      <c r="G342" s="352">
        <v>8.9999999999999993E-3</v>
      </c>
      <c r="H342" s="382"/>
      <c r="I342" s="384"/>
    </row>
    <row r="343" spans="2:9" s="580" customFormat="1" ht="14.1" customHeight="1">
      <c r="B343" s="602"/>
      <c r="C343" s="759"/>
      <c r="D343" s="387" t="s">
        <v>11</v>
      </c>
      <c r="E343" s="354" t="s">
        <v>17</v>
      </c>
      <c r="F343" s="354" t="s">
        <v>726</v>
      </c>
      <c r="G343" s="355">
        <v>5.0000000000000001E-3</v>
      </c>
      <c r="H343" s="388"/>
      <c r="I343" s="389"/>
    </row>
    <row r="344" spans="2:9" s="580" customFormat="1" ht="14.1" customHeight="1">
      <c r="B344" s="602"/>
      <c r="C344" s="760"/>
      <c r="D344" s="440"/>
      <c r="E344" s="440"/>
      <c r="F344" s="440"/>
      <c r="G344" s="1027" t="s">
        <v>727</v>
      </c>
      <c r="H344" s="1028"/>
      <c r="I344" s="395"/>
    </row>
    <row r="345" spans="2:9" s="580" customFormat="1" ht="14.1" customHeight="1">
      <c r="B345" s="602"/>
      <c r="C345" s="457" t="s">
        <v>8</v>
      </c>
      <c r="D345" s="458" t="s">
        <v>811</v>
      </c>
      <c r="E345" s="393"/>
      <c r="F345" s="393"/>
      <c r="G345" s="393"/>
      <c r="H345" s="393"/>
      <c r="I345" s="436"/>
    </row>
    <row r="346" spans="2:9" s="580" customFormat="1" ht="14.1" customHeight="1">
      <c r="B346" s="602"/>
      <c r="C346" s="758"/>
      <c r="D346" s="365" t="s">
        <v>1170</v>
      </c>
      <c r="E346" s="382"/>
      <c r="F346" s="351" t="s">
        <v>1163</v>
      </c>
      <c r="G346" s="396">
        <v>3.53</v>
      </c>
      <c r="H346" s="382"/>
      <c r="I346" s="384"/>
    </row>
    <row r="347" spans="2:9" s="580" customFormat="1" ht="14.1" customHeight="1">
      <c r="B347" s="602"/>
      <c r="C347" s="758"/>
      <c r="D347" s="365" t="s">
        <v>806</v>
      </c>
      <c r="E347" s="382"/>
      <c r="F347" s="351" t="s">
        <v>56</v>
      </c>
      <c r="G347" s="396">
        <v>1.24</v>
      </c>
      <c r="H347" s="382"/>
      <c r="I347" s="384"/>
    </row>
    <row r="348" spans="2:9" s="580" customFormat="1" ht="14.1" customHeight="1">
      <c r="B348" s="602"/>
      <c r="C348" s="759"/>
      <c r="D348" s="387" t="s">
        <v>211</v>
      </c>
      <c r="E348" s="388"/>
      <c r="F348" s="459" t="s">
        <v>1201</v>
      </c>
      <c r="G348" s="355">
        <v>3.0000000000000001E-3</v>
      </c>
      <c r="H348" s="388"/>
      <c r="I348" s="389"/>
    </row>
    <row r="349" spans="2:9" s="580" customFormat="1" ht="14.1" customHeight="1">
      <c r="B349" s="602"/>
      <c r="C349" s="760"/>
      <c r="D349" s="440"/>
      <c r="E349" s="440"/>
      <c r="F349" s="440"/>
      <c r="G349" s="1027" t="s">
        <v>728</v>
      </c>
      <c r="H349" s="1028"/>
      <c r="I349" s="395"/>
    </row>
    <row r="350" spans="2:9" s="580" customFormat="1" ht="14.1" customHeight="1">
      <c r="B350" s="602"/>
      <c r="C350" s="457" t="s">
        <v>9</v>
      </c>
      <c r="D350" s="458" t="s">
        <v>815</v>
      </c>
      <c r="E350" s="393"/>
      <c r="F350" s="393"/>
      <c r="G350" s="382"/>
      <c r="H350" s="393"/>
      <c r="I350" s="436"/>
    </row>
    <row r="351" spans="2:9" s="580" customFormat="1" ht="14.1" customHeight="1">
      <c r="B351" s="602"/>
      <c r="C351" s="759"/>
      <c r="D351" s="388"/>
      <c r="E351" s="388"/>
      <c r="F351" s="388"/>
      <c r="G351" s="388"/>
      <c r="H351" s="388"/>
      <c r="I351" s="389"/>
    </row>
    <row r="352" spans="2:9" s="580" customFormat="1" ht="14.1" customHeight="1">
      <c r="B352" s="602"/>
      <c r="C352" s="760"/>
      <c r="D352" s="440"/>
      <c r="E352" s="440"/>
      <c r="F352" s="440"/>
      <c r="G352" s="1027" t="s">
        <v>729</v>
      </c>
      <c r="H352" s="1028"/>
      <c r="I352" s="395"/>
    </row>
    <row r="353" spans="2:9" s="580" customFormat="1" ht="14.1" customHeight="1">
      <c r="B353" s="602"/>
      <c r="C353" s="377" t="s">
        <v>12</v>
      </c>
      <c r="D353" s="1039" t="s">
        <v>730</v>
      </c>
      <c r="E353" s="1035"/>
      <c r="F353" s="1035"/>
      <c r="G353" s="1034"/>
      <c r="H353" s="1023"/>
      <c r="I353" s="403"/>
    </row>
    <row r="354" spans="2:9" s="580" customFormat="1" ht="14.1" customHeight="1">
      <c r="B354" s="602"/>
      <c r="C354" s="377" t="s">
        <v>13</v>
      </c>
      <c r="D354" s="1036" t="s">
        <v>816</v>
      </c>
      <c r="E354" s="1037"/>
      <c r="F354" s="1038"/>
      <c r="G354" s="1039" t="s">
        <v>740</v>
      </c>
      <c r="H354" s="1051"/>
      <c r="I354" s="403"/>
    </row>
    <row r="355" spans="2:9" s="580" customFormat="1" ht="14.1" customHeight="1" thickBot="1">
      <c r="B355" s="602"/>
      <c r="C355" s="456" t="s">
        <v>14</v>
      </c>
      <c r="D355" s="1029" t="s">
        <v>817</v>
      </c>
      <c r="E355" s="1030"/>
      <c r="F355" s="1030"/>
      <c r="G355" s="1030"/>
      <c r="H355" s="1031"/>
      <c r="I355" s="404"/>
    </row>
    <row r="356" spans="2:9" s="580" customFormat="1" ht="14.1" customHeight="1">
      <c r="B356" s="602"/>
      <c r="C356" s="623"/>
      <c r="D356" s="576"/>
      <c r="E356" s="576"/>
      <c r="F356" s="576"/>
      <c r="G356" s="576"/>
      <c r="H356" s="915"/>
      <c r="I356" s="316"/>
    </row>
    <row r="357" spans="2:9" s="597" customFormat="1" ht="15.95" customHeight="1" thickBot="1">
      <c r="B357" s="598">
        <v>18</v>
      </c>
      <c r="C357" s="572" t="s">
        <v>1204</v>
      </c>
      <c r="H357" s="599"/>
      <c r="I357" s="599"/>
    </row>
    <row r="358" spans="2:9" s="580" customFormat="1" ht="35.1" customHeight="1" thickBot="1">
      <c r="B358" s="602"/>
      <c r="C358" s="334" t="s">
        <v>840</v>
      </c>
      <c r="D358" s="335" t="s">
        <v>841</v>
      </c>
      <c r="E358" s="335" t="s">
        <v>842</v>
      </c>
      <c r="F358" s="335" t="s">
        <v>843</v>
      </c>
      <c r="G358" s="335" t="s">
        <v>844</v>
      </c>
      <c r="H358" s="335" t="s">
        <v>845</v>
      </c>
      <c r="I358" s="337" t="s">
        <v>846</v>
      </c>
    </row>
    <row r="359" spans="2:9" s="580" customFormat="1" ht="14.1" customHeight="1">
      <c r="B359" s="602"/>
      <c r="C359" s="491" t="s">
        <v>7</v>
      </c>
      <c r="D359" s="365" t="s">
        <v>810</v>
      </c>
      <c r="E359" s="382"/>
      <c r="F359" s="382"/>
      <c r="G359" s="382"/>
      <c r="H359" s="382"/>
      <c r="I359" s="384"/>
    </row>
    <row r="360" spans="2:9" s="580" customFormat="1" ht="14.1" customHeight="1">
      <c r="B360" s="602"/>
      <c r="C360" s="758"/>
      <c r="D360" s="365" t="s">
        <v>10</v>
      </c>
      <c r="E360" s="351" t="s">
        <v>16</v>
      </c>
      <c r="F360" s="351" t="s">
        <v>726</v>
      </c>
      <c r="G360" s="396">
        <v>0.09</v>
      </c>
      <c r="H360" s="382"/>
      <c r="I360" s="384"/>
    </row>
    <row r="361" spans="2:9" s="580" customFormat="1" ht="14.1" customHeight="1">
      <c r="B361" s="602"/>
      <c r="C361" s="758"/>
      <c r="D361" s="365" t="s">
        <v>409</v>
      </c>
      <c r="E361" s="351" t="s">
        <v>22</v>
      </c>
      <c r="F361" s="351" t="s">
        <v>726</v>
      </c>
      <c r="G361" s="396">
        <v>0.09</v>
      </c>
      <c r="H361" s="382"/>
      <c r="I361" s="384"/>
    </row>
    <row r="362" spans="2:9" s="580" customFormat="1" ht="14.1" customHeight="1">
      <c r="B362" s="602"/>
      <c r="C362" s="758"/>
      <c r="D362" s="365" t="s">
        <v>20</v>
      </c>
      <c r="E362" s="351" t="s">
        <v>21</v>
      </c>
      <c r="F362" s="351" t="s">
        <v>726</v>
      </c>
      <c r="G362" s="352">
        <v>8.9999999999999993E-3</v>
      </c>
      <c r="H362" s="382"/>
      <c r="I362" s="384"/>
    </row>
    <row r="363" spans="2:9" s="580" customFormat="1" ht="14.1" customHeight="1">
      <c r="B363" s="602"/>
      <c r="C363" s="759"/>
      <c r="D363" s="387" t="s">
        <v>11</v>
      </c>
      <c r="E363" s="354" t="s">
        <v>17</v>
      </c>
      <c r="F363" s="354" t="s">
        <v>726</v>
      </c>
      <c r="G363" s="355">
        <v>5.0000000000000001E-3</v>
      </c>
      <c r="H363" s="388"/>
      <c r="I363" s="389"/>
    </row>
    <row r="364" spans="2:9" s="580" customFormat="1" ht="14.1" customHeight="1">
      <c r="B364" s="602"/>
      <c r="C364" s="760"/>
      <c r="D364" s="440"/>
      <c r="E364" s="440"/>
      <c r="F364" s="440"/>
      <c r="G364" s="1027" t="s">
        <v>727</v>
      </c>
      <c r="H364" s="1028"/>
      <c r="I364" s="395"/>
    </row>
    <row r="365" spans="2:9" s="580" customFormat="1" ht="14.1" customHeight="1">
      <c r="B365" s="602"/>
      <c r="C365" s="457" t="s">
        <v>8</v>
      </c>
      <c r="D365" s="458" t="s">
        <v>811</v>
      </c>
      <c r="E365" s="393"/>
      <c r="F365" s="393"/>
      <c r="G365" s="393"/>
      <c r="H365" s="393"/>
      <c r="I365" s="436"/>
    </row>
    <row r="366" spans="2:9" s="580" customFormat="1" ht="14.1" customHeight="1">
      <c r="B366" s="602"/>
      <c r="C366" s="758"/>
      <c r="D366" s="365" t="s">
        <v>1170</v>
      </c>
      <c r="E366" s="382"/>
      <c r="F366" s="351" t="s">
        <v>1163</v>
      </c>
      <c r="G366" s="396">
        <v>2.65</v>
      </c>
      <c r="H366" s="382"/>
      <c r="I366" s="384"/>
    </row>
    <row r="367" spans="2:9" s="580" customFormat="1" ht="14.1" customHeight="1">
      <c r="B367" s="602"/>
      <c r="C367" s="758"/>
      <c r="D367" s="365" t="s">
        <v>806</v>
      </c>
      <c r="E367" s="382"/>
      <c r="F367" s="351" t="s">
        <v>56</v>
      </c>
      <c r="G367" s="396">
        <v>1.24</v>
      </c>
      <c r="H367" s="382"/>
      <c r="I367" s="384"/>
    </row>
    <row r="368" spans="2:9" s="580" customFormat="1" ht="14.1" customHeight="1">
      <c r="B368" s="602"/>
      <c r="C368" s="759"/>
      <c r="D368" s="387" t="s">
        <v>211</v>
      </c>
      <c r="E368" s="388"/>
      <c r="F368" s="459" t="s">
        <v>1201</v>
      </c>
      <c r="G368" s="355">
        <v>3.0000000000000001E-3</v>
      </c>
      <c r="H368" s="388"/>
      <c r="I368" s="389"/>
    </row>
    <row r="369" spans="2:9" s="580" customFormat="1" ht="14.1" customHeight="1">
      <c r="B369" s="602"/>
      <c r="C369" s="760"/>
      <c r="D369" s="440"/>
      <c r="E369" s="440"/>
      <c r="F369" s="440"/>
      <c r="G369" s="1027" t="s">
        <v>728</v>
      </c>
      <c r="H369" s="1028"/>
      <c r="I369" s="395"/>
    </row>
    <row r="370" spans="2:9" s="580" customFormat="1" ht="14.1" customHeight="1">
      <c r="B370" s="602"/>
      <c r="C370" s="457" t="s">
        <v>9</v>
      </c>
      <c r="D370" s="458" t="s">
        <v>815</v>
      </c>
      <c r="E370" s="393"/>
      <c r="F370" s="393"/>
      <c r="G370" s="393"/>
      <c r="H370" s="393"/>
      <c r="I370" s="436"/>
    </row>
    <row r="371" spans="2:9" s="580" customFormat="1" ht="14.1" customHeight="1">
      <c r="B371" s="602"/>
      <c r="C371" s="759"/>
      <c r="D371" s="388"/>
      <c r="E371" s="388"/>
      <c r="F371" s="388"/>
      <c r="G371" s="388"/>
      <c r="H371" s="388"/>
      <c r="I371" s="389"/>
    </row>
    <row r="372" spans="2:9" s="580" customFormat="1" ht="14.1" customHeight="1">
      <c r="B372" s="602"/>
      <c r="C372" s="760"/>
      <c r="D372" s="440"/>
      <c r="E372" s="440"/>
      <c r="F372" s="440"/>
      <c r="G372" s="1043" t="s">
        <v>729</v>
      </c>
      <c r="H372" s="1043"/>
      <c r="I372" s="395"/>
    </row>
    <row r="373" spans="2:9" s="580" customFormat="1" ht="14.1" customHeight="1">
      <c r="B373" s="602"/>
      <c r="C373" s="377" t="s">
        <v>12</v>
      </c>
      <c r="D373" s="1039" t="s">
        <v>730</v>
      </c>
      <c r="E373" s="1035"/>
      <c r="F373" s="1035"/>
      <c r="G373" s="1035"/>
      <c r="H373" s="1051"/>
      <c r="I373" s="403"/>
    </row>
    <row r="374" spans="2:9" s="580" customFormat="1" ht="14.1" customHeight="1">
      <c r="B374" s="602"/>
      <c r="C374" s="377" t="s">
        <v>13</v>
      </c>
      <c r="D374" s="1036" t="s">
        <v>816</v>
      </c>
      <c r="E374" s="1037"/>
      <c r="F374" s="1038"/>
      <c r="G374" s="1039" t="s">
        <v>740</v>
      </c>
      <c r="H374" s="1051"/>
      <c r="I374" s="403"/>
    </row>
    <row r="375" spans="2:9" s="580" customFormat="1" ht="14.1" customHeight="1" thickBot="1">
      <c r="B375" s="602"/>
      <c r="C375" s="456" t="s">
        <v>14</v>
      </c>
      <c r="D375" s="1029" t="s">
        <v>817</v>
      </c>
      <c r="E375" s="1030"/>
      <c r="F375" s="1030"/>
      <c r="G375" s="1030"/>
      <c r="H375" s="1031"/>
      <c r="I375" s="404"/>
    </row>
    <row r="376" spans="2:9" s="580" customFormat="1" ht="14.1" customHeight="1">
      <c r="B376" s="602"/>
      <c r="H376" s="316"/>
      <c r="I376" s="316"/>
    </row>
    <row r="377" spans="2:9" s="597" customFormat="1" ht="15.95" customHeight="1" thickBot="1">
      <c r="B377" s="598">
        <v>19</v>
      </c>
      <c r="C377" s="572" t="s">
        <v>1205</v>
      </c>
      <c r="H377" s="599"/>
      <c r="I377" s="599"/>
    </row>
    <row r="378" spans="2:9" s="580" customFormat="1" ht="35.1" customHeight="1" thickBot="1">
      <c r="B378" s="602"/>
      <c r="C378" s="334" t="s">
        <v>840</v>
      </c>
      <c r="D378" s="335" t="s">
        <v>841</v>
      </c>
      <c r="E378" s="335" t="s">
        <v>842</v>
      </c>
      <c r="F378" s="335" t="s">
        <v>843</v>
      </c>
      <c r="G378" s="335" t="s">
        <v>844</v>
      </c>
      <c r="H378" s="335" t="s">
        <v>845</v>
      </c>
      <c r="I378" s="337" t="s">
        <v>846</v>
      </c>
    </row>
    <row r="379" spans="2:9" s="580" customFormat="1" ht="14.1" customHeight="1">
      <c r="B379" s="602"/>
      <c r="C379" s="543" t="s">
        <v>7</v>
      </c>
      <c r="D379" s="289" t="s">
        <v>810</v>
      </c>
      <c r="E379" s="299"/>
      <c r="F379" s="299"/>
      <c r="G379" s="299"/>
      <c r="H379" s="299"/>
      <c r="I379" s="300"/>
    </row>
    <row r="380" spans="2:9" s="580" customFormat="1" ht="14.1" customHeight="1">
      <c r="B380" s="602"/>
      <c r="C380" s="753"/>
      <c r="D380" s="289" t="s">
        <v>10</v>
      </c>
      <c r="E380" s="285" t="s">
        <v>16</v>
      </c>
      <c r="F380" s="285" t="s">
        <v>726</v>
      </c>
      <c r="G380" s="749">
        <v>0.09</v>
      </c>
      <c r="H380" s="299"/>
      <c r="I380" s="300"/>
    </row>
    <row r="381" spans="2:9" s="580" customFormat="1" ht="14.1" customHeight="1">
      <c r="B381" s="602"/>
      <c r="C381" s="753"/>
      <c r="D381" s="289" t="s">
        <v>143</v>
      </c>
      <c r="E381" s="285" t="s">
        <v>22</v>
      </c>
      <c r="F381" s="285" t="s">
        <v>726</v>
      </c>
      <c r="G381" s="749">
        <v>0.09</v>
      </c>
      <c r="H381" s="299"/>
      <c r="I381" s="300"/>
    </row>
    <row r="382" spans="2:9" s="580" customFormat="1" ht="14.1" customHeight="1">
      <c r="B382" s="602"/>
      <c r="C382" s="753"/>
      <c r="D382" s="289" t="s">
        <v>20</v>
      </c>
      <c r="E382" s="285" t="s">
        <v>21</v>
      </c>
      <c r="F382" s="285" t="s">
        <v>726</v>
      </c>
      <c r="G382" s="286">
        <v>8.9999999999999993E-3</v>
      </c>
      <c r="H382" s="299"/>
      <c r="I382" s="300"/>
    </row>
    <row r="383" spans="2:9" s="580" customFormat="1" ht="14.1" customHeight="1">
      <c r="B383" s="602"/>
      <c r="C383" s="754"/>
      <c r="D383" s="177" t="s">
        <v>11</v>
      </c>
      <c r="E383" s="287" t="s">
        <v>17</v>
      </c>
      <c r="F383" s="287" t="s">
        <v>726</v>
      </c>
      <c r="G383" s="288">
        <v>5.0000000000000001E-3</v>
      </c>
      <c r="H383" s="302"/>
      <c r="I383" s="303"/>
    </row>
    <row r="384" spans="2:9" s="580" customFormat="1" ht="14.1" customHeight="1">
      <c r="B384" s="602"/>
      <c r="C384" s="755"/>
      <c r="D384" s="316"/>
      <c r="E384" s="316"/>
      <c r="F384" s="316"/>
      <c r="G384" s="1155" t="s">
        <v>727</v>
      </c>
      <c r="H384" s="1156"/>
      <c r="I384" s="631"/>
    </row>
    <row r="385" spans="2:9" s="580" customFormat="1" ht="14.1" customHeight="1">
      <c r="B385" s="602"/>
      <c r="C385" s="292" t="s">
        <v>8</v>
      </c>
      <c r="D385" s="293" t="s">
        <v>811</v>
      </c>
      <c r="E385" s="296"/>
      <c r="F385" s="296"/>
      <c r="G385" s="296"/>
      <c r="H385" s="296"/>
      <c r="I385" s="297"/>
    </row>
    <row r="386" spans="2:9" s="580" customFormat="1" ht="14.1" customHeight="1">
      <c r="B386" s="602"/>
      <c r="C386" s="753"/>
      <c r="D386" s="289" t="s">
        <v>1171</v>
      </c>
      <c r="E386" s="299"/>
      <c r="F386" s="285" t="s">
        <v>1163</v>
      </c>
      <c r="G386" s="749">
        <v>2.65</v>
      </c>
      <c r="H386" s="299"/>
      <c r="I386" s="300"/>
    </row>
    <row r="387" spans="2:9" s="580" customFormat="1" ht="14.1" customHeight="1">
      <c r="B387" s="602"/>
      <c r="C387" s="753"/>
      <c r="D387" s="289" t="s">
        <v>806</v>
      </c>
      <c r="E387" s="299"/>
      <c r="F387" s="285" t="s">
        <v>56</v>
      </c>
      <c r="G387" s="749">
        <v>1.1399999999999999</v>
      </c>
      <c r="H387" s="299"/>
      <c r="I387" s="300"/>
    </row>
    <row r="388" spans="2:9" s="580" customFormat="1" ht="14.1" customHeight="1">
      <c r="B388" s="602"/>
      <c r="C388" s="753"/>
      <c r="D388" s="289" t="s">
        <v>406</v>
      </c>
      <c r="E388" s="299"/>
      <c r="F388" s="285" t="s">
        <v>734</v>
      </c>
      <c r="G388" s="749">
        <v>0.15</v>
      </c>
      <c r="H388" s="299"/>
      <c r="I388" s="300"/>
    </row>
    <row r="389" spans="2:9" s="580" customFormat="1" ht="14.1" customHeight="1">
      <c r="B389" s="602"/>
      <c r="C389" s="754"/>
      <c r="D389" s="177" t="s">
        <v>211</v>
      </c>
      <c r="E389" s="302"/>
      <c r="F389" s="287" t="s">
        <v>1172</v>
      </c>
      <c r="G389" s="288">
        <v>3.0000000000000001E-3</v>
      </c>
      <c r="H389" s="302"/>
      <c r="I389" s="303"/>
    </row>
    <row r="390" spans="2:9" s="580" customFormat="1" ht="14.1" customHeight="1">
      <c r="B390" s="602"/>
      <c r="C390" s="755"/>
      <c r="D390" s="316"/>
      <c r="E390" s="316"/>
      <c r="F390" s="316"/>
      <c r="G390" s="1155" t="s">
        <v>728</v>
      </c>
      <c r="H390" s="1156"/>
      <c r="I390" s="631"/>
    </row>
    <row r="391" spans="2:9" s="580" customFormat="1" ht="14.1" customHeight="1">
      <c r="B391" s="602"/>
      <c r="C391" s="292" t="s">
        <v>9</v>
      </c>
      <c r="D391" s="293" t="s">
        <v>815</v>
      </c>
      <c r="E391" s="296"/>
      <c r="F391" s="296"/>
      <c r="G391" s="296"/>
      <c r="H391" s="296"/>
      <c r="I391" s="297"/>
    </row>
    <row r="392" spans="2:9" s="580" customFormat="1" ht="14.1" customHeight="1">
      <c r="B392" s="602"/>
      <c r="C392" s="754"/>
      <c r="D392" s="302"/>
      <c r="E392" s="302"/>
      <c r="F392" s="302"/>
      <c r="G392" s="302"/>
      <c r="H392" s="302"/>
      <c r="I392" s="303"/>
    </row>
    <row r="393" spans="2:9" s="580" customFormat="1" ht="14.1" customHeight="1">
      <c r="B393" s="602"/>
      <c r="C393" s="755"/>
      <c r="D393" s="316"/>
      <c r="E393" s="316"/>
      <c r="F393" s="316"/>
      <c r="G393" s="1163" t="s">
        <v>729</v>
      </c>
      <c r="H393" s="1164"/>
      <c r="I393" s="631"/>
    </row>
    <row r="394" spans="2:9" s="580" customFormat="1" ht="14.1" customHeight="1">
      <c r="B394" s="602"/>
      <c r="C394" s="290" t="s">
        <v>12</v>
      </c>
      <c r="D394" s="1113" t="s">
        <v>730</v>
      </c>
      <c r="E394" s="1114"/>
      <c r="F394" s="1114"/>
      <c r="G394" s="1160"/>
      <c r="H394" s="1126"/>
      <c r="I394" s="306"/>
    </row>
    <row r="395" spans="2:9" s="580" customFormat="1" ht="14.1" customHeight="1">
      <c r="B395" s="602"/>
      <c r="C395" s="290" t="s">
        <v>13</v>
      </c>
      <c r="D395" s="1116" t="s">
        <v>816</v>
      </c>
      <c r="E395" s="1117"/>
      <c r="F395" s="1118"/>
      <c r="G395" s="1113" t="s">
        <v>740</v>
      </c>
      <c r="H395" s="1115"/>
      <c r="I395" s="306"/>
    </row>
    <row r="396" spans="2:9" s="580" customFormat="1" ht="14.1" customHeight="1" thickBot="1">
      <c r="B396" s="602"/>
      <c r="C396" s="291" t="s">
        <v>14</v>
      </c>
      <c r="D396" s="1119" t="s">
        <v>817</v>
      </c>
      <c r="E396" s="1120"/>
      <c r="F396" s="1120"/>
      <c r="G396" s="1120"/>
      <c r="H396" s="1121"/>
      <c r="I396" s="307"/>
    </row>
    <row r="397" spans="2:9" s="580" customFormat="1" ht="14.1" customHeight="1">
      <c r="B397" s="602"/>
      <c r="C397" s="623"/>
      <c r="D397" s="576"/>
      <c r="E397" s="576"/>
      <c r="F397" s="576"/>
      <c r="G397" s="576"/>
      <c r="H397" s="915"/>
      <c r="I397" s="316"/>
    </row>
    <row r="398" spans="2:9" s="597" customFormat="1" ht="15.95" customHeight="1" thickBot="1">
      <c r="B398" s="598">
        <v>20</v>
      </c>
      <c r="C398" s="572" t="s">
        <v>1206</v>
      </c>
      <c r="H398" s="599"/>
      <c r="I398" s="599"/>
    </row>
    <row r="399" spans="2:9" s="580" customFormat="1" ht="35.1" customHeight="1" thickBot="1">
      <c r="B399" s="602"/>
      <c r="C399" s="334" t="s">
        <v>840</v>
      </c>
      <c r="D399" s="335" t="s">
        <v>841</v>
      </c>
      <c r="E399" s="335" t="s">
        <v>842</v>
      </c>
      <c r="F399" s="335" t="s">
        <v>843</v>
      </c>
      <c r="G399" s="335" t="s">
        <v>844</v>
      </c>
      <c r="H399" s="335" t="s">
        <v>845</v>
      </c>
      <c r="I399" s="337" t="s">
        <v>846</v>
      </c>
    </row>
    <row r="400" spans="2:9" s="580" customFormat="1" ht="14.1" customHeight="1">
      <c r="B400" s="602"/>
      <c r="C400" s="491" t="s">
        <v>7</v>
      </c>
      <c r="D400" s="365" t="s">
        <v>810</v>
      </c>
      <c r="E400" s="382"/>
      <c r="F400" s="382"/>
      <c r="G400" s="382"/>
      <c r="H400" s="382"/>
      <c r="I400" s="384"/>
    </row>
    <row r="401" spans="2:9" s="580" customFormat="1" ht="14.1" customHeight="1">
      <c r="B401" s="602"/>
      <c r="C401" s="758"/>
      <c r="D401" s="365" t="s">
        <v>10</v>
      </c>
      <c r="E401" s="351" t="s">
        <v>16</v>
      </c>
      <c r="F401" s="351" t="s">
        <v>726</v>
      </c>
      <c r="G401" s="396">
        <v>0.09</v>
      </c>
      <c r="H401" s="382"/>
      <c r="I401" s="384"/>
    </row>
    <row r="402" spans="2:9" s="580" customFormat="1" ht="14.1" customHeight="1">
      <c r="B402" s="602"/>
      <c r="C402" s="758"/>
      <c r="D402" s="365" t="s">
        <v>143</v>
      </c>
      <c r="E402" s="351" t="s">
        <v>22</v>
      </c>
      <c r="F402" s="351" t="s">
        <v>726</v>
      </c>
      <c r="G402" s="396">
        <v>0.09</v>
      </c>
      <c r="H402" s="382"/>
      <c r="I402" s="384"/>
    </row>
    <row r="403" spans="2:9" s="580" customFormat="1" ht="14.1" customHeight="1">
      <c r="B403" s="602"/>
      <c r="C403" s="758"/>
      <c r="D403" s="365" t="s">
        <v>20</v>
      </c>
      <c r="E403" s="351" t="s">
        <v>21</v>
      </c>
      <c r="F403" s="351" t="s">
        <v>726</v>
      </c>
      <c r="G403" s="352">
        <v>8.9999999999999993E-3</v>
      </c>
      <c r="H403" s="382"/>
      <c r="I403" s="384"/>
    </row>
    <row r="404" spans="2:9" s="580" customFormat="1" ht="14.1" customHeight="1">
      <c r="B404" s="602"/>
      <c r="C404" s="759"/>
      <c r="D404" s="387" t="s">
        <v>11</v>
      </c>
      <c r="E404" s="354" t="s">
        <v>17</v>
      </c>
      <c r="F404" s="354" t="s">
        <v>726</v>
      </c>
      <c r="G404" s="355">
        <v>5.0000000000000001E-3</v>
      </c>
      <c r="H404" s="388"/>
      <c r="I404" s="389"/>
    </row>
    <row r="405" spans="2:9" s="580" customFormat="1" ht="14.1" customHeight="1">
      <c r="B405" s="602"/>
      <c r="C405" s="760"/>
      <c r="D405" s="440"/>
      <c r="E405" s="440"/>
      <c r="F405" s="440"/>
      <c r="G405" s="1027" t="s">
        <v>727</v>
      </c>
      <c r="H405" s="1028"/>
      <c r="I405" s="395"/>
    </row>
    <row r="406" spans="2:9" s="580" customFormat="1" ht="14.1" customHeight="1">
      <c r="B406" s="602"/>
      <c r="C406" s="457" t="s">
        <v>8</v>
      </c>
      <c r="D406" s="458" t="s">
        <v>811</v>
      </c>
      <c r="E406" s="393"/>
      <c r="F406" s="393"/>
      <c r="G406" s="393"/>
      <c r="H406" s="393"/>
      <c r="I406" s="436"/>
    </row>
    <row r="407" spans="2:9" s="580" customFormat="1" ht="14.1" customHeight="1">
      <c r="B407" s="602"/>
      <c r="C407" s="758"/>
      <c r="D407" s="365" t="s">
        <v>1171</v>
      </c>
      <c r="E407" s="382"/>
      <c r="F407" s="351" t="s">
        <v>1163</v>
      </c>
      <c r="G407" s="396">
        <v>3.53</v>
      </c>
      <c r="H407" s="382"/>
      <c r="I407" s="384"/>
    </row>
    <row r="408" spans="2:9" s="580" customFormat="1" ht="14.1" customHeight="1">
      <c r="B408" s="602"/>
      <c r="C408" s="758"/>
      <c r="D408" s="365" t="s">
        <v>806</v>
      </c>
      <c r="E408" s="382"/>
      <c r="F408" s="351" t="s">
        <v>56</v>
      </c>
      <c r="G408" s="396">
        <v>1.1399999999999999</v>
      </c>
      <c r="H408" s="382"/>
      <c r="I408" s="384"/>
    </row>
    <row r="409" spans="2:9" s="580" customFormat="1" ht="14.1" customHeight="1">
      <c r="B409" s="602"/>
      <c r="C409" s="758"/>
      <c r="D409" s="365" t="s">
        <v>406</v>
      </c>
      <c r="E409" s="382"/>
      <c r="F409" s="351" t="s">
        <v>734</v>
      </c>
      <c r="G409" s="396">
        <v>0.1</v>
      </c>
      <c r="H409" s="382"/>
      <c r="I409" s="384"/>
    </row>
    <row r="410" spans="2:9" s="580" customFormat="1" ht="14.1" customHeight="1">
      <c r="B410" s="602"/>
      <c r="C410" s="759"/>
      <c r="D410" s="387" t="s">
        <v>211</v>
      </c>
      <c r="E410" s="388"/>
      <c r="F410" s="354" t="s">
        <v>1172</v>
      </c>
      <c r="G410" s="355">
        <v>3.0000000000000001E-3</v>
      </c>
      <c r="H410" s="388"/>
      <c r="I410" s="389"/>
    </row>
    <row r="411" spans="2:9" s="580" customFormat="1" ht="14.1" customHeight="1">
      <c r="B411" s="602"/>
      <c r="C411" s="760"/>
      <c r="D411" s="440"/>
      <c r="E411" s="440"/>
      <c r="F411" s="440"/>
      <c r="G411" s="1027" t="s">
        <v>728</v>
      </c>
      <c r="H411" s="1028"/>
      <c r="I411" s="395"/>
    </row>
    <row r="412" spans="2:9" s="580" customFormat="1" ht="14.1" customHeight="1">
      <c r="B412" s="602"/>
      <c r="C412" s="457" t="s">
        <v>9</v>
      </c>
      <c r="D412" s="458" t="s">
        <v>815</v>
      </c>
      <c r="E412" s="393"/>
      <c r="F412" s="393"/>
      <c r="G412" s="393"/>
      <c r="H412" s="393"/>
      <c r="I412" s="436"/>
    </row>
    <row r="413" spans="2:9" s="580" customFormat="1" ht="14.1" customHeight="1">
      <c r="B413" s="602"/>
      <c r="C413" s="759"/>
      <c r="D413" s="388"/>
      <c r="E413" s="388"/>
      <c r="F413" s="388"/>
      <c r="G413" s="388"/>
      <c r="H413" s="388"/>
      <c r="I413" s="389"/>
    </row>
    <row r="414" spans="2:9" s="580" customFormat="1" ht="14.1" customHeight="1">
      <c r="B414" s="602"/>
      <c r="C414" s="760"/>
      <c r="D414" s="440"/>
      <c r="E414" s="440"/>
      <c r="F414" s="440"/>
      <c r="G414" s="1043" t="s">
        <v>729</v>
      </c>
      <c r="H414" s="1043"/>
      <c r="I414" s="395"/>
    </row>
    <row r="415" spans="2:9" s="580" customFormat="1" ht="14.1" customHeight="1">
      <c r="B415" s="602"/>
      <c r="C415" s="377" t="s">
        <v>12</v>
      </c>
      <c r="D415" s="1039" t="s">
        <v>730</v>
      </c>
      <c r="E415" s="1035"/>
      <c r="F415" s="1035"/>
      <c r="G415" s="1035"/>
      <c r="H415" s="1051"/>
      <c r="I415" s="403"/>
    </row>
    <row r="416" spans="2:9" s="580" customFormat="1" ht="14.1" customHeight="1">
      <c r="B416" s="602"/>
      <c r="C416" s="377" t="s">
        <v>13</v>
      </c>
      <c r="D416" s="1036" t="s">
        <v>816</v>
      </c>
      <c r="E416" s="1037"/>
      <c r="F416" s="1038"/>
      <c r="G416" s="1039" t="s">
        <v>740</v>
      </c>
      <c r="H416" s="1051"/>
      <c r="I416" s="403"/>
    </row>
    <row r="417" spans="2:9" s="580" customFormat="1" ht="14.1" customHeight="1" thickBot="1">
      <c r="B417" s="602"/>
      <c r="C417" s="456" t="s">
        <v>14</v>
      </c>
      <c r="D417" s="1029" t="s">
        <v>817</v>
      </c>
      <c r="E417" s="1030"/>
      <c r="F417" s="1030"/>
      <c r="G417" s="1030"/>
      <c r="H417" s="1031"/>
      <c r="I417" s="404"/>
    </row>
    <row r="418" spans="2:9" s="580" customFormat="1" ht="14.1" customHeight="1">
      <c r="B418" s="602"/>
      <c r="H418" s="316"/>
      <c r="I418" s="316"/>
    </row>
    <row r="419" spans="2:9" s="597" customFormat="1" ht="15.95" customHeight="1" thickBot="1">
      <c r="B419" s="598">
        <v>21</v>
      </c>
      <c r="C419" s="572" t="s">
        <v>1207</v>
      </c>
      <c r="H419" s="599"/>
      <c r="I419" s="599"/>
    </row>
    <row r="420" spans="2:9" s="580" customFormat="1" ht="35.1" customHeight="1" thickBot="1">
      <c r="B420" s="602"/>
      <c r="C420" s="334" t="s">
        <v>840</v>
      </c>
      <c r="D420" s="335" t="s">
        <v>841</v>
      </c>
      <c r="E420" s="335" t="s">
        <v>842</v>
      </c>
      <c r="F420" s="335" t="s">
        <v>843</v>
      </c>
      <c r="G420" s="335" t="s">
        <v>844</v>
      </c>
      <c r="H420" s="335" t="s">
        <v>845</v>
      </c>
      <c r="I420" s="337" t="s">
        <v>846</v>
      </c>
    </row>
    <row r="421" spans="2:9" s="580" customFormat="1" ht="14.1" customHeight="1">
      <c r="B421" s="602"/>
      <c r="C421" s="491" t="s">
        <v>7</v>
      </c>
      <c r="D421" s="365" t="s">
        <v>810</v>
      </c>
      <c r="E421" s="382"/>
      <c r="F421" s="382"/>
      <c r="G421" s="382"/>
      <c r="H421" s="382"/>
      <c r="I421" s="384"/>
    </row>
    <row r="422" spans="2:9" s="580" customFormat="1" ht="14.1" customHeight="1">
      <c r="B422" s="602"/>
      <c r="C422" s="758"/>
      <c r="D422" s="365" t="s">
        <v>10</v>
      </c>
      <c r="E422" s="351" t="s">
        <v>16</v>
      </c>
      <c r="F422" s="351" t="s">
        <v>726</v>
      </c>
      <c r="G422" s="396">
        <v>0.09</v>
      </c>
      <c r="H422" s="382"/>
      <c r="I422" s="384"/>
    </row>
    <row r="423" spans="2:9" s="580" customFormat="1" ht="14.1" customHeight="1">
      <c r="B423" s="602"/>
      <c r="C423" s="758"/>
      <c r="D423" s="365" t="s">
        <v>143</v>
      </c>
      <c r="E423" s="351" t="s">
        <v>22</v>
      </c>
      <c r="F423" s="351" t="s">
        <v>726</v>
      </c>
      <c r="G423" s="396">
        <v>0.09</v>
      </c>
      <c r="H423" s="382"/>
      <c r="I423" s="384"/>
    </row>
    <row r="424" spans="2:9" s="580" customFormat="1" ht="14.1" customHeight="1">
      <c r="B424" s="602"/>
      <c r="C424" s="758"/>
      <c r="D424" s="365" t="s">
        <v>20</v>
      </c>
      <c r="E424" s="351" t="s">
        <v>21</v>
      </c>
      <c r="F424" s="351" t="s">
        <v>726</v>
      </c>
      <c r="G424" s="352">
        <v>8.9999999999999993E-3</v>
      </c>
      <c r="H424" s="382"/>
      <c r="I424" s="384"/>
    </row>
    <row r="425" spans="2:9" s="580" customFormat="1" ht="14.1" customHeight="1">
      <c r="B425" s="602"/>
      <c r="C425" s="759"/>
      <c r="D425" s="387" t="s">
        <v>11</v>
      </c>
      <c r="E425" s="354" t="s">
        <v>17</v>
      </c>
      <c r="F425" s="354" t="s">
        <v>726</v>
      </c>
      <c r="G425" s="355">
        <v>5.0000000000000001E-3</v>
      </c>
      <c r="H425" s="388"/>
      <c r="I425" s="389"/>
    </row>
    <row r="426" spans="2:9" s="580" customFormat="1" ht="14.1" customHeight="1">
      <c r="B426" s="602"/>
      <c r="C426" s="760"/>
      <c r="D426" s="440"/>
      <c r="E426" s="440"/>
      <c r="F426" s="440"/>
      <c r="G426" s="1027" t="s">
        <v>727</v>
      </c>
      <c r="H426" s="1028"/>
      <c r="I426" s="395"/>
    </row>
    <row r="427" spans="2:9" s="580" customFormat="1" ht="14.1" customHeight="1">
      <c r="B427" s="602"/>
      <c r="C427" s="457" t="s">
        <v>8</v>
      </c>
      <c r="D427" s="458" t="s">
        <v>811</v>
      </c>
      <c r="E427" s="393"/>
      <c r="F427" s="393"/>
      <c r="G427" s="393"/>
      <c r="H427" s="393"/>
      <c r="I427" s="436"/>
    </row>
    <row r="428" spans="2:9" s="580" customFormat="1" ht="14.1" customHeight="1">
      <c r="B428" s="602"/>
      <c r="C428" s="758"/>
      <c r="D428" s="365" t="s">
        <v>1171</v>
      </c>
      <c r="E428" s="382"/>
      <c r="F428" s="351" t="s">
        <v>1163</v>
      </c>
      <c r="G428" s="396">
        <v>2.65</v>
      </c>
      <c r="H428" s="382"/>
      <c r="I428" s="384"/>
    </row>
    <row r="429" spans="2:9" s="580" customFormat="1" ht="14.1" customHeight="1">
      <c r="B429" s="602"/>
      <c r="C429" s="758"/>
      <c r="D429" s="365" t="s">
        <v>806</v>
      </c>
      <c r="E429" s="382"/>
      <c r="F429" s="351" t="s">
        <v>56</v>
      </c>
      <c r="G429" s="396">
        <v>1.1399999999999999</v>
      </c>
      <c r="H429" s="382"/>
      <c r="I429" s="384"/>
    </row>
    <row r="430" spans="2:9" s="580" customFormat="1" ht="14.1" customHeight="1">
      <c r="B430" s="602"/>
      <c r="C430" s="758"/>
      <c r="D430" s="365" t="s">
        <v>406</v>
      </c>
      <c r="E430" s="382"/>
      <c r="F430" s="351" t="s">
        <v>734</v>
      </c>
      <c r="G430" s="396">
        <v>0.1</v>
      </c>
      <c r="H430" s="382"/>
      <c r="I430" s="384"/>
    </row>
    <row r="431" spans="2:9" s="580" customFormat="1" ht="14.1" customHeight="1">
      <c r="B431" s="602"/>
      <c r="C431" s="759"/>
      <c r="D431" s="387" t="s">
        <v>211</v>
      </c>
      <c r="E431" s="388"/>
      <c r="F431" s="354" t="s">
        <v>1172</v>
      </c>
      <c r="G431" s="355">
        <v>3.0000000000000001E-3</v>
      </c>
      <c r="H431" s="388"/>
      <c r="I431" s="389"/>
    </row>
    <row r="432" spans="2:9" s="580" customFormat="1" ht="14.1" customHeight="1">
      <c r="B432" s="602"/>
      <c r="C432" s="760"/>
      <c r="D432" s="440"/>
      <c r="E432" s="440"/>
      <c r="F432" s="440"/>
      <c r="G432" s="1027" t="s">
        <v>728</v>
      </c>
      <c r="H432" s="1028"/>
      <c r="I432" s="395"/>
    </row>
    <row r="433" spans="2:9" s="580" customFormat="1" ht="14.1" customHeight="1">
      <c r="B433" s="602"/>
      <c r="C433" s="457" t="s">
        <v>9</v>
      </c>
      <c r="D433" s="458" t="s">
        <v>815</v>
      </c>
      <c r="E433" s="393"/>
      <c r="F433" s="393"/>
      <c r="G433" s="393"/>
      <c r="H433" s="462"/>
      <c r="I433" s="436"/>
    </row>
    <row r="434" spans="2:9" s="580" customFormat="1" ht="14.1" customHeight="1">
      <c r="B434" s="602"/>
      <c r="C434" s="759"/>
      <c r="D434" s="388"/>
      <c r="E434" s="388"/>
      <c r="F434" s="388"/>
      <c r="G434" s="388"/>
      <c r="H434" s="498"/>
      <c r="I434" s="389"/>
    </row>
    <row r="435" spans="2:9" s="580" customFormat="1" ht="14.1" customHeight="1">
      <c r="B435" s="602"/>
      <c r="C435" s="760"/>
      <c r="D435" s="440"/>
      <c r="E435" s="440"/>
      <c r="F435" s="440"/>
      <c r="G435" s="1255" t="s">
        <v>729</v>
      </c>
      <c r="H435" s="1256"/>
      <c r="I435" s="384"/>
    </row>
    <row r="436" spans="2:9" s="580" customFormat="1" ht="14.1" customHeight="1">
      <c r="B436" s="602"/>
      <c r="C436" s="542" t="s">
        <v>12</v>
      </c>
      <c r="D436" s="1257" t="s">
        <v>730</v>
      </c>
      <c r="E436" s="1257"/>
      <c r="F436" s="1257"/>
      <c r="G436" s="1257"/>
      <c r="H436" s="1257"/>
      <c r="I436" s="435"/>
    </row>
    <row r="437" spans="2:9" s="580" customFormat="1" ht="14.1" customHeight="1">
      <c r="B437" s="602"/>
      <c r="C437" s="542" t="s">
        <v>13</v>
      </c>
      <c r="D437" s="1258" t="s">
        <v>816</v>
      </c>
      <c r="E437" s="1258"/>
      <c r="F437" s="1258"/>
      <c r="G437" s="1257" t="s">
        <v>740</v>
      </c>
      <c r="H437" s="1257"/>
      <c r="I437" s="435"/>
    </row>
    <row r="438" spans="2:9" s="580" customFormat="1" ht="14.1" customHeight="1" thickBot="1">
      <c r="B438" s="602"/>
      <c r="C438" s="604" t="s">
        <v>14</v>
      </c>
      <c r="D438" s="1162" t="s">
        <v>817</v>
      </c>
      <c r="E438" s="1162"/>
      <c r="F438" s="1162"/>
      <c r="G438" s="1162"/>
      <c r="H438" s="1162"/>
      <c r="I438" s="605"/>
    </row>
    <row r="439" spans="2:9" s="597" customFormat="1" ht="15.95" customHeight="1" thickBot="1">
      <c r="B439" s="598">
        <v>22</v>
      </c>
      <c r="C439" s="572" t="s">
        <v>1208</v>
      </c>
      <c r="H439" s="599"/>
      <c r="I439" s="599"/>
    </row>
    <row r="440" spans="2:9" s="580" customFormat="1" ht="35.1" customHeight="1" thickBot="1">
      <c r="B440" s="602"/>
      <c r="C440" s="334" t="s">
        <v>840</v>
      </c>
      <c r="D440" s="335" t="s">
        <v>841</v>
      </c>
      <c r="E440" s="335" t="s">
        <v>842</v>
      </c>
      <c r="F440" s="335" t="s">
        <v>843</v>
      </c>
      <c r="G440" s="335" t="s">
        <v>844</v>
      </c>
      <c r="H440" s="335" t="s">
        <v>845</v>
      </c>
      <c r="I440" s="337" t="s">
        <v>846</v>
      </c>
    </row>
    <row r="441" spans="2:9" s="580" customFormat="1" ht="14.1" customHeight="1">
      <c r="B441" s="602"/>
      <c r="C441" s="543" t="s">
        <v>7</v>
      </c>
      <c r="D441" s="289" t="s">
        <v>810</v>
      </c>
      <c r="E441" s="299"/>
      <c r="F441" s="299"/>
      <c r="G441" s="299"/>
      <c r="H441" s="299"/>
      <c r="I441" s="300"/>
    </row>
    <row r="442" spans="2:9" s="580" customFormat="1" ht="14.1" customHeight="1">
      <c r="B442" s="602"/>
      <c r="C442" s="753"/>
      <c r="D442" s="289" t="s">
        <v>10</v>
      </c>
      <c r="E442" s="285" t="s">
        <v>16</v>
      </c>
      <c r="F442" s="285" t="s">
        <v>726</v>
      </c>
      <c r="G442" s="749">
        <v>0.09</v>
      </c>
      <c r="H442" s="299"/>
      <c r="I442" s="300"/>
    </row>
    <row r="443" spans="2:9" s="580" customFormat="1" ht="14.1" customHeight="1">
      <c r="B443" s="602"/>
      <c r="C443" s="753"/>
      <c r="D443" s="289" t="s">
        <v>143</v>
      </c>
      <c r="E443" s="285" t="s">
        <v>22</v>
      </c>
      <c r="F443" s="285" t="s">
        <v>726</v>
      </c>
      <c r="G443" s="749">
        <v>0.09</v>
      </c>
      <c r="H443" s="299"/>
      <c r="I443" s="300"/>
    </row>
    <row r="444" spans="2:9" s="580" customFormat="1" ht="14.1" customHeight="1">
      <c r="B444" s="602"/>
      <c r="C444" s="753"/>
      <c r="D444" s="289" t="s">
        <v>20</v>
      </c>
      <c r="E444" s="285" t="s">
        <v>21</v>
      </c>
      <c r="F444" s="285" t="s">
        <v>726</v>
      </c>
      <c r="G444" s="286">
        <v>8.9999999999999993E-3</v>
      </c>
      <c r="H444" s="299"/>
      <c r="I444" s="300"/>
    </row>
    <row r="445" spans="2:9" s="580" customFormat="1" ht="14.1" customHeight="1">
      <c r="B445" s="602"/>
      <c r="C445" s="754"/>
      <c r="D445" s="177" t="s">
        <v>11</v>
      </c>
      <c r="E445" s="287" t="s">
        <v>17</v>
      </c>
      <c r="F445" s="287" t="s">
        <v>726</v>
      </c>
      <c r="G445" s="288">
        <v>5.0000000000000001E-3</v>
      </c>
      <c r="H445" s="302"/>
      <c r="I445" s="303"/>
    </row>
    <row r="446" spans="2:9" s="580" customFormat="1" ht="14.1" customHeight="1">
      <c r="B446" s="602"/>
      <c r="C446" s="755"/>
      <c r="D446" s="316"/>
      <c r="E446" s="316"/>
      <c r="F446" s="316"/>
      <c r="G446" s="1155" t="s">
        <v>727</v>
      </c>
      <c r="H446" s="1156"/>
      <c r="I446" s="631"/>
    </row>
    <row r="447" spans="2:9" s="580" customFormat="1" ht="14.1" customHeight="1">
      <c r="B447" s="602"/>
      <c r="C447" s="292" t="s">
        <v>8</v>
      </c>
      <c r="D447" s="293" t="s">
        <v>811</v>
      </c>
      <c r="E447" s="296"/>
      <c r="F447" s="296"/>
      <c r="G447" s="296"/>
      <c r="H447" s="296"/>
      <c r="I447" s="297"/>
    </row>
    <row r="448" spans="2:9" s="580" customFormat="1" ht="14.1" customHeight="1">
      <c r="B448" s="602"/>
      <c r="C448" s="753"/>
      <c r="D448" s="289" t="s">
        <v>1173</v>
      </c>
      <c r="E448" s="299"/>
      <c r="F448" s="285" t="s">
        <v>1163</v>
      </c>
      <c r="G448" s="749">
        <v>3.53</v>
      </c>
      <c r="H448" s="299"/>
      <c r="I448" s="300"/>
    </row>
    <row r="449" spans="2:9" s="580" customFormat="1" ht="14.1" customHeight="1">
      <c r="B449" s="602"/>
      <c r="C449" s="753"/>
      <c r="D449" s="289" t="s">
        <v>1174</v>
      </c>
      <c r="E449" s="299"/>
      <c r="F449" s="285" t="s">
        <v>56</v>
      </c>
      <c r="G449" s="749">
        <v>1.1399999999999999</v>
      </c>
      <c r="H449" s="299"/>
      <c r="I449" s="300"/>
    </row>
    <row r="450" spans="2:9" s="580" customFormat="1" ht="14.1" customHeight="1">
      <c r="B450" s="602"/>
      <c r="C450" s="753"/>
      <c r="D450" s="289" t="s">
        <v>406</v>
      </c>
      <c r="E450" s="299"/>
      <c r="F450" s="285" t="s">
        <v>734</v>
      </c>
      <c r="G450" s="749">
        <v>0.1</v>
      </c>
      <c r="H450" s="299"/>
      <c r="I450" s="300"/>
    </row>
    <row r="451" spans="2:9" s="580" customFormat="1" ht="14.1" customHeight="1">
      <c r="B451" s="602"/>
      <c r="C451" s="754"/>
      <c r="D451" s="177" t="s">
        <v>211</v>
      </c>
      <c r="E451" s="302"/>
      <c r="F451" s="287" t="s">
        <v>1172</v>
      </c>
      <c r="G451" s="288">
        <v>3.0000000000000001E-3</v>
      </c>
      <c r="H451" s="302"/>
      <c r="I451" s="303"/>
    </row>
    <row r="452" spans="2:9" s="580" customFormat="1" ht="14.1" customHeight="1">
      <c r="B452" s="602"/>
      <c r="C452" s="755"/>
      <c r="D452" s="316"/>
      <c r="E452" s="316"/>
      <c r="F452" s="316"/>
      <c r="G452" s="1155" t="s">
        <v>728</v>
      </c>
      <c r="H452" s="1156"/>
      <c r="I452" s="631"/>
    </row>
    <row r="453" spans="2:9" s="580" customFormat="1" ht="14.1" customHeight="1">
      <c r="B453" s="602"/>
      <c r="C453" s="292" t="s">
        <v>9</v>
      </c>
      <c r="D453" s="293" t="s">
        <v>815</v>
      </c>
      <c r="E453" s="296"/>
      <c r="F453" s="296"/>
      <c r="G453" s="296"/>
      <c r="H453" s="296"/>
      <c r="I453" s="297"/>
    </row>
    <row r="454" spans="2:9" s="580" customFormat="1" ht="14.1" customHeight="1">
      <c r="B454" s="602"/>
      <c r="C454" s="754"/>
      <c r="D454" s="302"/>
      <c r="E454" s="302"/>
      <c r="F454" s="302"/>
      <c r="G454" s="302"/>
      <c r="H454" s="302"/>
      <c r="I454" s="303"/>
    </row>
    <row r="455" spans="2:9" s="580" customFormat="1" ht="14.1" customHeight="1">
      <c r="B455" s="602"/>
      <c r="C455" s="755"/>
      <c r="D455" s="316"/>
      <c r="E455" s="316"/>
      <c r="F455" s="316"/>
      <c r="G455" s="1163" t="s">
        <v>729</v>
      </c>
      <c r="H455" s="1164"/>
      <c r="I455" s="631"/>
    </row>
    <row r="456" spans="2:9" s="580" customFormat="1" ht="14.1" customHeight="1">
      <c r="B456" s="602"/>
      <c r="C456" s="290" t="s">
        <v>12</v>
      </c>
      <c r="D456" s="1113" t="s">
        <v>730</v>
      </c>
      <c r="E456" s="1114"/>
      <c r="F456" s="1114"/>
      <c r="G456" s="1160"/>
      <c r="H456" s="1126"/>
      <c r="I456" s="306"/>
    </row>
    <row r="457" spans="2:9" s="580" customFormat="1" ht="14.1" customHeight="1">
      <c r="B457" s="602"/>
      <c r="C457" s="290" t="s">
        <v>13</v>
      </c>
      <c r="D457" s="1116" t="s">
        <v>816</v>
      </c>
      <c r="E457" s="1117"/>
      <c r="F457" s="1118"/>
      <c r="G457" s="1113" t="s">
        <v>740</v>
      </c>
      <c r="H457" s="1115"/>
      <c r="I457" s="306"/>
    </row>
    <row r="458" spans="2:9" s="580" customFormat="1" ht="14.1" customHeight="1" thickBot="1">
      <c r="B458" s="602"/>
      <c r="C458" s="291" t="s">
        <v>14</v>
      </c>
      <c r="D458" s="1119" t="s">
        <v>817</v>
      </c>
      <c r="E458" s="1120"/>
      <c r="F458" s="1120"/>
      <c r="G458" s="1120"/>
      <c r="H458" s="1121"/>
      <c r="I458" s="307"/>
    </row>
    <row r="459" spans="2:9" s="580" customFormat="1" ht="14.1" customHeight="1">
      <c r="B459" s="602"/>
      <c r="H459" s="316"/>
      <c r="I459" s="316"/>
    </row>
    <row r="460" spans="2:9" s="597" customFormat="1" ht="15.95" customHeight="1" thickBot="1">
      <c r="B460" s="598">
        <v>23</v>
      </c>
      <c r="C460" s="572" t="s">
        <v>1209</v>
      </c>
      <c r="H460" s="599"/>
      <c r="I460" s="599"/>
    </row>
    <row r="461" spans="2:9" s="580" customFormat="1" ht="35.1" customHeight="1" thickBot="1">
      <c r="B461" s="602"/>
      <c r="C461" s="334" t="s">
        <v>840</v>
      </c>
      <c r="D461" s="335" t="s">
        <v>841</v>
      </c>
      <c r="E461" s="335" t="s">
        <v>842</v>
      </c>
      <c r="F461" s="335" t="s">
        <v>843</v>
      </c>
      <c r="G461" s="335" t="s">
        <v>844</v>
      </c>
      <c r="H461" s="335" t="s">
        <v>845</v>
      </c>
      <c r="I461" s="337" t="s">
        <v>846</v>
      </c>
    </row>
    <row r="462" spans="2:9" s="580" customFormat="1" ht="14.1" customHeight="1">
      <c r="B462" s="602"/>
      <c r="C462" s="543" t="s">
        <v>7</v>
      </c>
      <c r="D462" s="289" t="s">
        <v>810</v>
      </c>
      <c r="E462" s="299"/>
      <c r="F462" s="299"/>
      <c r="G462" s="299"/>
      <c r="H462" s="299"/>
      <c r="I462" s="300"/>
    </row>
    <row r="463" spans="2:9" s="580" customFormat="1" ht="14.1" customHeight="1">
      <c r="B463" s="602"/>
      <c r="C463" s="753"/>
      <c r="D463" s="289" t="s">
        <v>10</v>
      </c>
      <c r="E463" s="285" t="s">
        <v>16</v>
      </c>
      <c r="F463" s="285" t="s">
        <v>726</v>
      </c>
      <c r="G463" s="749">
        <v>0.09</v>
      </c>
      <c r="H463" s="299"/>
      <c r="I463" s="300"/>
    </row>
    <row r="464" spans="2:9" s="580" customFormat="1" ht="14.1" customHeight="1">
      <c r="B464" s="602"/>
      <c r="C464" s="753"/>
      <c r="D464" s="289" t="s">
        <v>143</v>
      </c>
      <c r="E464" s="285" t="s">
        <v>22</v>
      </c>
      <c r="F464" s="285" t="s">
        <v>726</v>
      </c>
      <c r="G464" s="749">
        <v>0.09</v>
      </c>
      <c r="H464" s="299"/>
      <c r="I464" s="300"/>
    </row>
    <row r="465" spans="2:9" s="580" customFormat="1" ht="14.1" customHeight="1">
      <c r="B465" s="602"/>
      <c r="C465" s="753"/>
      <c r="D465" s="289" t="s">
        <v>20</v>
      </c>
      <c r="E465" s="285" t="s">
        <v>21</v>
      </c>
      <c r="F465" s="285" t="s">
        <v>726</v>
      </c>
      <c r="G465" s="286">
        <v>8.9999999999999993E-3</v>
      </c>
      <c r="H465" s="299"/>
      <c r="I465" s="300"/>
    </row>
    <row r="466" spans="2:9" s="580" customFormat="1" ht="14.1" customHeight="1">
      <c r="B466" s="602"/>
      <c r="C466" s="754"/>
      <c r="D466" s="177" t="s">
        <v>11</v>
      </c>
      <c r="E466" s="287" t="s">
        <v>17</v>
      </c>
      <c r="F466" s="287" t="s">
        <v>726</v>
      </c>
      <c r="G466" s="288">
        <v>5.0000000000000001E-3</v>
      </c>
      <c r="H466" s="302"/>
      <c r="I466" s="303"/>
    </row>
    <row r="467" spans="2:9" s="580" customFormat="1" ht="14.1" customHeight="1">
      <c r="B467" s="602"/>
      <c r="C467" s="755"/>
      <c r="D467" s="316"/>
      <c r="E467" s="316"/>
      <c r="F467" s="316"/>
      <c r="G467" s="1155" t="s">
        <v>727</v>
      </c>
      <c r="H467" s="1156"/>
      <c r="I467" s="631"/>
    </row>
    <row r="468" spans="2:9" s="580" customFormat="1" ht="14.1" customHeight="1">
      <c r="B468" s="602"/>
      <c r="C468" s="292" t="s">
        <v>8</v>
      </c>
      <c r="D468" s="293" t="s">
        <v>811</v>
      </c>
      <c r="E468" s="296"/>
      <c r="F468" s="296"/>
      <c r="G468" s="296"/>
      <c r="H468" s="296"/>
      <c r="I468" s="297"/>
    </row>
    <row r="469" spans="2:9" s="580" customFormat="1" ht="14.1" customHeight="1">
      <c r="B469" s="602"/>
      <c r="C469" s="753"/>
      <c r="D469" s="289" t="s">
        <v>1173</v>
      </c>
      <c r="E469" s="299"/>
      <c r="F469" s="285" t="s">
        <v>1163</v>
      </c>
      <c r="G469" s="749">
        <v>2.65</v>
      </c>
      <c r="H469" s="299"/>
      <c r="I469" s="300"/>
    </row>
    <row r="470" spans="2:9" s="580" customFormat="1" ht="14.1" customHeight="1">
      <c r="B470" s="602"/>
      <c r="C470" s="753"/>
      <c r="D470" s="289" t="s">
        <v>806</v>
      </c>
      <c r="E470" s="299"/>
      <c r="F470" s="285" t="s">
        <v>56</v>
      </c>
      <c r="G470" s="749">
        <v>1.1399999999999999</v>
      </c>
      <c r="H470" s="299"/>
      <c r="I470" s="300"/>
    </row>
    <row r="471" spans="2:9" s="580" customFormat="1" ht="14.1" customHeight="1">
      <c r="B471" s="602"/>
      <c r="C471" s="753"/>
      <c r="D471" s="289" t="s">
        <v>406</v>
      </c>
      <c r="E471" s="299"/>
      <c r="F471" s="285" t="s">
        <v>734</v>
      </c>
      <c r="G471" s="749">
        <v>0.1</v>
      </c>
      <c r="H471" s="299"/>
      <c r="I471" s="300"/>
    </row>
    <row r="472" spans="2:9" s="580" customFormat="1" ht="14.1" customHeight="1">
      <c r="B472" s="602"/>
      <c r="C472" s="754"/>
      <c r="D472" s="177" t="s">
        <v>211</v>
      </c>
      <c r="E472" s="302"/>
      <c r="F472" s="287" t="s">
        <v>1172</v>
      </c>
      <c r="G472" s="288">
        <v>3.0000000000000001E-3</v>
      </c>
      <c r="H472" s="302"/>
      <c r="I472" s="303"/>
    </row>
    <row r="473" spans="2:9" s="580" customFormat="1" ht="14.1" customHeight="1">
      <c r="B473" s="602"/>
      <c r="C473" s="755"/>
      <c r="D473" s="316"/>
      <c r="E473" s="316"/>
      <c r="F473" s="316"/>
      <c r="G473" s="1155" t="s">
        <v>728</v>
      </c>
      <c r="H473" s="1156"/>
      <c r="I473" s="631"/>
    </row>
    <row r="474" spans="2:9" s="580" customFormat="1" ht="14.1" customHeight="1">
      <c r="B474" s="602"/>
      <c r="C474" s="292" t="s">
        <v>9</v>
      </c>
      <c r="D474" s="293" t="s">
        <v>815</v>
      </c>
      <c r="E474" s="296"/>
      <c r="F474" s="296"/>
      <c r="G474" s="296"/>
      <c r="H474" s="296"/>
      <c r="I474" s="297"/>
    </row>
    <row r="475" spans="2:9" s="580" customFormat="1" ht="14.1" customHeight="1">
      <c r="B475" s="602"/>
      <c r="C475" s="754"/>
      <c r="D475" s="302"/>
      <c r="E475" s="302"/>
      <c r="F475" s="302"/>
      <c r="G475" s="302"/>
      <c r="H475" s="302"/>
      <c r="I475" s="303"/>
    </row>
    <row r="476" spans="2:9" s="580" customFormat="1" ht="14.1" customHeight="1">
      <c r="B476" s="602"/>
      <c r="C476" s="755"/>
      <c r="D476" s="316"/>
      <c r="E476" s="316"/>
      <c r="F476" s="316"/>
      <c r="G476" s="1163" t="s">
        <v>729</v>
      </c>
      <c r="H476" s="1164"/>
      <c r="I476" s="631"/>
    </row>
    <row r="477" spans="2:9" s="580" customFormat="1" ht="14.1" customHeight="1">
      <c r="B477" s="602"/>
      <c r="C477" s="290" t="s">
        <v>12</v>
      </c>
      <c r="D477" s="1113" t="s">
        <v>730</v>
      </c>
      <c r="E477" s="1114"/>
      <c r="F477" s="1114"/>
      <c r="G477" s="1160"/>
      <c r="H477" s="1126"/>
      <c r="I477" s="306"/>
    </row>
    <row r="478" spans="2:9" s="580" customFormat="1" ht="14.1" customHeight="1">
      <c r="B478" s="602"/>
      <c r="C478" s="290" t="s">
        <v>13</v>
      </c>
      <c r="D478" s="1116" t="s">
        <v>816</v>
      </c>
      <c r="E478" s="1117"/>
      <c r="F478" s="1118"/>
      <c r="G478" s="1113" t="s">
        <v>740</v>
      </c>
      <c r="H478" s="1115"/>
      <c r="I478" s="306"/>
    </row>
    <row r="479" spans="2:9" s="580" customFormat="1" ht="14.1" customHeight="1" thickBot="1">
      <c r="B479" s="602"/>
      <c r="C479" s="291" t="s">
        <v>14</v>
      </c>
      <c r="D479" s="1119" t="s">
        <v>817</v>
      </c>
      <c r="E479" s="1120"/>
      <c r="F479" s="1120"/>
      <c r="G479" s="1120"/>
      <c r="H479" s="1121"/>
      <c r="I479" s="307"/>
    </row>
    <row r="480" spans="2:9" s="580" customFormat="1" ht="14.1" customHeight="1">
      <c r="B480" s="602"/>
      <c r="C480" s="623"/>
      <c r="D480" s="576"/>
      <c r="E480" s="576"/>
      <c r="F480" s="576"/>
      <c r="G480" s="576"/>
      <c r="H480" s="915"/>
      <c r="I480" s="316"/>
    </row>
    <row r="481" spans="2:9" s="597" customFormat="1" ht="15.95" customHeight="1" thickBot="1">
      <c r="B481" s="598">
        <v>24</v>
      </c>
      <c r="C481" s="572" t="s">
        <v>1210</v>
      </c>
      <c r="H481" s="599"/>
      <c r="I481" s="599"/>
    </row>
    <row r="482" spans="2:9" s="580" customFormat="1" ht="35.1" customHeight="1" thickBot="1">
      <c r="B482" s="602"/>
      <c r="C482" s="334" t="s">
        <v>840</v>
      </c>
      <c r="D482" s="335" t="s">
        <v>841</v>
      </c>
      <c r="E482" s="335" t="s">
        <v>842</v>
      </c>
      <c r="F482" s="335" t="s">
        <v>843</v>
      </c>
      <c r="G482" s="335" t="s">
        <v>844</v>
      </c>
      <c r="H482" s="335" t="s">
        <v>845</v>
      </c>
      <c r="I482" s="337" t="s">
        <v>846</v>
      </c>
    </row>
    <row r="483" spans="2:9" s="580" customFormat="1" ht="14.1" customHeight="1">
      <c r="B483" s="602"/>
      <c r="C483" s="543" t="s">
        <v>7</v>
      </c>
      <c r="D483" s="289" t="s">
        <v>810</v>
      </c>
      <c r="E483" s="299"/>
      <c r="F483" s="299"/>
      <c r="G483" s="299"/>
      <c r="H483" s="299"/>
      <c r="I483" s="300"/>
    </row>
    <row r="484" spans="2:9" s="580" customFormat="1" ht="14.1" customHeight="1">
      <c r="B484" s="602"/>
      <c r="C484" s="753"/>
      <c r="D484" s="289" t="s">
        <v>10</v>
      </c>
      <c r="E484" s="285" t="s">
        <v>16</v>
      </c>
      <c r="F484" s="285" t="s">
        <v>726</v>
      </c>
      <c r="G484" s="749">
        <v>0.09</v>
      </c>
      <c r="H484" s="299"/>
      <c r="I484" s="300"/>
    </row>
    <row r="485" spans="2:9" s="580" customFormat="1" ht="14.1" customHeight="1">
      <c r="B485" s="602"/>
      <c r="C485" s="753"/>
      <c r="D485" s="289" t="s">
        <v>143</v>
      </c>
      <c r="E485" s="285" t="s">
        <v>22</v>
      </c>
      <c r="F485" s="285" t="s">
        <v>726</v>
      </c>
      <c r="G485" s="749">
        <v>0.09</v>
      </c>
      <c r="H485" s="299"/>
      <c r="I485" s="300"/>
    </row>
    <row r="486" spans="2:9" s="580" customFormat="1" ht="14.1" customHeight="1">
      <c r="B486" s="602"/>
      <c r="C486" s="753"/>
      <c r="D486" s="289" t="s">
        <v>20</v>
      </c>
      <c r="E486" s="285" t="s">
        <v>21</v>
      </c>
      <c r="F486" s="285" t="s">
        <v>726</v>
      </c>
      <c r="G486" s="286">
        <v>8.9999999999999993E-3</v>
      </c>
      <c r="H486" s="299"/>
      <c r="I486" s="300"/>
    </row>
    <row r="487" spans="2:9" s="580" customFormat="1" ht="14.1" customHeight="1">
      <c r="B487" s="602"/>
      <c r="C487" s="754"/>
      <c r="D487" s="177" t="s">
        <v>11</v>
      </c>
      <c r="E487" s="287" t="s">
        <v>17</v>
      </c>
      <c r="F487" s="287" t="s">
        <v>726</v>
      </c>
      <c r="G487" s="288">
        <v>5.0000000000000001E-3</v>
      </c>
      <c r="H487" s="302"/>
      <c r="I487" s="303"/>
    </row>
    <row r="488" spans="2:9" s="580" customFormat="1" ht="14.1" customHeight="1">
      <c r="B488" s="602"/>
      <c r="C488" s="755"/>
      <c r="D488" s="316"/>
      <c r="E488" s="316"/>
      <c r="F488" s="316"/>
      <c r="G488" s="1155" t="s">
        <v>727</v>
      </c>
      <c r="H488" s="1156"/>
      <c r="I488" s="631"/>
    </row>
    <row r="489" spans="2:9" s="580" customFormat="1" ht="14.1" customHeight="1">
      <c r="B489" s="602"/>
      <c r="C489" s="292" t="s">
        <v>8</v>
      </c>
      <c r="D489" s="293" t="s">
        <v>811</v>
      </c>
      <c r="E489" s="296"/>
      <c r="F489" s="296"/>
      <c r="G489" s="296"/>
      <c r="H489" s="296"/>
      <c r="I489" s="297"/>
    </row>
    <row r="490" spans="2:9" s="580" customFormat="1" ht="14.1" customHeight="1">
      <c r="B490" s="602"/>
      <c r="C490" s="753"/>
      <c r="D490" s="289" t="s">
        <v>1175</v>
      </c>
      <c r="E490" s="299"/>
      <c r="F490" s="285" t="s">
        <v>1163</v>
      </c>
      <c r="G490" s="749">
        <v>2.65</v>
      </c>
      <c r="H490" s="299"/>
      <c r="I490" s="300"/>
    </row>
    <row r="491" spans="2:9" s="580" customFormat="1" ht="14.1" customHeight="1">
      <c r="B491" s="602"/>
      <c r="C491" s="753"/>
      <c r="D491" s="289" t="s">
        <v>806</v>
      </c>
      <c r="E491" s="299"/>
      <c r="F491" s="285" t="s">
        <v>56</v>
      </c>
      <c r="G491" s="749">
        <v>1.1399999999999999</v>
      </c>
      <c r="H491" s="299"/>
      <c r="I491" s="300"/>
    </row>
    <row r="492" spans="2:9" s="580" customFormat="1" ht="14.1" customHeight="1">
      <c r="B492" s="602"/>
      <c r="C492" s="753"/>
      <c r="D492" s="289" t="s">
        <v>406</v>
      </c>
      <c r="E492" s="299"/>
      <c r="F492" s="285" t="s">
        <v>734</v>
      </c>
      <c r="G492" s="749">
        <v>0.1</v>
      </c>
      <c r="H492" s="299"/>
      <c r="I492" s="300"/>
    </row>
    <row r="493" spans="2:9" s="580" customFormat="1" ht="14.1" customHeight="1">
      <c r="B493" s="602"/>
      <c r="C493" s="754"/>
      <c r="D493" s="177" t="s">
        <v>211</v>
      </c>
      <c r="E493" s="302"/>
      <c r="F493" s="287" t="s">
        <v>1172</v>
      </c>
      <c r="G493" s="288">
        <v>3.0000000000000001E-3</v>
      </c>
      <c r="H493" s="302"/>
      <c r="I493" s="303"/>
    </row>
    <row r="494" spans="2:9" s="580" customFormat="1" ht="14.1" customHeight="1">
      <c r="B494" s="602"/>
      <c r="C494" s="755"/>
      <c r="D494" s="316"/>
      <c r="E494" s="316"/>
      <c r="F494" s="316"/>
      <c r="G494" s="1155" t="s">
        <v>728</v>
      </c>
      <c r="H494" s="1156"/>
      <c r="I494" s="631"/>
    </row>
    <row r="495" spans="2:9" s="580" customFormat="1" ht="14.1" customHeight="1">
      <c r="B495" s="602"/>
      <c r="C495" s="292" t="s">
        <v>9</v>
      </c>
      <c r="D495" s="293" t="s">
        <v>815</v>
      </c>
      <c r="E495" s="296"/>
      <c r="F495" s="296"/>
      <c r="G495" s="296"/>
      <c r="H495" s="296"/>
      <c r="I495" s="297"/>
    </row>
    <row r="496" spans="2:9" s="580" customFormat="1" ht="14.1" customHeight="1">
      <c r="B496" s="602"/>
      <c r="C496" s="754"/>
      <c r="D496" s="302"/>
      <c r="E496" s="302"/>
      <c r="F496" s="302"/>
      <c r="G496" s="302"/>
      <c r="H496" s="302"/>
      <c r="I496" s="303"/>
    </row>
    <row r="497" spans="2:9" s="580" customFormat="1" ht="14.1" customHeight="1">
      <c r="B497" s="602"/>
      <c r="C497" s="755"/>
      <c r="D497" s="316"/>
      <c r="E497" s="316"/>
      <c r="F497" s="316"/>
      <c r="G497" s="1204" t="s">
        <v>729</v>
      </c>
      <c r="H497" s="1204"/>
      <c r="I497" s="584"/>
    </row>
    <row r="498" spans="2:9" s="580" customFormat="1" ht="14.1" customHeight="1">
      <c r="B498" s="602"/>
      <c r="C498" s="290" t="s">
        <v>12</v>
      </c>
      <c r="D498" s="1113" t="s">
        <v>730</v>
      </c>
      <c r="E498" s="1114"/>
      <c r="F498" s="1114"/>
      <c r="G498" s="1114"/>
      <c r="H498" s="1115"/>
      <c r="I498" s="305"/>
    </row>
    <row r="499" spans="2:9" s="580" customFormat="1" ht="14.1" customHeight="1">
      <c r="B499" s="602"/>
      <c r="C499" s="290" t="s">
        <v>13</v>
      </c>
      <c r="D499" s="1116" t="s">
        <v>816</v>
      </c>
      <c r="E499" s="1117"/>
      <c r="F499" s="1118"/>
      <c r="G499" s="1113" t="s">
        <v>740</v>
      </c>
      <c r="H499" s="1115"/>
      <c r="I499" s="306"/>
    </row>
    <row r="500" spans="2:9" s="580" customFormat="1" ht="14.1" customHeight="1" thickBot="1">
      <c r="B500" s="602"/>
      <c r="C500" s="291" t="s">
        <v>14</v>
      </c>
      <c r="D500" s="1119" t="s">
        <v>817</v>
      </c>
      <c r="E500" s="1120"/>
      <c r="F500" s="1120"/>
      <c r="G500" s="1120"/>
      <c r="H500" s="1121"/>
      <c r="I500" s="307"/>
    </row>
    <row r="501" spans="2:9" s="597" customFormat="1" ht="15.95" customHeight="1" thickBot="1">
      <c r="B501" s="598">
        <v>25</v>
      </c>
      <c r="C501" s="572" t="s">
        <v>1211</v>
      </c>
      <c r="H501" s="599"/>
      <c r="I501" s="599"/>
    </row>
    <row r="502" spans="2:9" s="580" customFormat="1" ht="35.1" customHeight="1" thickBot="1">
      <c r="B502" s="602"/>
      <c r="C502" s="334" t="s">
        <v>840</v>
      </c>
      <c r="D502" s="335" t="s">
        <v>841</v>
      </c>
      <c r="E502" s="335" t="s">
        <v>842</v>
      </c>
      <c r="F502" s="335" t="s">
        <v>843</v>
      </c>
      <c r="G502" s="335" t="s">
        <v>844</v>
      </c>
      <c r="H502" s="335" t="s">
        <v>845</v>
      </c>
      <c r="I502" s="337" t="s">
        <v>846</v>
      </c>
    </row>
    <row r="503" spans="2:9" s="580" customFormat="1" ht="14.1" customHeight="1">
      <c r="B503" s="602"/>
      <c r="C503" s="491" t="s">
        <v>7</v>
      </c>
      <c r="D503" s="365" t="s">
        <v>810</v>
      </c>
      <c r="E503" s="382"/>
      <c r="F503" s="382"/>
      <c r="G503" s="382"/>
      <c r="H503" s="382"/>
      <c r="I503" s="384"/>
    </row>
    <row r="504" spans="2:9" s="580" customFormat="1" ht="14.1" customHeight="1">
      <c r="B504" s="602"/>
      <c r="C504" s="758"/>
      <c r="D504" s="365" t="s">
        <v>10</v>
      </c>
      <c r="E504" s="351" t="s">
        <v>16</v>
      </c>
      <c r="F504" s="351" t="s">
        <v>726</v>
      </c>
      <c r="G504" s="396">
        <v>0.09</v>
      </c>
      <c r="H504" s="382"/>
      <c r="I504" s="384"/>
    </row>
    <row r="505" spans="2:9" s="580" customFormat="1" ht="14.1" customHeight="1">
      <c r="B505" s="602"/>
      <c r="C505" s="758"/>
      <c r="D505" s="365" t="s">
        <v>143</v>
      </c>
      <c r="E505" s="351" t="s">
        <v>22</v>
      </c>
      <c r="F505" s="351" t="s">
        <v>726</v>
      </c>
      <c r="G505" s="396">
        <v>0.09</v>
      </c>
      <c r="H505" s="382"/>
      <c r="I505" s="384"/>
    </row>
    <row r="506" spans="2:9" s="580" customFormat="1" ht="14.1" customHeight="1">
      <c r="B506" s="602"/>
      <c r="C506" s="758"/>
      <c r="D506" s="365" t="s">
        <v>20</v>
      </c>
      <c r="E506" s="351" t="s">
        <v>21</v>
      </c>
      <c r="F506" s="351" t="s">
        <v>726</v>
      </c>
      <c r="G506" s="352">
        <v>8.9999999999999993E-3</v>
      </c>
      <c r="H506" s="382"/>
      <c r="I506" s="384"/>
    </row>
    <row r="507" spans="2:9" s="580" customFormat="1" ht="14.1" customHeight="1">
      <c r="B507" s="602"/>
      <c r="C507" s="759"/>
      <c r="D507" s="387" t="s">
        <v>11</v>
      </c>
      <c r="E507" s="354" t="s">
        <v>17</v>
      </c>
      <c r="F507" s="354" t="s">
        <v>726</v>
      </c>
      <c r="G507" s="355">
        <v>5.0000000000000001E-3</v>
      </c>
      <c r="H507" s="388"/>
      <c r="I507" s="389"/>
    </row>
    <row r="508" spans="2:9" s="580" customFormat="1" ht="14.1" customHeight="1">
      <c r="B508" s="602"/>
      <c r="C508" s="760"/>
      <c r="D508" s="440"/>
      <c r="E508" s="440"/>
      <c r="F508" s="440"/>
      <c r="G508" s="1027" t="s">
        <v>727</v>
      </c>
      <c r="H508" s="1028"/>
      <c r="I508" s="395"/>
    </row>
    <row r="509" spans="2:9" s="580" customFormat="1" ht="14.1" customHeight="1">
      <c r="B509" s="602"/>
      <c r="C509" s="457" t="s">
        <v>8</v>
      </c>
      <c r="D509" s="458" t="s">
        <v>811</v>
      </c>
      <c r="E509" s="393"/>
      <c r="F509" s="393"/>
      <c r="G509" s="393"/>
      <c r="H509" s="393"/>
      <c r="I509" s="436"/>
    </row>
    <row r="510" spans="2:9" s="580" customFormat="1" ht="14.1" customHeight="1">
      <c r="B510" s="602"/>
      <c r="C510" s="758"/>
      <c r="D510" s="365" t="s">
        <v>1175</v>
      </c>
      <c r="E510" s="382"/>
      <c r="F510" s="351" t="s">
        <v>1163</v>
      </c>
      <c r="G510" s="396">
        <v>3.53</v>
      </c>
      <c r="H510" s="382"/>
      <c r="I510" s="384"/>
    </row>
    <row r="511" spans="2:9" s="580" customFormat="1" ht="14.1" customHeight="1">
      <c r="B511" s="602"/>
      <c r="C511" s="758"/>
      <c r="D511" s="365" t="s">
        <v>806</v>
      </c>
      <c r="E511" s="382"/>
      <c r="F511" s="351" t="s">
        <v>56</v>
      </c>
      <c r="G511" s="396">
        <v>1.1399999999999999</v>
      </c>
      <c r="H511" s="382"/>
      <c r="I511" s="384"/>
    </row>
    <row r="512" spans="2:9" s="580" customFormat="1" ht="14.1" customHeight="1">
      <c r="B512" s="602"/>
      <c r="C512" s="758"/>
      <c r="D512" s="365" t="s">
        <v>406</v>
      </c>
      <c r="E512" s="382"/>
      <c r="F512" s="351" t="s">
        <v>734</v>
      </c>
      <c r="G512" s="396">
        <v>0.1</v>
      </c>
      <c r="H512" s="382"/>
      <c r="I512" s="384"/>
    </row>
    <row r="513" spans="2:9" s="580" customFormat="1" ht="14.1" customHeight="1">
      <c r="B513" s="602"/>
      <c r="C513" s="759"/>
      <c r="D513" s="387" t="s">
        <v>211</v>
      </c>
      <c r="E513" s="388"/>
      <c r="F513" s="354" t="s">
        <v>1172</v>
      </c>
      <c r="G513" s="355">
        <v>3.0000000000000001E-3</v>
      </c>
      <c r="H513" s="388"/>
      <c r="I513" s="389"/>
    </row>
    <row r="514" spans="2:9" s="580" customFormat="1" ht="14.1" customHeight="1">
      <c r="B514" s="602"/>
      <c r="C514" s="760"/>
      <c r="D514" s="440"/>
      <c r="E514" s="440"/>
      <c r="F514" s="440"/>
      <c r="G514" s="1027" t="s">
        <v>728</v>
      </c>
      <c r="H514" s="1028"/>
      <c r="I514" s="395"/>
    </row>
    <row r="515" spans="2:9" s="580" customFormat="1" ht="14.1" customHeight="1">
      <c r="B515" s="602"/>
      <c r="C515" s="457" t="s">
        <v>9</v>
      </c>
      <c r="D515" s="458" t="s">
        <v>815</v>
      </c>
      <c r="E515" s="393"/>
      <c r="F515" s="393"/>
      <c r="G515" s="393"/>
      <c r="H515" s="393"/>
      <c r="I515" s="436"/>
    </row>
    <row r="516" spans="2:9" s="580" customFormat="1" ht="14.1" customHeight="1">
      <c r="B516" s="602"/>
      <c r="C516" s="759"/>
      <c r="D516" s="388"/>
      <c r="E516" s="388"/>
      <c r="F516" s="388"/>
      <c r="G516" s="388"/>
      <c r="H516" s="388"/>
      <c r="I516" s="389"/>
    </row>
    <row r="517" spans="2:9" s="580" customFormat="1" ht="14.1" customHeight="1">
      <c r="B517" s="602"/>
      <c r="C517" s="760"/>
      <c r="D517" s="440"/>
      <c r="E517" s="440"/>
      <c r="F517" s="440"/>
      <c r="G517" s="1043" t="s">
        <v>729</v>
      </c>
      <c r="H517" s="1043"/>
      <c r="I517" s="395"/>
    </row>
    <row r="518" spans="2:9" s="580" customFormat="1" ht="14.1" customHeight="1">
      <c r="B518" s="602"/>
      <c r="C518" s="377" t="s">
        <v>12</v>
      </c>
      <c r="D518" s="1039" t="s">
        <v>730</v>
      </c>
      <c r="E518" s="1035"/>
      <c r="F518" s="1035"/>
      <c r="G518" s="1035"/>
      <c r="H518" s="1051"/>
      <c r="I518" s="403"/>
    </row>
    <row r="519" spans="2:9" s="580" customFormat="1" ht="14.1" customHeight="1">
      <c r="B519" s="602"/>
      <c r="C519" s="377" t="s">
        <v>13</v>
      </c>
      <c r="D519" s="1036" t="s">
        <v>816</v>
      </c>
      <c r="E519" s="1037"/>
      <c r="F519" s="1038"/>
      <c r="G519" s="1039" t="s">
        <v>740</v>
      </c>
      <c r="H519" s="1051"/>
      <c r="I519" s="403"/>
    </row>
    <row r="520" spans="2:9" s="580" customFormat="1" ht="14.1" customHeight="1" thickBot="1">
      <c r="B520" s="602"/>
      <c r="C520" s="456" t="s">
        <v>14</v>
      </c>
      <c r="D520" s="1029" t="s">
        <v>817</v>
      </c>
      <c r="E520" s="1030"/>
      <c r="F520" s="1030"/>
      <c r="G520" s="1030"/>
      <c r="H520" s="1031"/>
      <c r="I520" s="404"/>
    </row>
    <row r="521" spans="2:9" s="580" customFormat="1" ht="14.1" customHeight="1">
      <c r="B521" s="602"/>
      <c r="C521" s="623"/>
      <c r="D521" s="576"/>
      <c r="E521" s="576"/>
      <c r="F521" s="576"/>
      <c r="G521" s="576"/>
      <c r="H521" s="915"/>
      <c r="I521" s="316"/>
    </row>
    <row r="522" spans="2:9" s="766" customFormat="1" ht="15.95" customHeight="1" thickBot="1">
      <c r="B522" s="744">
        <v>26</v>
      </c>
      <c r="C522" s="765" t="s">
        <v>1212</v>
      </c>
      <c r="H522" s="950"/>
      <c r="I522" s="950"/>
    </row>
    <row r="523" spans="2:9" s="580" customFormat="1" ht="35.1" customHeight="1" thickBot="1">
      <c r="B523" s="602"/>
      <c r="C523" s="334" t="s">
        <v>840</v>
      </c>
      <c r="D523" s="335" t="s">
        <v>841</v>
      </c>
      <c r="E523" s="335" t="s">
        <v>842</v>
      </c>
      <c r="F523" s="335" t="s">
        <v>843</v>
      </c>
      <c r="G523" s="335" t="s">
        <v>844</v>
      </c>
      <c r="H523" s="335" t="s">
        <v>845</v>
      </c>
      <c r="I523" s="337" t="s">
        <v>846</v>
      </c>
    </row>
    <row r="524" spans="2:9" s="580" customFormat="1" ht="14.1" customHeight="1">
      <c r="B524" s="602"/>
      <c r="C524" s="491" t="s">
        <v>7</v>
      </c>
      <c r="D524" s="365" t="s">
        <v>810</v>
      </c>
      <c r="E524" s="382"/>
      <c r="F524" s="382"/>
      <c r="G524" s="382"/>
      <c r="H524" s="382"/>
      <c r="I524" s="384"/>
    </row>
    <row r="525" spans="2:9" s="580" customFormat="1" ht="14.1" customHeight="1">
      <c r="B525" s="602"/>
      <c r="C525" s="758"/>
      <c r="D525" s="365" t="s">
        <v>10</v>
      </c>
      <c r="E525" s="351" t="s">
        <v>16</v>
      </c>
      <c r="F525" s="351" t="s">
        <v>726</v>
      </c>
      <c r="G525" s="396">
        <v>0.09</v>
      </c>
      <c r="H525" s="382"/>
      <c r="I525" s="384"/>
    </row>
    <row r="526" spans="2:9" s="580" customFormat="1" ht="14.1" customHeight="1">
      <c r="B526" s="602"/>
      <c r="C526" s="758"/>
      <c r="D526" s="365" t="s">
        <v>143</v>
      </c>
      <c r="E526" s="351" t="s">
        <v>22</v>
      </c>
      <c r="F526" s="351" t="s">
        <v>726</v>
      </c>
      <c r="G526" s="396">
        <v>0.09</v>
      </c>
      <c r="H526" s="382"/>
      <c r="I526" s="384"/>
    </row>
    <row r="527" spans="2:9" s="580" customFormat="1" ht="14.1" customHeight="1">
      <c r="B527" s="602"/>
      <c r="C527" s="758"/>
      <c r="D527" s="365" t="s">
        <v>20</v>
      </c>
      <c r="E527" s="351" t="s">
        <v>21</v>
      </c>
      <c r="F527" s="351" t="s">
        <v>726</v>
      </c>
      <c r="G527" s="352">
        <v>8.9999999999999993E-3</v>
      </c>
      <c r="H527" s="382"/>
      <c r="I527" s="384"/>
    </row>
    <row r="528" spans="2:9" s="580" customFormat="1" ht="14.1" customHeight="1">
      <c r="B528" s="602"/>
      <c r="C528" s="759"/>
      <c r="D528" s="387" t="s">
        <v>11</v>
      </c>
      <c r="E528" s="354" t="s">
        <v>17</v>
      </c>
      <c r="F528" s="354" t="s">
        <v>726</v>
      </c>
      <c r="G528" s="355">
        <v>5.0000000000000001E-3</v>
      </c>
      <c r="H528" s="388"/>
      <c r="I528" s="389"/>
    </row>
    <row r="529" spans="2:9" s="580" customFormat="1" ht="14.1" customHeight="1">
      <c r="B529" s="602"/>
      <c r="C529" s="760"/>
      <c r="D529" s="440"/>
      <c r="E529" s="440"/>
      <c r="F529" s="440"/>
      <c r="G529" s="1027" t="s">
        <v>727</v>
      </c>
      <c r="H529" s="1028"/>
      <c r="I529" s="395"/>
    </row>
    <row r="530" spans="2:9" s="580" customFormat="1" ht="14.1" customHeight="1">
      <c r="B530" s="602"/>
      <c r="C530" s="457" t="s">
        <v>8</v>
      </c>
      <c r="D530" s="458" t="s">
        <v>811</v>
      </c>
      <c r="E530" s="393"/>
      <c r="F530" s="393"/>
      <c r="G530" s="393"/>
      <c r="H530" s="393"/>
      <c r="I530" s="436"/>
    </row>
    <row r="531" spans="2:9" s="580" customFormat="1" ht="14.1" customHeight="1">
      <c r="B531" s="602"/>
      <c r="C531" s="758"/>
      <c r="D531" s="365" t="s">
        <v>1176</v>
      </c>
      <c r="E531" s="382"/>
      <c r="F531" s="351" t="s">
        <v>1163</v>
      </c>
      <c r="G531" s="396">
        <v>2.63</v>
      </c>
      <c r="H531" s="382"/>
      <c r="I531" s="384"/>
    </row>
    <row r="532" spans="2:9" s="580" customFormat="1" ht="14.1" customHeight="1">
      <c r="B532" s="602"/>
      <c r="C532" s="758"/>
      <c r="D532" s="365" t="s">
        <v>806</v>
      </c>
      <c r="E532" s="382"/>
      <c r="F532" s="351" t="s">
        <v>56</v>
      </c>
      <c r="G532" s="396">
        <v>1.1399999999999999</v>
      </c>
      <c r="H532" s="382"/>
      <c r="I532" s="384"/>
    </row>
    <row r="533" spans="2:9" s="580" customFormat="1" ht="14.1" customHeight="1">
      <c r="B533" s="602"/>
      <c r="C533" s="758"/>
      <c r="D533" s="365" t="s">
        <v>406</v>
      </c>
      <c r="E533" s="382"/>
      <c r="F533" s="351" t="s">
        <v>734</v>
      </c>
      <c r="G533" s="396">
        <v>0.1</v>
      </c>
      <c r="H533" s="382"/>
      <c r="I533" s="384"/>
    </row>
    <row r="534" spans="2:9" s="580" customFormat="1" ht="14.1" customHeight="1">
      <c r="B534" s="602"/>
      <c r="C534" s="759"/>
      <c r="D534" s="387" t="s">
        <v>211</v>
      </c>
      <c r="E534" s="388"/>
      <c r="F534" s="354" t="s">
        <v>1172</v>
      </c>
      <c r="G534" s="355">
        <v>3.0000000000000001E-3</v>
      </c>
      <c r="H534" s="388"/>
      <c r="I534" s="389"/>
    </row>
    <row r="535" spans="2:9" s="580" customFormat="1" ht="14.1" customHeight="1">
      <c r="B535" s="602"/>
      <c r="C535" s="760"/>
      <c r="D535" s="440"/>
      <c r="E535" s="440"/>
      <c r="F535" s="440"/>
      <c r="G535" s="1027" t="s">
        <v>728</v>
      </c>
      <c r="H535" s="1028"/>
      <c r="I535" s="395"/>
    </row>
    <row r="536" spans="2:9" s="580" customFormat="1" ht="14.1" customHeight="1">
      <c r="B536" s="602"/>
      <c r="C536" s="457" t="s">
        <v>9</v>
      </c>
      <c r="D536" s="458" t="s">
        <v>815</v>
      </c>
      <c r="E536" s="393"/>
      <c r="F536" s="393"/>
      <c r="G536" s="393"/>
      <c r="H536" s="393"/>
      <c r="I536" s="436"/>
    </row>
    <row r="537" spans="2:9" s="580" customFormat="1" ht="14.1" customHeight="1">
      <c r="B537" s="602"/>
      <c r="C537" s="759"/>
      <c r="D537" s="388"/>
      <c r="E537" s="388"/>
      <c r="F537" s="388"/>
      <c r="G537" s="388"/>
      <c r="H537" s="388"/>
      <c r="I537" s="389"/>
    </row>
    <row r="538" spans="2:9" s="580" customFormat="1" ht="14.1" customHeight="1">
      <c r="B538" s="602"/>
      <c r="C538" s="760"/>
      <c r="D538" s="440"/>
      <c r="E538" s="440"/>
      <c r="F538" s="440"/>
      <c r="G538" s="1043" t="s">
        <v>729</v>
      </c>
      <c r="H538" s="1043"/>
      <c r="I538" s="435"/>
    </row>
    <row r="539" spans="2:9" s="580" customFormat="1" ht="14.1" customHeight="1">
      <c r="B539" s="602"/>
      <c r="C539" s="377" t="s">
        <v>12</v>
      </c>
      <c r="D539" s="1039" t="s">
        <v>730</v>
      </c>
      <c r="E539" s="1035"/>
      <c r="F539" s="1035"/>
      <c r="G539" s="1035"/>
      <c r="H539" s="1051"/>
      <c r="I539" s="401"/>
    </row>
    <row r="540" spans="2:9" s="580" customFormat="1" ht="14.1" customHeight="1">
      <c r="B540" s="602"/>
      <c r="C540" s="377" t="s">
        <v>13</v>
      </c>
      <c r="D540" s="1036" t="s">
        <v>816</v>
      </c>
      <c r="E540" s="1037"/>
      <c r="F540" s="1038"/>
      <c r="G540" s="1039" t="s">
        <v>740</v>
      </c>
      <c r="H540" s="1051"/>
      <c r="I540" s="403"/>
    </row>
    <row r="541" spans="2:9" s="580" customFormat="1" ht="14.1" customHeight="1" thickBot="1">
      <c r="B541" s="602"/>
      <c r="C541" s="456" t="s">
        <v>14</v>
      </c>
      <c r="D541" s="1029" t="s">
        <v>817</v>
      </c>
      <c r="E541" s="1030"/>
      <c r="F541" s="1030"/>
      <c r="G541" s="1030"/>
      <c r="H541" s="1031"/>
      <c r="I541" s="404"/>
    </row>
    <row r="542" spans="2:9" s="580" customFormat="1" ht="14.1" customHeight="1">
      <c r="B542" s="602"/>
      <c r="H542" s="316"/>
      <c r="I542" s="316"/>
    </row>
    <row r="543" spans="2:9" s="767" customFormat="1" ht="15.95" customHeight="1" thickBot="1">
      <c r="B543" s="744">
        <v>27</v>
      </c>
      <c r="C543" s="765" t="s">
        <v>1213</v>
      </c>
      <c r="D543" s="766"/>
      <c r="E543" s="766"/>
      <c r="F543" s="766"/>
      <c r="G543" s="766"/>
      <c r="H543" s="950"/>
      <c r="I543" s="950"/>
    </row>
    <row r="544" spans="2:9" s="580" customFormat="1" ht="35.1" customHeight="1" thickBot="1">
      <c r="B544" s="602"/>
      <c r="C544" s="334" t="s">
        <v>840</v>
      </c>
      <c r="D544" s="335" t="s">
        <v>841</v>
      </c>
      <c r="E544" s="335" t="s">
        <v>842</v>
      </c>
      <c r="F544" s="335" t="s">
        <v>843</v>
      </c>
      <c r="G544" s="335" t="s">
        <v>844</v>
      </c>
      <c r="H544" s="335" t="s">
        <v>845</v>
      </c>
      <c r="I544" s="337" t="s">
        <v>846</v>
      </c>
    </row>
    <row r="545" spans="2:9" s="580" customFormat="1" ht="12" customHeight="1">
      <c r="B545" s="602"/>
      <c r="C545" s="543" t="s">
        <v>7</v>
      </c>
      <c r="D545" s="289" t="s">
        <v>810</v>
      </c>
      <c r="E545" s="299"/>
      <c r="F545" s="299"/>
      <c r="G545" s="299"/>
      <c r="H545" s="299"/>
      <c r="I545" s="300"/>
    </row>
    <row r="546" spans="2:9" s="580" customFormat="1" ht="14.1" customHeight="1">
      <c r="B546" s="602"/>
      <c r="C546" s="753"/>
      <c r="D546" s="289" t="s">
        <v>10</v>
      </c>
      <c r="E546" s="285" t="s">
        <v>16</v>
      </c>
      <c r="F546" s="285" t="s">
        <v>726</v>
      </c>
      <c r="G546" s="749">
        <v>0.09</v>
      </c>
      <c r="H546" s="299"/>
      <c r="I546" s="300"/>
    </row>
    <row r="547" spans="2:9" s="580" customFormat="1" ht="14.1" customHeight="1">
      <c r="B547" s="602"/>
      <c r="C547" s="753"/>
      <c r="D547" s="289" t="s">
        <v>143</v>
      </c>
      <c r="E547" s="285" t="s">
        <v>22</v>
      </c>
      <c r="F547" s="285" t="s">
        <v>726</v>
      </c>
      <c r="G547" s="749">
        <v>0.09</v>
      </c>
      <c r="H547" s="299"/>
      <c r="I547" s="300"/>
    </row>
    <row r="548" spans="2:9" s="580" customFormat="1" ht="14.1" customHeight="1">
      <c r="B548" s="602"/>
      <c r="C548" s="753"/>
      <c r="D548" s="289" t="s">
        <v>20</v>
      </c>
      <c r="E548" s="285" t="s">
        <v>21</v>
      </c>
      <c r="F548" s="285" t="s">
        <v>726</v>
      </c>
      <c r="G548" s="286">
        <v>8.9999999999999993E-3</v>
      </c>
      <c r="H548" s="299"/>
      <c r="I548" s="300"/>
    </row>
    <row r="549" spans="2:9" s="580" customFormat="1" ht="14.1" customHeight="1">
      <c r="B549" s="602"/>
      <c r="C549" s="754"/>
      <c r="D549" s="177" t="s">
        <v>11</v>
      </c>
      <c r="E549" s="287" t="s">
        <v>17</v>
      </c>
      <c r="F549" s="287" t="s">
        <v>726</v>
      </c>
      <c r="G549" s="288">
        <v>5.0000000000000001E-3</v>
      </c>
      <c r="H549" s="302"/>
      <c r="I549" s="303"/>
    </row>
    <row r="550" spans="2:9" s="580" customFormat="1" ht="14.1" customHeight="1">
      <c r="B550" s="602"/>
      <c r="C550" s="755"/>
      <c r="D550" s="316"/>
      <c r="E550" s="316"/>
      <c r="F550" s="316"/>
      <c r="G550" s="1155" t="s">
        <v>727</v>
      </c>
      <c r="H550" s="1156"/>
      <c r="I550" s="631"/>
    </row>
    <row r="551" spans="2:9" s="580" customFormat="1" ht="14.1" customHeight="1">
      <c r="B551" s="602"/>
      <c r="C551" s="292" t="s">
        <v>8</v>
      </c>
      <c r="D551" s="293" t="s">
        <v>811</v>
      </c>
      <c r="E551" s="296"/>
      <c r="F551" s="296"/>
      <c r="G551" s="296"/>
      <c r="H551" s="296"/>
      <c r="I551" s="297"/>
    </row>
    <row r="552" spans="2:9" s="580" customFormat="1" ht="14.1" customHeight="1">
      <c r="B552" s="602"/>
      <c r="C552" s="753"/>
      <c r="D552" s="289" t="s">
        <v>1176</v>
      </c>
      <c r="E552" s="299"/>
      <c r="F552" s="285" t="s">
        <v>1163</v>
      </c>
      <c r="G552" s="749">
        <v>3.53</v>
      </c>
      <c r="H552" s="299"/>
      <c r="I552" s="300"/>
    </row>
    <row r="553" spans="2:9" s="580" customFormat="1" ht="14.1" customHeight="1">
      <c r="B553" s="602"/>
      <c r="C553" s="753"/>
      <c r="D553" s="289" t="s">
        <v>806</v>
      </c>
      <c r="E553" s="299"/>
      <c r="F553" s="285" t="s">
        <v>56</v>
      </c>
      <c r="G553" s="749">
        <v>1.1399999999999999</v>
      </c>
      <c r="H553" s="299"/>
      <c r="I553" s="300"/>
    </row>
    <row r="554" spans="2:9" s="580" customFormat="1" ht="14.1" customHeight="1">
      <c r="B554" s="602"/>
      <c r="C554" s="753"/>
      <c r="D554" s="289" t="s">
        <v>406</v>
      </c>
      <c r="E554" s="299"/>
      <c r="F554" s="285" t="s">
        <v>734</v>
      </c>
      <c r="G554" s="749">
        <v>0.1</v>
      </c>
      <c r="H554" s="299"/>
      <c r="I554" s="300"/>
    </row>
    <row r="555" spans="2:9" s="580" customFormat="1" ht="14.1" customHeight="1">
      <c r="B555" s="602"/>
      <c r="C555" s="754"/>
      <c r="D555" s="177" t="s">
        <v>211</v>
      </c>
      <c r="E555" s="302"/>
      <c r="F555" s="287" t="s">
        <v>1172</v>
      </c>
      <c r="G555" s="288">
        <v>3.0000000000000001E-3</v>
      </c>
      <c r="H555" s="302"/>
      <c r="I555" s="303"/>
    </row>
    <row r="556" spans="2:9" s="580" customFormat="1" ht="14.1" customHeight="1">
      <c r="B556" s="602"/>
      <c r="C556" s="755"/>
      <c r="D556" s="316"/>
      <c r="E556" s="316"/>
      <c r="F556" s="316"/>
      <c r="G556" s="1193" t="s">
        <v>728</v>
      </c>
      <c r="H556" s="1193"/>
      <c r="I556" s="631"/>
    </row>
    <row r="557" spans="2:9" s="580" customFormat="1" ht="14.1" customHeight="1">
      <c r="B557" s="602"/>
      <c r="C557" s="292" t="s">
        <v>9</v>
      </c>
      <c r="D557" s="293" t="s">
        <v>815</v>
      </c>
      <c r="E557" s="296"/>
      <c r="F557" s="296"/>
      <c r="G557" s="296"/>
      <c r="H557" s="296"/>
      <c r="I557" s="297"/>
    </row>
    <row r="558" spans="2:9" s="580" customFormat="1" ht="14.1" customHeight="1">
      <c r="B558" s="602"/>
      <c r="C558" s="754"/>
      <c r="D558" s="302"/>
      <c r="E558" s="302"/>
      <c r="F558" s="302"/>
      <c r="G558" s="302"/>
      <c r="H558" s="302"/>
      <c r="I558" s="303"/>
    </row>
    <row r="559" spans="2:9" s="580" customFormat="1" ht="14.1" customHeight="1">
      <c r="B559" s="602"/>
      <c r="C559" s="755"/>
      <c r="D559" s="316"/>
      <c r="E559" s="316"/>
      <c r="F559" s="316"/>
      <c r="G559" s="1163" t="s">
        <v>729</v>
      </c>
      <c r="H559" s="1164"/>
      <c r="I559" s="631"/>
    </row>
    <row r="560" spans="2:9" s="580" customFormat="1" ht="14.1" customHeight="1">
      <c r="B560" s="602"/>
      <c r="C560" s="290" t="s">
        <v>12</v>
      </c>
      <c r="D560" s="1113" t="s">
        <v>730</v>
      </c>
      <c r="E560" s="1114"/>
      <c r="F560" s="1114"/>
      <c r="G560" s="1160"/>
      <c r="H560" s="1126"/>
      <c r="I560" s="306"/>
    </row>
    <row r="561" spans="2:9" s="580" customFormat="1" ht="14.1" customHeight="1">
      <c r="B561" s="602"/>
      <c r="C561" s="290" t="s">
        <v>13</v>
      </c>
      <c r="D561" s="1116" t="s">
        <v>816</v>
      </c>
      <c r="E561" s="1117"/>
      <c r="F561" s="1118"/>
      <c r="G561" s="1113" t="s">
        <v>740</v>
      </c>
      <c r="H561" s="1115"/>
      <c r="I561" s="306"/>
    </row>
    <row r="562" spans="2:9" s="580" customFormat="1" ht="14.1" customHeight="1" thickBot="1">
      <c r="B562" s="602"/>
      <c r="C562" s="291" t="s">
        <v>14</v>
      </c>
      <c r="D562" s="1119" t="s">
        <v>817</v>
      </c>
      <c r="E562" s="1120"/>
      <c r="F562" s="1120"/>
      <c r="G562" s="1120"/>
      <c r="H562" s="1121"/>
      <c r="I562" s="307"/>
    </row>
    <row r="563" spans="2:9" s="766" customFormat="1" ht="15.95" customHeight="1" thickBot="1">
      <c r="B563" s="744">
        <v>28</v>
      </c>
      <c r="C563" s="765" t="s">
        <v>1214</v>
      </c>
      <c r="H563" s="950"/>
      <c r="I563" s="950"/>
    </row>
    <row r="564" spans="2:9" s="580" customFormat="1" ht="35.1" customHeight="1" thickBot="1">
      <c r="B564" s="602"/>
      <c r="C564" s="334" t="s">
        <v>840</v>
      </c>
      <c r="D564" s="335" t="s">
        <v>841</v>
      </c>
      <c r="E564" s="335" t="s">
        <v>842</v>
      </c>
      <c r="F564" s="335" t="s">
        <v>843</v>
      </c>
      <c r="G564" s="335" t="s">
        <v>844</v>
      </c>
      <c r="H564" s="335" t="s">
        <v>845</v>
      </c>
      <c r="I564" s="337" t="s">
        <v>846</v>
      </c>
    </row>
    <row r="565" spans="2:9" s="580" customFormat="1" ht="14.1" customHeight="1">
      <c r="B565" s="602"/>
      <c r="C565" s="543" t="s">
        <v>7</v>
      </c>
      <c r="D565" s="289" t="s">
        <v>810</v>
      </c>
      <c r="E565" s="299"/>
      <c r="F565" s="299"/>
      <c r="G565" s="299"/>
      <c r="H565" s="299"/>
      <c r="I565" s="300"/>
    </row>
    <row r="566" spans="2:9" s="580" customFormat="1" ht="14.1" customHeight="1">
      <c r="B566" s="602"/>
      <c r="C566" s="753"/>
      <c r="D566" s="289" t="s">
        <v>10</v>
      </c>
      <c r="E566" s="285" t="s">
        <v>16</v>
      </c>
      <c r="F566" s="285" t="s">
        <v>726</v>
      </c>
      <c r="G566" s="749">
        <v>0.09</v>
      </c>
      <c r="H566" s="299"/>
      <c r="I566" s="300"/>
    </row>
    <row r="567" spans="2:9" s="580" customFormat="1" ht="14.1" customHeight="1">
      <c r="B567" s="602"/>
      <c r="C567" s="753"/>
      <c r="D567" s="289" t="s">
        <v>143</v>
      </c>
      <c r="E567" s="285" t="s">
        <v>22</v>
      </c>
      <c r="F567" s="285" t="s">
        <v>726</v>
      </c>
      <c r="G567" s="749">
        <v>0.09</v>
      </c>
      <c r="H567" s="299"/>
      <c r="I567" s="300"/>
    </row>
    <row r="568" spans="2:9" s="580" customFormat="1" ht="14.1" customHeight="1">
      <c r="B568" s="602"/>
      <c r="C568" s="753"/>
      <c r="D568" s="289" t="s">
        <v>20</v>
      </c>
      <c r="E568" s="285" t="s">
        <v>21</v>
      </c>
      <c r="F568" s="285" t="s">
        <v>726</v>
      </c>
      <c r="G568" s="286">
        <v>8.9999999999999993E-3</v>
      </c>
      <c r="H568" s="299"/>
      <c r="I568" s="300"/>
    </row>
    <row r="569" spans="2:9" s="580" customFormat="1" ht="14.1" customHeight="1">
      <c r="B569" s="602"/>
      <c r="C569" s="754"/>
      <c r="D569" s="177" t="s">
        <v>11</v>
      </c>
      <c r="E569" s="287" t="s">
        <v>17</v>
      </c>
      <c r="F569" s="287" t="s">
        <v>726</v>
      </c>
      <c r="G569" s="288">
        <v>5.0000000000000001E-3</v>
      </c>
      <c r="H569" s="302"/>
      <c r="I569" s="303"/>
    </row>
    <row r="570" spans="2:9" s="580" customFormat="1" ht="14.1" customHeight="1">
      <c r="B570" s="602"/>
      <c r="C570" s="755"/>
      <c r="D570" s="316"/>
      <c r="E570" s="316"/>
      <c r="F570" s="316"/>
      <c r="G570" s="1155" t="s">
        <v>727</v>
      </c>
      <c r="H570" s="1156"/>
      <c r="I570" s="631"/>
    </row>
    <row r="571" spans="2:9" s="580" customFormat="1" ht="14.1" customHeight="1">
      <c r="B571" s="602"/>
      <c r="C571" s="292" t="s">
        <v>8</v>
      </c>
      <c r="D571" s="293" t="s">
        <v>811</v>
      </c>
      <c r="E571" s="296"/>
      <c r="F571" s="296"/>
      <c r="G571" s="296"/>
      <c r="H571" s="296"/>
      <c r="I571" s="297"/>
    </row>
    <row r="572" spans="2:9" s="580" customFormat="1" ht="14.1" customHeight="1">
      <c r="B572" s="602"/>
      <c r="C572" s="753"/>
      <c r="D572" s="289" t="s">
        <v>1177</v>
      </c>
      <c r="E572" s="299"/>
      <c r="F572" s="285" t="s">
        <v>1163</v>
      </c>
      <c r="G572" s="749">
        <v>1.7</v>
      </c>
      <c r="H572" s="299"/>
      <c r="I572" s="300"/>
    </row>
    <row r="573" spans="2:9" s="580" customFormat="1" ht="14.1" customHeight="1">
      <c r="B573" s="602"/>
      <c r="C573" s="753"/>
      <c r="D573" s="289" t="s">
        <v>806</v>
      </c>
      <c r="E573" s="299"/>
      <c r="F573" s="285" t="s">
        <v>56</v>
      </c>
      <c r="G573" s="749">
        <v>1.1399999999999999</v>
      </c>
      <c r="H573" s="299"/>
      <c r="I573" s="300"/>
    </row>
    <row r="574" spans="2:9" s="580" customFormat="1" ht="14.1" customHeight="1">
      <c r="B574" s="602"/>
      <c r="C574" s="753"/>
      <c r="D574" s="289" t="s">
        <v>406</v>
      </c>
      <c r="E574" s="299"/>
      <c r="F574" s="285" t="s">
        <v>734</v>
      </c>
      <c r="G574" s="749">
        <v>0.1</v>
      </c>
      <c r="H574" s="299"/>
      <c r="I574" s="300"/>
    </row>
    <row r="575" spans="2:9" s="580" customFormat="1" ht="14.1" customHeight="1">
      <c r="B575" s="602"/>
      <c r="C575" s="754"/>
      <c r="D575" s="177" t="s">
        <v>211</v>
      </c>
      <c r="E575" s="302"/>
      <c r="F575" s="287" t="s">
        <v>1172</v>
      </c>
      <c r="G575" s="288">
        <v>3.0000000000000001E-3</v>
      </c>
      <c r="H575" s="302"/>
      <c r="I575" s="303"/>
    </row>
    <row r="576" spans="2:9" s="580" customFormat="1" ht="14.1" customHeight="1">
      <c r="B576" s="602"/>
      <c r="C576" s="755"/>
      <c r="D576" s="316"/>
      <c r="E576" s="316"/>
      <c r="F576" s="316"/>
      <c r="G576" s="1155" t="s">
        <v>728</v>
      </c>
      <c r="H576" s="1156"/>
      <c r="I576" s="631"/>
    </row>
    <row r="577" spans="2:9" s="580" customFormat="1" ht="14.1" customHeight="1">
      <c r="B577" s="602"/>
      <c r="C577" s="292" t="s">
        <v>9</v>
      </c>
      <c r="D577" s="293" t="s">
        <v>815</v>
      </c>
      <c r="E577" s="296"/>
      <c r="F577" s="296"/>
      <c r="G577" s="296"/>
      <c r="H577" s="296"/>
      <c r="I577" s="297"/>
    </row>
    <row r="578" spans="2:9" s="580" customFormat="1" ht="14.1" customHeight="1">
      <c r="B578" s="602"/>
      <c r="C578" s="754"/>
      <c r="D578" s="302"/>
      <c r="E578" s="302"/>
      <c r="F578" s="302"/>
      <c r="G578" s="302"/>
      <c r="H578" s="302"/>
      <c r="I578" s="303"/>
    </row>
    <row r="579" spans="2:9" s="580" customFormat="1" ht="14.1" customHeight="1">
      <c r="B579" s="602"/>
      <c r="C579" s="755"/>
      <c r="D579" s="316"/>
      <c r="E579" s="316"/>
      <c r="F579" s="316"/>
      <c r="G579" s="1163" t="s">
        <v>729</v>
      </c>
      <c r="H579" s="1164"/>
      <c r="I579" s="631"/>
    </row>
    <row r="580" spans="2:9" s="580" customFormat="1" ht="14.1" customHeight="1">
      <c r="B580" s="602"/>
      <c r="C580" s="290" t="s">
        <v>12</v>
      </c>
      <c r="D580" s="1113" t="s">
        <v>730</v>
      </c>
      <c r="E580" s="1114"/>
      <c r="F580" s="1114"/>
      <c r="G580" s="1160"/>
      <c r="H580" s="1126"/>
      <c r="I580" s="306"/>
    </row>
    <row r="581" spans="2:9" s="580" customFormat="1" ht="14.1" customHeight="1">
      <c r="B581" s="602"/>
      <c r="C581" s="290" t="s">
        <v>13</v>
      </c>
      <c r="D581" s="1116" t="s">
        <v>816</v>
      </c>
      <c r="E581" s="1117"/>
      <c r="F581" s="1118"/>
      <c r="G581" s="1113" t="s">
        <v>740</v>
      </c>
      <c r="H581" s="1115"/>
      <c r="I581" s="306"/>
    </row>
    <row r="582" spans="2:9" s="580" customFormat="1" ht="14.1" customHeight="1" thickBot="1">
      <c r="B582" s="602"/>
      <c r="C582" s="291" t="s">
        <v>14</v>
      </c>
      <c r="D582" s="1119" t="s">
        <v>817</v>
      </c>
      <c r="E582" s="1120"/>
      <c r="F582" s="1120"/>
      <c r="G582" s="1120"/>
      <c r="H582" s="1121"/>
      <c r="I582" s="307"/>
    </row>
    <row r="583" spans="2:9" s="580" customFormat="1" ht="14.1" customHeight="1">
      <c r="B583" s="602"/>
      <c r="H583" s="316"/>
      <c r="I583" s="316"/>
    </row>
    <row r="584" spans="2:9" s="766" customFormat="1" ht="15.95" customHeight="1" thickBot="1">
      <c r="B584" s="744">
        <v>29</v>
      </c>
      <c r="C584" s="765" t="s">
        <v>1215</v>
      </c>
      <c r="H584" s="950"/>
      <c r="I584" s="950"/>
    </row>
    <row r="585" spans="2:9" s="580" customFormat="1" ht="35.1" customHeight="1" thickBot="1">
      <c r="B585" s="602"/>
      <c r="C585" s="334" t="s">
        <v>840</v>
      </c>
      <c r="D585" s="335" t="s">
        <v>841</v>
      </c>
      <c r="E585" s="335" t="s">
        <v>842</v>
      </c>
      <c r="F585" s="335" t="s">
        <v>843</v>
      </c>
      <c r="G585" s="335" t="s">
        <v>844</v>
      </c>
      <c r="H585" s="335" t="s">
        <v>845</v>
      </c>
      <c r="I585" s="337" t="s">
        <v>846</v>
      </c>
    </row>
    <row r="586" spans="2:9" s="580" customFormat="1" ht="14.1" customHeight="1">
      <c r="B586" s="602"/>
      <c r="C586" s="491" t="s">
        <v>7</v>
      </c>
      <c r="D586" s="365" t="s">
        <v>810</v>
      </c>
      <c r="E586" s="382"/>
      <c r="F586" s="382"/>
      <c r="G586" s="382"/>
      <c r="H586" s="382"/>
      <c r="I586" s="384"/>
    </row>
    <row r="587" spans="2:9" s="580" customFormat="1" ht="14.1" customHeight="1">
      <c r="B587" s="602"/>
      <c r="C587" s="758"/>
      <c r="D587" s="365" t="s">
        <v>10</v>
      </c>
      <c r="E587" s="351" t="s">
        <v>16</v>
      </c>
      <c r="F587" s="351" t="s">
        <v>726</v>
      </c>
      <c r="G587" s="396">
        <v>0.09</v>
      </c>
      <c r="H587" s="382"/>
      <c r="I587" s="384"/>
    </row>
    <row r="588" spans="2:9" s="580" customFormat="1" ht="14.1" customHeight="1">
      <c r="B588" s="602"/>
      <c r="C588" s="758"/>
      <c r="D588" s="365" t="s">
        <v>143</v>
      </c>
      <c r="E588" s="351" t="s">
        <v>22</v>
      </c>
      <c r="F588" s="351" t="s">
        <v>726</v>
      </c>
      <c r="G588" s="396">
        <v>0.09</v>
      </c>
      <c r="H588" s="382"/>
      <c r="I588" s="384"/>
    </row>
    <row r="589" spans="2:9" s="580" customFormat="1" ht="14.1" customHeight="1">
      <c r="B589" s="602"/>
      <c r="C589" s="758"/>
      <c r="D589" s="365" t="s">
        <v>20</v>
      </c>
      <c r="E589" s="351" t="s">
        <v>21</v>
      </c>
      <c r="F589" s="351" t="s">
        <v>726</v>
      </c>
      <c r="G589" s="352">
        <v>8.9999999999999993E-3</v>
      </c>
      <c r="H589" s="382"/>
      <c r="I589" s="384"/>
    </row>
    <row r="590" spans="2:9" s="580" customFormat="1" ht="14.1" customHeight="1">
      <c r="B590" s="602"/>
      <c r="C590" s="759"/>
      <c r="D590" s="387" t="s">
        <v>11</v>
      </c>
      <c r="E590" s="354" t="s">
        <v>17</v>
      </c>
      <c r="F590" s="354" t="s">
        <v>726</v>
      </c>
      <c r="G590" s="355">
        <v>5.0000000000000001E-3</v>
      </c>
      <c r="H590" s="388"/>
      <c r="I590" s="389"/>
    </row>
    <row r="591" spans="2:9" s="580" customFormat="1" ht="14.1" customHeight="1">
      <c r="B591" s="602"/>
      <c r="C591" s="762"/>
      <c r="D591" s="748"/>
      <c r="E591" s="748"/>
      <c r="F591" s="748"/>
      <c r="G591" s="1027" t="s">
        <v>727</v>
      </c>
      <c r="H591" s="1028"/>
      <c r="I591" s="395"/>
    </row>
    <row r="592" spans="2:9" s="580" customFormat="1" ht="14.1" customHeight="1">
      <c r="B592" s="602"/>
      <c r="C592" s="457" t="s">
        <v>8</v>
      </c>
      <c r="D592" s="458" t="s">
        <v>811</v>
      </c>
      <c r="E592" s="393"/>
      <c r="F592" s="393"/>
      <c r="G592" s="393"/>
      <c r="H592" s="393"/>
      <c r="I592" s="436"/>
    </row>
    <row r="593" spans="2:9" s="580" customFormat="1" ht="14.1" customHeight="1">
      <c r="B593" s="602"/>
      <c r="C593" s="758"/>
      <c r="D593" s="365" t="s">
        <v>1177</v>
      </c>
      <c r="E593" s="382"/>
      <c r="F593" s="351" t="s">
        <v>1163</v>
      </c>
      <c r="G593" s="396">
        <v>2.65</v>
      </c>
      <c r="H593" s="382"/>
      <c r="I593" s="384"/>
    </row>
    <row r="594" spans="2:9" s="580" customFormat="1" ht="14.1" customHeight="1">
      <c r="B594" s="602"/>
      <c r="C594" s="758"/>
      <c r="D594" s="365" t="s">
        <v>806</v>
      </c>
      <c r="E594" s="382"/>
      <c r="F594" s="351" t="s">
        <v>56</v>
      </c>
      <c r="G594" s="396">
        <v>1.1399999999999999</v>
      </c>
      <c r="H594" s="382"/>
      <c r="I594" s="384"/>
    </row>
    <row r="595" spans="2:9" s="580" customFormat="1" ht="14.1" customHeight="1">
      <c r="B595" s="602"/>
      <c r="C595" s="758"/>
      <c r="D595" s="365" t="s">
        <v>406</v>
      </c>
      <c r="E595" s="382"/>
      <c r="F595" s="351" t="s">
        <v>734</v>
      </c>
      <c r="G595" s="396">
        <v>0.1</v>
      </c>
      <c r="H595" s="382"/>
      <c r="I595" s="384"/>
    </row>
    <row r="596" spans="2:9" s="580" customFormat="1" ht="14.1" customHeight="1">
      <c r="B596" s="602"/>
      <c r="C596" s="759"/>
      <c r="D596" s="387" t="s">
        <v>211</v>
      </c>
      <c r="E596" s="388"/>
      <c r="F596" s="354" t="s">
        <v>1172</v>
      </c>
      <c r="G596" s="355">
        <v>3.0000000000000001E-3</v>
      </c>
      <c r="H596" s="388"/>
      <c r="I596" s="389"/>
    </row>
    <row r="597" spans="2:9" s="580" customFormat="1" ht="14.1" customHeight="1">
      <c r="B597" s="602"/>
      <c r="C597" s="762"/>
      <c r="D597" s="748"/>
      <c r="E597" s="748"/>
      <c r="F597" s="748"/>
      <c r="G597" s="1027" t="s">
        <v>728</v>
      </c>
      <c r="H597" s="1028"/>
      <c r="I597" s="395"/>
    </row>
    <row r="598" spans="2:9" s="580" customFormat="1" ht="14.1" customHeight="1">
      <c r="B598" s="602"/>
      <c r="C598" s="457" t="s">
        <v>9</v>
      </c>
      <c r="D598" s="458" t="s">
        <v>815</v>
      </c>
      <c r="E598" s="393"/>
      <c r="F598" s="393"/>
      <c r="G598" s="393"/>
      <c r="H598" s="393"/>
      <c r="I598" s="436"/>
    </row>
    <row r="599" spans="2:9" s="580" customFormat="1" ht="14.1" customHeight="1">
      <c r="B599" s="602"/>
      <c r="C599" s="759"/>
      <c r="D599" s="388"/>
      <c r="E599" s="388"/>
      <c r="F599" s="388"/>
      <c r="G599" s="388"/>
      <c r="H599" s="388"/>
      <c r="I599" s="389"/>
    </row>
    <row r="600" spans="2:9" s="580" customFormat="1" ht="14.1" customHeight="1">
      <c r="B600" s="602"/>
      <c r="C600" s="762"/>
      <c r="D600" s="748"/>
      <c r="E600" s="748"/>
      <c r="F600" s="748"/>
      <c r="G600" s="1050" t="s">
        <v>729</v>
      </c>
      <c r="H600" s="1028"/>
      <c r="I600" s="395"/>
    </row>
    <row r="601" spans="2:9" s="580" customFormat="1" ht="14.1" customHeight="1">
      <c r="B601" s="602"/>
      <c r="C601" s="376" t="s">
        <v>12</v>
      </c>
      <c r="D601" s="1022" t="s">
        <v>730</v>
      </c>
      <c r="E601" s="1034"/>
      <c r="F601" s="1034"/>
      <c r="G601" s="1034"/>
      <c r="H601" s="1023"/>
      <c r="I601" s="403"/>
    </row>
    <row r="602" spans="2:9" s="580" customFormat="1" ht="14.1" customHeight="1">
      <c r="B602" s="602"/>
      <c r="C602" s="377" t="s">
        <v>13</v>
      </c>
      <c r="D602" s="1036" t="s">
        <v>816</v>
      </c>
      <c r="E602" s="1037"/>
      <c r="F602" s="1038"/>
      <c r="G602" s="1039" t="s">
        <v>740</v>
      </c>
      <c r="H602" s="1051"/>
      <c r="I602" s="403"/>
    </row>
    <row r="603" spans="2:9" s="580" customFormat="1" ht="14.1" customHeight="1" thickBot="1">
      <c r="B603" s="602"/>
      <c r="C603" s="456" t="s">
        <v>14</v>
      </c>
      <c r="D603" s="1029" t="s">
        <v>817</v>
      </c>
      <c r="E603" s="1030"/>
      <c r="F603" s="1030"/>
      <c r="G603" s="1030"/>
      <c r="H603" s="1031"/>
      <c r="I603" s="404"/>
    </row>
    <row r="604" spans="2:9" s="580" customFormat="1" ht="14.1" customHeight="1">
      <c r="B604" s="602"/>
      <c r="C604" s="623"/>
      <c r="D604" s="576"/>
      <c r="E604" s="576"/>
      <c r="F604" s="576"/>
      <c r="G604" s="576"/>
      <c r="H604" s="915"/>
      <c r="I604" s="316"/>
    </row>
    <row r="605" spans="2:9" s="766" customFormat="1" ht="15" customHeight="1" thickBot="1">
      <c r="B605" s="744">
        <v>30</v>
      </c>
      <c r="C605" s="765" t="s">
        <v>1216</v>
      </c>
      <c r="H605" s="950"/>
      <c r="I605" s="950"/>
    </row>
    <row r="606" spans="2:9" s="580" customFormat="1" ht="35.1" customHeight="1" thickBot="1">
      <c r="B606" s="602"/>
      <c r="C606" s="334" t="s">
        <v>840</v>
      </c>
      <c r="D606" s="335" t="s">
        <v>841</v>
      </c>
      <c r="E606" s="335" t="s">
        <v>842</v>
      </c>
      <c r="F606" s="335" t="s">
        <v>843</v>
      </c>
      <c r="G606" s="335" t="s">
        <v>844</v>
      </c>
      <c r="H606" s="335" t="s">
        <v>845</v>
      </c>
      <c r="I606" s="337" t="s">
        <v>846</v>
      </c>
    </row>
    <row r="607" spans="2:9" s="580" customFormat="1" ht="14.1" customHeight="1">
      <c r="B607" s="602"/>
      <c r="C607" s="543" t="s">
        <v>7</v>
      </c>
      <c r="D607" s="289" t="s">
        <v>810</v>
      </c>
      <c r="E607" s="299"/>
      <c r="F607" s="299"/>
      <c r="G607" s="299"/>
      <c r="H607" s="299"/>
      <c r="I607" s="300"/>
    </row>
    <row r="608" spans="2:9" s="580" customFormat="1" ht="14.1" customHeight="1">
      <c r="B608" s="602"/>
      <c r="C608" s="753"/>
      <c r="D608" s="289" t="s">
        <v>10</v>
      </c>
      <c r="E608" s="285" t="s">
        <v>16</v>
      </c>
      <c r="F608" s="285" t="s">
        <v>726</v>
      </c>
      <c r="G608" s="749">
        <v>0.09</v>
      </c>
      <c r="H608" s="299"/>
      <c r="I608" s="300"/>
    </row>
    <row r="609" spans="2:9" s="580" customFormat="1" ht="14.1" customHeight="1">
      <c r="B609" s="602"/>
      <c r="C609" s="753"/>
      <c r="D609" s="289" t="s">
        <v>143</v>
      </c>
      <c r="E609" s="285" t="s">
        <v>22</v>
      </c>
      <c r="F609" s="285" t="s">
        <v>726</v>
      </c>
      <c r="G609" s="749">
        <v>0.09</v>
      </c>
      <c r="H609" s="299"/>
      <c r="I609" s="300"/>
    </row>
    <row r="610" spans="2:9" s="580" customFormat="1" ht="14.1" customHeight="1">
      <c r="B610" s="602"/>
      <c r="C610" s="753"/>
      <c r="D610" s="289" t="s">
        <v>20</v>
      </c>
      <c r="E610" s="285" t="s">
        <v>21</v>
      </c>
      <c r="F610" s="285" t="s">
        <v>726</v>
      </c>
      <c r="G610" s="286">
        <v>8.9999999999999993E-3</v>
      </c>
      <c r="H610" s="299"/>
      <c r="I610" s="300"/>
    </row>
    <row r="611" spans="2:9" s="580" customFormat="1" ht="14.1" customHeight="1">
      <c r="B611" s="602"/>
      <c r="C611" s="754"/>
      <c r="D611" s="177" t="s">
        <v>11</v>
      </c>
      <c r="E611" s="287" t="s">
        <v>17</v>
      </c>
      <c r="F611" s="287" t="s">
        <v>726</v>
      </c>
      <c r="G611" s="288">
        <v>5.0000000000000001E-3</v>
      </c>
      <c r="H611" s="302"/>
      <c r="I611" s="303"/>
    </row>
    <row r="612" spans="2:9" s="580" customFormat="1" ht="14.1" customHeight="1">
      <c r="B612" s="602"/>
      <c r="C612" s="755"/>
      <c r="D612" s="316"/>
      <c r="E612" s="316"/>
      <c r="F612" s="316"/>
      <c r="G612" s="1155" t="s">
        <v>727</v>
      </c>
      <c r="H612" s="1156"/>
      <c r="I612" s="631"/>
    </row>
    <row r="613" spans="2:9" s="580" customFormat="1" ht="14.1" customHeight="1">
      <c r="B613" s="602"/>
      <c r="C613" s="292" t="s">
        <v>8</v>
      </c>
      <c r="D613" s="293" t="s">
        <v>811</v>
      </c>
      <c r="E613" s="296"/>
      <c r="F613" s="296"/>
      <c r="G613" s="296"/>
      <c r="H613" s="296"/>
      <c r="I613" s="297"/>
    </row>
    <row r="614" spans="2:9" s="580" customFormat="1" ht="14.1" customHeight="1">
      <c r="B614" s="602"/>
      <c r="C614" s="753"/>
      <c r="D614" s="289" t="s">
        <v>1177</v>
      </c>
      <c r="E614" s="299"/>
      <c r="F614" s="285" t="s">
        <v>1163</v>
      </c>
      <c r="G614" s="749">
        <v>3.53</v>
      </c>
      <c r="H614" s="299"/>
      <c r="I614" s="300"/>
    </row>
    <row r="615" spans="2:9" s="580" customFormat="1" ht="14.1" customHeight="1">
      <c r="B615" s="602"/>
      <c r="C615" s="753"/>
      <c r="D615" s="289" t="s">
        <v>806</v>
      </c>
      <c r="E615" s="299"/>
      <c r="F615" s="285" t="s">
        <v>56</v>
      </c>
      <c r="G615" s="749">
        <v>1.1399999999999999</v>
      </c>
      <c r="H615" s="299"/>
      <c r="I615" s="300"/>
    </row>
    <row r="616" spans="2:9" s="580" customFormat="1" ht="14.1" customHeight="1">
      <c r="B616" s="602"/>
      <c r="C616" s="753"/>
      <c r="D616" s="289" t="s">
        <v>406</v>
      </c>
      <c r="E616" s="299"/>
      <c r="F616" s="285" t="s">
        <v>734</v>
      </c>
      <c r="G616" s="749">
        <v>0.1</v>
      </c>
      <c r="H616" s="299"/>
      <c r="I616" s="300"/>
    </row>
    <row r="617" spans="2:9" s="580" customFormat="1" ht="14.1" customHeight="1">
      <c r="B617" s="602"/>
      <c r="C617" s="754"/>
      <c r="D617" s="177" t="s">
        <v>211</v>
      </c>
      <c r="E617" s="302"/>
      <c r="F617" s="287" t="s">
        <v>1172</v>
      </c>
      <c r="G617" s="288">
        <v>3.0000000000000001E-3</v>
      </c>
      <c r="H617" s="302"/>
      <c r="I617" s="303"/>
    </row>
    <row r="618" spans="2:9" s="580" customFormat="1" ht="14.1" customHeight="1">
      <c r="B618" s="602"/>
      <c r="C618" s="755"/>
      <c r="D618" s="316"/>
      <c r="E618" s="316"/>
      <c r="F618" s="316"/>
      <c r="G618" s="1259" t="s">
        <v>728</v>
      </c>
      <c r="H618" s="1260"/>
      <c r="I618" s="631"/>
    </row>
    <row r="619" spans="2:9" s="580" customFormat="1" ht="14.1" customHeight="1">
      <c r="B619" s="602"/>
      <c r="C619" s="292" t="s">
        <v>9</v>
      </c>
      <c r="D619" s="293" t="s">
        <v>815</v>
      </c>
      <c r="E619" s="296"/>
      <c r="F619" s="751"/>
      <c r="G619" s="296"/>
      <c r="H619" s="296"/>
      <c r="I619" s="297"/>
    </row>
    <row r="620" spans="2:9" s="580" customFormat="1" ht="14.1" customHeight="1">
      <c r="B620" s="602"/>
      <c r="C620" s="754"/>
      <c r="D620" s="302"/>
      <c r="E620" s="302"/>
      <c r="F620" s="752"/>
      <c r="G620" s="302"/>
      <c r="H620" s="302"/>
      <c r="I620" s="303"/>
    </row>
    <row r="621" spans="2:9" s="580" customFormat="1" ht="14.1" customHeight="1">
      <c r="B621" s="602"/>
      <c r="C621" s="755"/>
      <c r="D621" s="316"/>
      <c r="E621" s="316"/>
      <c r="F621" s="316"/>
      <c r="G621" s="1163" t="s">
        <v>729</v>
      </c>
      <c r="H621" s="1164"/>
      <c r="I621" s="631"/>
    </row>
    <row r="622" spans="2:9" s="580" customFormat="1" ht="14.1" customHeight="1">
      <c r="B622" s="602"/>
      <c r="C622" s="290" t="s">
        <v>12</v>
      </c>
      <c r="D622" s="1113" t="s">
        <v>730</v>
      </c>
      <c r="E622" s="1114"/>
      <c r="F622" s="1114"/>
      <c r="G622" s="1160"/>
      <c r="H622" s="1126"/>
      <c r="I622" s="306"/>
    </row>
    <row r="623" spans="2:9" s="580" customFormat="1" ht="14.1" customHeight="1">
      <c r="B623" s="602"/>
      <c r="C623" s="290" t="s">
        <v>13</v>
      </c>
      <c r="D623" s="1116" t="s">
        <v>816</v>
      </c>
      <c r="E623" s="1117"/>
      <c r="F623" s="1118"/>
      <c r="G623" s="1113" t="s">
        <v>740</v>
      </c>
      <c r="H623" s="1115"/>
      <c r="I623" s="306"/>
    </row>
    <row r="624" spans="2:9" s="580" customFormat="1" ht="14.1" customHeight="1" thickBot="1">
      <c r="B624" s="602"/>
      <c r="C624" s="291" t="s">
        <v>14</v>
      </c>
      <c r="D624" s="1119" t="s">
        <v>817</v>
      </c>
      <c r="E624" s="1120"/>
      <c r="F624" s="1120"/>
      <c r="G624" s="1120"/>
      <c r="H624" s="1121"/>
      <c r="I624" s="307"/>
    </row>
    <row r="625" spans="2:9" s="580" customFormat="1" ht="14.1" customHeight="1">
      <c r="B625" s="602"/>
      <c r="H625" s="316"/>
      <c r="I625" s="316"/>
    </row>
    <row r="626" spans="2:9" s="766" customFormat="1" ht="15.95" customHeight="1" thickBot="1">
      <c r="B626" s="744">
        <v>31</v>
      </c>
      <c r="C626" s="765" t="s">
        <v>1236</v>
      </c>
      <c r="H626" s="950"/>
      <c r="I626" s="950"/>
    </row>
    <row r="627" spans="2:9" s="580" customFormat="1" ht="35.1" customHeight="1" thickBot="1">
      <c r="B627" s="602"/>
      <c r="C627" s="334" t="s">
        <v>840</v>
      </c>
      <c r="D627" s="335" t="s">
        <v>841</v>
      </c>
      <c r="E627" s="335" t="s">
        <v>842</v>
      </c>
      <c r="F627" s="335" t="s">
        <v>843</v>
      </c>
      <c r="G627" s="335" t="s">
        <v>844</v>
      </c>
      <c r="H627" s="335" t="s">
        <v>845</v>
      </c>
      <c r="I627" s="337" t="s">
        <v>846</v>
      </c>
    </row>
    <row r="628" spans="2:9" s="580" customFormat="1" ht="14.1" customHeight="1">
      <c r="B628" s="602"/>
      <c r="C628" s="543" t="s">
        <v>7</v>
      </c>
      <c r="D628" s="289" t="s">
        <v>810</v>
      </c>
      <c r="E628" s="299"/>
      <c r="F628" s="299"/>
      <c r="G628" s="299"/>
      <c r="H628" s="299"/>
      <c r="I628" s="300"/>
    </row>
    <row r="629" spans="2:9" s="580" customFormat="1" ht="14.1" customHeight="1">
      <c r="B629" s="602"/>
      <c r="C629" s="753"/>
      <c r="D629" s="289" t="s">
        <v>10</v>
      </c>
      <c r="E629" s="285" t="s">
        <v>16</v>
      </c>
      <c r="F629" s="285" t="s">
        <v>726</v>
      </c>
      <c r="G629" s="749">
        <v>0.36</v>
      </c>
      <c r="H629" s="299"/>
      <c r="I629" s="300"/>
    </row>
    <row r="630" spans="2:9" s="580" customFormat="1" ht="14.1" customHeight="1">
      <c r="B630" s="602"/>
      <c r="C630" s="753"/>
      <c r="D630" s="289" t="s">
        <v>143</v>
      </c>
      <c r="E630" s="285" t="s">
        <v>22</v>
      </c>
      <c r="F630" s="285" t="s">
        <v>726</v>
      </c>
      <c r="G630" s="749">
        <v>0.18</v>
      </c>
      <c r="H630" s="299"/>
      <c r="I630" s="300"/>
    </row>
    <row r="631" spans="2:9" s="580" customFormat="1" ht="14.1" customHeight="1">
      <c r="B631" s="602"/>
      <c r="C631" s="753"/>
      <c r="D631" s="289" t="s">
        <v>20</v>
      </c>
      <c r="E631" s="285" t="s">
        <v>21</v>
      </c>
      <c r="F631" s="285" t="s">
        <v>726</v>
      </c>
      <c r="G631" s="286">
        <v>1.7999999999999999E-2</v>
      </c>
      <c r="H631" s="299"/>
      <c r="I631" s="300"/>
    </row>
    <row r="632" spans="2:9" s="580" customFormat="1" ht="14.1" customHeight="1">
      <c r="B632" s="602"/>
      <c r="C632" s="754"/>
      <c r="D632" s="177" t="s">
        <v>11</v>
      </c>
      <c r="E632" s="287" t="s">
        <v>17</v>
      </c>
      <c r="F632" s="287" t="s">
        <v>726</v>
      </c>
      <c r="G632" s="288">
        <v>1.7999999999999999E-2</v>
      </c>
      <c r="H632" s="302"/>
      <c r="I632" s="303"/>
    </row>
    <row r="633" spans="2:9" s="580" customFormat="1" ht="14.1" customHeight="1">
      <c r="B633" s="602"/>
      <c r="C633" s="755"/>
      <c r="D633" s="316"/>
      <c r="E633" s="316"/>
      <c r="F633" s="316"/>
      <c r="G633" s="1155" t="s">
        <v>727</v>
      </c>
      <c r="H633" s="1156"/>
      <c r="I633" s="631"/>
    </row>
    <row r="634" spans="2:9" s="580" customFormat="1" ht="14.1" customHeight="1">
      <c r="B634" s="602"/>
      <c r="C634" s="292" t="s">
        <v>8</v>
      </c>
      <c r="D634" s="293" t="s">
        <v>811</v>
      </c>
      <c r="E634" s="296"/>
      <c r="F634" s="296"/>
      <c r="G634" s="296"/>
      <c r="H634" s="296"/>
      <c r="I634" s="297"/>
    </row>
    <row r="635" spans="2:9" s="580" customFormat="1" ht="14.1" customHeight="1">
      <c r="B635" s="602"/>
      <c r="C635" s="753"/>
      <c r="D635" s="289" t="s">
        <v>1178</v>
      </c>
      <c r="E635" s="299"/>
      <c r="F635" s="285" t="s">
        <v>1172</v>
      </c>
      <c r="G635" s="285" t="s">
        <v>1179</v>
      </c>
      <c r="H635" s="299"/>
      <c r="I635" s="300"/>
    </row>
    <row r="636" spans="2:9" s="580" customFormat="1" ht="14.1" customHeight="1">
      <c r="B636" s="602"/>
      <c r="C636" s="754"/>
      <c r="D636" s="177" t="s">
        <v>406</v>
      </c>
      <c r="E636" s="302"/>
      <c r="F636" s="287" t="s">
        <v>734</v>
      </c>
      <c r="G636" s="617">
        <v>0.1</v>
      </c>
      <c r="H636" s="302"/>
      <c r="I636" s="303"/>
    </row>
    <row r="637" spans="2:9" s="580" customFormat="1" ht="14.1" customHeight="1">
      <c r="B637" s="602"/>
      <c r="C637" s="755"/>
      <c r="D637" s="316"/>
      <c r="E637" s="316"/>
      <c r="F637" s="316"/>
      <c r="G637" s="1155" t="s">
        <v>728</v>
      </c>
      <c r="H637" s="1156"/>
      <c r="I637" s="631"/>
    </row>
    <row r="638" spans="2:9" s="580" customFormat="1" ht="14.1" customHeight="1">
      <c r="B638" s="602"/>
      <c r="C638" s="292" t="s">
        <v>9</v>
      </c>
      <c r="D638" s="293" t="s">
        <v>815</v>
      </c>
      <c r="E638" s="296"/>
      <c r="F638" s="296"/>
      <c r="G638" s="296"/>
      <c r="H638" s="296"/>
      <c r="I638" s="297"/>
    </row>
    <row r="639" spans="2:9" s="580" customFormat="1" ht="14.1" customHeight="1">
      <c r="B639" s="602"/>
      <c r="C639" s="754"/>
      <c r="D639" s="302"/>
      <c r="E639" s="302"/>
      <c r="F639" s="302"/>
      <c r="G639" s="302"/>
      <c r="H639" s="302"/>
      <c r="I639" s="303"/>
    </row>
    <row r="640" spans="2:9" s="580" customFormat="1" ht="14.1" customHeight="1">
      <c r="B640" s="602"/>
      <c r="C640" s="757"/>
      <c r="D640" s="582"/>
      <c r="E640" s="582"/>
      <c r="F640" s="590"/>
      <c r="G640" s="1163" t="s">
        <v>729</v>
      </c>
      <c r="H640" s="1164"/>
      <c r="I640" s="631"/>
    </row>
    <row r="641" spans="2:9" s="580" customFormat="1" ht="14.1" customHeight="1">
      <c r="B641" s="602"/>
      <c r="C641" s="603" t="s">
        <v>12</v>
      </c>
      <c r="D641" s="1154" t="s">
        <v>730</v>
      </c>
      <c r="E641" s="1154"/>
      <c r="F641" s="1154"/>
      <c r="G641" s="1154"/>
      <c r="H641" s="1154"/>
      <c r="I641" s="584"/>
    </row>
    <row r="642" spans="2:9" s="580" customFormat="1" ht="14.1" customHeight="1">
      <c r="B642" s="602"/>
      <c r="C642" s="603" t="s">
        <v>13</v>
      </c>
      <c r="D642" s="1161" t="s">
        <v>816</v>
      </c>
      <c r="E642" s="1161"/>
      <c r="F642" s="1161"/>
      <c r="G642" s="1154" t="s">
        <v>740</v>
      </c>
      <c r="H642" s="1154"/>
      <c r="I642" s="584"/>
    </row>
    <row r="643" spans="2:9" s="580" customFormat="1" ht="14.1" customHeight="1" thickBot="1">
      <c r="B643" s="602"/>
      <c r="C643" s="604" t="s">
        <v>14</v>
      </c>
      <c r="D643" s="1162" t="s">
        <v>817</v>
      </c>
      <c r="E643" s="1162"/>
      <c r="F643" s="1162"/>
      <c r="G643" s="1162"/>
      <c r="H643" s="1162"/>
      <c r="I643" s="605"/>
    </row>
    <row r="644" spans="2:9" s="580" customFormat="1" ht="14.1" customHeight="1">
      <c r="B644" s="602"/>
      <c r="C644" s="623"/>
      <c r="D644" s="576"/>
      <c r="E644" s="576"/>
      <c r="F644" s="576"/>
      <c r="G644" s="576"/>
      <c r="H644" s="915"/>
      <c r="I644" s="316"/>
    </row>
    <row r="645" spans="2:9" s="567" customFormat="1" ht="15.95" customHeight="1" thickBot="1">
      <c r="B645" s="598">
        <v>32</v>
      </c>
      <c r="C645" s="566" t="s">
        <v>1237</v>
      </c>
      <c r="H645" s="568"/>
      <c r="I645" s="568"/>
    </row>
    <row r="646" spans="2:9" s="580" customFormat="1" ht="35.1" customHeight="1" thickBot="1">
      <c r="B646" s="602"/>
      <c r="C646" s="334" t="s">
        <v>840</v>
      </c>
      <c r="D646" s="335" t="s">
        <v>841</v>
      </c>
      <c r="E646" s="335" t="s">
        <v>842</v>
      </c>
      <c r="F646" s="335" t="s">
        <v>843</v>
      </c>
      <c r="G646" s="335" t="s">
        <v>844</v>
      </c>
      <c r="H646" s="335" t="s">
        <v>845</v>
      </c>
      <c r="I646" s="337" t="s">
        <v>846</v>
      </c>
    </row>
    <row r="647" spans="2:9" s="580" customFormat="1" ht="14.1" customHeight="1">
      <c r="B647" s="602"/>
      <c r="C647" s="543" t="s">
        <v>7</v>
      </c>
      <c r="D647" s="289" t="s">
        <v>810</v>
      </c>
      <c r="E647" s="299"/>
      <c r="F647" s="299"/>
      <c r="G647" s="299"/>
      <c r="H647" s="299"/>
      <c r="I647" s="300"/>
    </row>
    <row r="648" spans="2:9" s="580" customFormat="1" ht="14.1" customHeight="1">
      <c r="B648" s="602"/>
      <c r="C648" s="753"/>
      <c r="D648" s="289" t="s">
        <v>10</v>
      </c>
      <c r="E648" s="285" t="s">
        <v>16</v>
      </c>
      <c r="F648" s="285" t="s">
        <v>726</v>
      </c>
      <c r="G648" s="749">
        <v>0.7</v>
      </c>
      <c r="H648" s="299"/>
      <c r="I648" s="300"/>
    </row>
    <row r="649" spans="2:9" s="580" customFormat="1" ht="14.1" customHeight="1">
      <c r="B649" s="602"/>
      <c r="C649" s="753"/>
      <c r="D649" s="289" t="s">
        <v>143</v>
      </c>
      <c r="E649" s="285" t="s">
        <v>22</v>
      </c>
      <c r="F649" s="285" t="s">
        <v>726</v>
      </c>
      <c r="G649" s="749">
        <v>0.35</v>
      </c>
      <c r="H649" s="299"/>
      <c r="I649" s="300"/>
    </row>
    <row r="650" spans="2:9" s="580" customFormat="1" ht="14.1" customHeight="1">
      <c r="B650" s="602"/>
      <c r="C650" s="753"/>
      <c r="D650" s="289" t="s">
        <v>20</v>
      </c>
      <c r="E650" s="285" t="s">
        <v>21</v>
      </c>
      <c r="F650" s="285" t="s">
        <v>726</v>
      </c>
      <c r="G650" s="286">
        <v>3.5000000000000003E-2</v>
      </c>
      <c r="H650" s="299"/>
      <c r="I650" s="300"/>
    </row>
    <row r="651" spans="2:9" s="580" customFormat="1" ht="14.1" customHeight="1">
      <c r="B651" s="602"/>
      <c r="C651" s="754"/>
      <c r="D651" s="177" t="s">
        <v>11</v>
      </c>
      <c r="E651" s="287" t="s">
        <v>17</v>
      </c>
      <c r="F651" s="287" t="s">
        <v>726</v>
      </c>
      <c r="G651" s="288">
        <v>3.5000000000000003E-2</v>
      </c>
      <c r="H651" s="302"/>
      <c r="I651" s="303"/>
    </row>
    <row r="652" spans="2:9" s="580" customFormat="1" ht="14.1" customHeight="1">
      <c r="B652" s="602"/>
      <c r="C652" s="755"/>
      <c r="D652" s="316"/>
      <c r="E652" s="316"/>
      <c r="F652" s="316"/>
      <c r="G652" s="1155" t="s">
        <v>727</v>
      </c>
      <c r="H652" s="1156"/>
      <c r="I652" s="631"/>
    </row>
    <row r="653" spans="2:9" s="580" customFormat="1" ht="14.1" customHeight="1">
      <c r="B653" s="602"/>
      <c r="C653" s="292" t="s">
        <v>8</v>
      </c>
      <c r="D653" s="293" t="s">
        <v>811</v>
      </c>
      <c r="E653" s="296"/>
      <c r="F653" s="296"/>
      <c r="G653" s="296"/>
      <c r="H653" s="296"/>
      <c r="I653" s="297"/>
    </row>
    <row r="654" spans="2:9" s="580" customFormat="1" ht="14.1" customHeight="1">
      <c r="B654" s="602"/>
      <c r="C654" s="753"/>
      <c r="D654" s="289" t="s">
        <v>408</v>
      </c>
      <c r="E654" s="299"/>
      <c r="F654" s="285" t="s">
        <v>1163</v>
      </c>
      <c r="G654" s="749">
        <v>53</v>
      </c>
      <c r="H654" s="299"/>
      <c r="I654" s="300"/>
    </row>
    <row r="655" spans="2:9" s="580" customFormat="1" ht="14.1" customHeight="1">
      <c r="B655" s="602"/>
      <c r="C655" s="753"/>
      <c r="D655" s="289" t="s">
        <v>806</v>
      </c>
      <c r="E655" s="299"/>
      <c r="F655" s="285" t="s">
        <v>734</v>
      </c>
      <c r="G655" s="749">
        <v>8.19</v>
      </c>
      <c r="H655" s="299"/>
      <c r="I655" s="300"/>
    </row>
    <row r="656" spans="2:9" s="580" customFormat="1" ht="14.1" customHeight="1">
      <c r="B656" s="602"/>
      <c r="C656" s="753"/>
      <c r="D656" s="289" t="s">
        <v>211</v>
      </c>
      <c r="E656" s="299"/>
      <c r="F656" s="581" t="s">
        <v>1201</v>
      </c>
      <c r="G656" s="286">
        <v>4.4999999999999998E-2</v>
      </c>
      <c r="H656" s="299"/>
      <c r="I656" s="300"/>
    </row>
    <row r="657" spans="2:9" s="580" customFormat="1" ht="14.1" customHeight="1">
      <c r="B657" s="602"/>
      <c r="C657" s="754"/>
      <c r="D657" s="177" t="s">
        <v>406</v>
      </c>
      <c r="E657" s="302"/>
      <c r="F657" s="287" t="s">
        <v>734</v>
      </c>
      <c r="G657" s="617">
        <v>2.75</v>
      </c>
      <c r="H657" s="302"/>
      <c r="I657" s="303"/>
    </row>
    <row r="658" spans="2:9" s="580" customFormat="1" ht="14.1" customHeight="1">
      <c r="B658" s="602"/>
      <c r="C658" s="755"/>
      <c r="D658" s="316"/>
      <c r="E658" s="316"/>
      <c r="F658" s="316"/>
      <c r="G658" s="1155" t="s">
        <v>728</v>
      </c>
      <c r="H658" s="1156"/>
      <c r="I658" s="631"/>
    </row>
    <row r="659" spans="2:9" s="580" customFormat="1" ht="14.1" customHeight="1">
      <c r="B659" s="602"/>
      <c r="C659" s="292" t="s">
        <v>9</v>
      </c>
      <c r="D659" s="293" t="s">
        <v>815</v>
      </c>
      <c r="E659" s="296"/>
      <c r="F659" s="296"/>
      <c r="G659" s="296"/>
      <c r="H659" s="296"/>
      <c r="I659" s="297"/>
    </row>
    <row r="660" spans="2:9" s="580" customFormat="1" ht="14.1" customHeight="1">
      <c r="B660" s="602"/>
      <c r="C660" s="754"/>
      <c r="D660" s="302"/>
      <c r="E660" s="302"/>
      <c r="F660" s="302"/>
      <c r="G660" s="302"/>
      <c r="H660" s="302"/>
      <c r="I660" s="303"/>
    </row>
    <row r="661" spans="2:9" s="580" customFormat="1" ht="14.1" customHeight="1">
      <c r="B661" s="602"/>
      <c r="C661" s="755"/>
      <c r="D661" s="316"/>
      <c r="E661" s="316"/>
      <c r="F661" s="316"/>
      <c r="G661" s="1163" t="s">
        <v>729</v>
      </c>
      <c r="H661" s="1164"/>
      <c r="I661" s="631"/>
    </row>
    <row r="662" spans="2:9" s="580" customFormat="1" ht="14.1" customHeight="1">
      <c r="B662" s="602"/>
      <c r="C662" s="290" t="s">
        <v>12</v>
      </c>
      <c r="D662" s="1113" t="s">
        <v>730</v>
      </c>
      <c r="E662" s="1114"/>
      <c r="F662" s="1114"/>
      <c r="G662" s="1160"/>
      <c r="H662" s="1126"/>
      <c r="I662" s="306"/>
    </row>
    <row r="663" spans="2:9" s="580" customFormat="1" ht="14.1" customHeight="1">
      <c r="B663" s="602"/>
      <c r="C663" s="290" t="s">
        <v>13</v>
      </c>
      <c r="D663" s="1116" t="s">
        <v>816</v>
      </c>
      <c r="E663" s="1117"/>
      <c r="F663" s="1118"/>
      <c r="G663" s="1113" t="s">
        <v>740</v>
      </c>
      <c r="H663" s="1115"/>
      <c r="I663" s="306"/>
    </row>
    <row r="664" spans="2:9" s="580" customFormat="1" ht="14.1" customHeight="1" thickBot="1">
      <c r="B664" s="602"/>
      <c r="C664" s="291" t="s">
        <v>14</v>
      </c>
      <c r="D664" s="1119" t="s">
        <v>817</v>
      </c>
      <c r="E664" s="1120"/>
      <c r="F664" s="1120"/>
      <c r="G664" s="1120"/>
      <c r="H664" s="1121"/>
      <c r="I664" s="307"/>
    </row>
    <row r="665" spans="2:9" s="580" customFormat="1" ht="14.1" customHeight="1">
      <c r="B665" s="602"/>
      <c r="H665" s="316"/>
      <c r="I665" s="316"/>
    </row>
    <row r="666" spans="2:9" s="567" customFormat="1" ht="15.95" customHeight="1" thickBot="1">
      <c r="B666" s="598">
        <v>33</v>
      </c>
      <c r="C666" s="566" t="s">
        <v>1238</v>
      </c>
      <c r="H666" s="568"/>
      <c r="I666" s="568"/>
    </row>
    <row r="667" spans="2:9" s="580" customFormat="1" ht="35.1" customHeight="1" thickBot="1">
      <c r="B667" s="602"/>
      <c r="C667" s="334" t="s">
        <v>840</v>
      </c>
      <c r="D667" s="335" t="s">
        <v>841</v>
      </c>
      <c r="E667" s="335" t="s">
        <v>842</v>
      </c>
      <c r="F667" s="335" t="s">
        <v>843</v>
      </c>
      <c r="G667" s="335" t="s">
        <v>844</v>
      </c>
      <c r="H667" s="335" t="s">
        <v>845</v>
      </c>
      <c r="I667" s="337" t="s">
        <v>846</v>
      </c>
    </row>
    <row r="668" spans="2:9" s="580" customFormat="1" ht="14.1" customHeight="1">
      <c r="B668" s="602"/>
      <c r="C668" s="543" t="s">
        <v>7</v>
      </c>
      <c r="D668" s="289" t="s">
        <v>810</v>
      </c>
      <c r="E668" s="299"/>
      <c r="F668" s="299"/>
      <c r="G668" s="299"/>
      <c r="H668" s="299"/>
      <c r="I668" s="300"/>
    </row>
    <row r="669" spans="2:9" s="580" customFormat="1" ht="14.1" customHeight="1">
      <c r="B669" s="602"/>
      <c r="C669" s="753"/>
      <c r="D669" s="289" t="s">
        <v>10</v>
      </c>
      <c r="E669" s="285" t="s">
        <v>16</v>
      </c>
      <c r="F669" s="285" t="s">
        <v>726</v>
      </c>
      <c r="G669" s="749">
        <v>0.7</v>
      </c>
      <c r="H669" s="299"/>
      <c r="I669" s="300"/>
    </row>
    <row r="670" spans="2:9" s="580" customFormat="1" ht="14.1" customHeight="1">
      <c r="B670" s="602"/>
      <c r="C670" s="753"/>
      <c r="D670" s="289" t="s">
        <v>143</v>
      </c>
      <c r="E670" s="285" t="s">
        <v>22</v>
      </c>
      <c r="F670" s="285" t="s">
        <v>726</v>
      </c>
      <c r="G670" s="749">
        <v>0.35</v>
      </c>
      <c r="H670" s="299"/>
      <c r="I670" s="300"/>
    </row>
    <row r="671" spans="2:9" s="580" customFormat="1" ht="14.1" customHeight="1">
      <c r="B671" s="602"/>
      <c r="C671" s="753"/>
      <c r="D671" s="289" t="s">
        <v>20</v>
      </c>
      <c r="E671" s="285" t="s">
        <v>21</v>
      </c>
      <c r="F671" s="285" t="s">
        <v>726</v>
      </c>
      <c r="G671" s="286">
        <v>3.5000000000000003E-2</v>
      </c>
      <c r="H671" s="299"/>
      <c r="I671" s="300"/>
    </row>
    <row r="672" spans="2:9" s="580" customFormat="1" ht="14.1" customHeight="1">
      <c r="B672" s="602"/>
      <c r="C672" s="754"/>
      <c r="D672" s="177" t="s">
        <v>11</v>
      </c>
      <c r="E672" s="287" t="s">
        <v>17</v>
      </c>
      <c r="F672" s="287" t="s">
        <v>726</v>
      </c>
      <c r="G672" s="288">
        <v>3.5000000000000003E-2</v>
      </c>
      <c r="H672" s="302"/>
      <c r="I672" s="303"/>
    </row>
    <row r="673" spans="2:9" s="580" customFormat="1" ht="14.1" customHeight="1">
      <c r="B673" s="602"/>
      <c r="C673" s="755"/>
      <c r="D673" s="316"/>
      <c r="E673" s="316"/>
      <c r="F673" s="316"/>
      <c r="G673" s="1155" t="s">
        <v>727</v>
      </c>
      <c r="H673" s="1156"/>
      <c r="I673" s="631"/>
    </row>
    <row r="674" spans="2:9" s="580" customFormat="1" ht="14.1" customHeight="1">
      <c r="B674" s="602"/>
      <c r="C674" s="292" t="s">
        <v>8</v>
      </c>
      <c r="D674" s="293" t="s">
        <v>811</v>
      </c>
      <c r="E674" s="296"/>
      <c r="F674" s="296"/>
      <c r="G674" s="296"/>
      <c r="H674" s="296"/>
      <c r="I674" s="297"/>
    </row>
    <row r="675" spans="2:9" s="580" customFormat="1" ht="14.1" customHeight="1">
      <c r="B675" s="602"/>
      <c r="C675" s="753"/>
      <c r="D675" s="289" t="s">
        <v>408</v>
      </c>
      <c r="E675" s="299"/>
      <c r="F675" s="285" t="s">
        <v>1163</v>
      </c>
      <c r="G675" s="749">
        <v>106</v>
      </c>
      <c r="H675" s="299"/>
      <c r="I675" s="300"/>
    </row>
    <row r="676" spans="2:9" s="580" customFormat="1" ht="14.1" customHeight="1">
      <c r="B676" s="602"/>
      <c r="C676" s="753"/>
      <c r="D676" s="289" t="s">
        <v>806</v>
      </c>
      <c r="E676" s="299"/>
      <c r="F676" s="285" t="s">
        <v>734</v>
      </c>
      <c r="G676" s="749">
        <v>8.19</v>
      </c>
      <c r="H676" s="299"/>
      <c r="I676" s="300"/>
    </row>
    <row r="677" spans="2:9" s="580" customFormat="1" ht="14.1" customHeight="1">
      <c r="B677" s="602"/>
      <c r="C677" s="753"/>
      <c r="D677" s="289" t="s">
        <v>211</v>
      </c>
      <c r="E677" s="299"/>
      <c r="F677" s="581" t="s">
        <v>1201</v>
      </c>
      <c r="G677" s="286">
        <v>4.4999999999999998E-2</v>
      </c>
      <c r="H677" s="299"/>
      <c r="I677" s="300"/>
    </row>
    <row r="678" spans="2:9" s="580" customFormat="1" ht="14.1" customHeight="1">
      <c r="B678" s="602"/>
      <c r="C678" s="754"/>
      <c r="D678" s="177" t="s">
        <v>406</v>
      </c>
      <c r="E678" s="302"/>
      <c r="F678" s="287" t="s">
        <v>734</v>
      </c>
      <c r="G678" s="617">
        <v>3.2</v>
      </c>
      <c r="H678" s="302"/>
      <c r="I678" s="303"/>
    </row>
    <row r="679" spans="2:9" s="580" customFormat="1" ht="14.1" customHeight="1">
      <c r="B679" s="602"/>
      <c r="C679" s="755"/>
      <c r="D679" s="316"/>
      <c r="E679" s="316"/>
      <c r="F679" s="316"/>
      <c r="G679" s="1155" t="s">
        <v>728</v>
      </c>
      <c r="H679" s="1156"/>
      <c r="I679" s="631"/>
    </row>
    <row r="680" spans="2:9" s="580" customFormat="1" ht="14.1" customHeight="1">
      <c r="B680" s="602"/>
      <c r="C680" s="292" t="s">
        <v>9</v>
      </c>
      <c r="D680" s="293" t="s">
        <v>815</v>
      </c>
      <c r="E680" s="296"/>
      <c r="F680" s="296"/>
      <c r="G680" s="296"/>
      <c r="H680" s="296"/>
      <c r="I680" s="297"/>
    </row>
    <row r="681" spans="2:9" s="580" customFormat="1" ht="14.1" customHeight="1">
      <c r="B681" s="602"/>
      <c r="C681" s="754"/>
      <c r="D681" s="302"/>
      <c r="E681" s="302"/>
      <c r="F681" s="302"/>
      <c r="G681" s="302"/>
      <c r="H681" s="302"/>
      <c r="I681" s="303"/>
    </row>
    <row r="682" spans="2:9" s="580" customFormat="1" ht="14.1" customHeight="1">
      <c r="B682" s="602"/>
      <c r="C682" s="755"/>
      <c r="D682" s="316"/>
      <c r="E682" s="316"/>
      <c r="F682" s="316"/>
      <c r="G682" s="1204" t="s">
        <v>729</v>
      </c>
      <c r="H682" s="1204"/>
      <c r="I682" s="631"/>
    </row>
    <row r="683" spans="2:9" s="580" customFormat="1" ht="14.1" customHeight="1">
      <c r="B683" s="602"/>
      <c r="C683" s="290" t="s">
        <v>12</v>
      </c>
      <c r="D683" s="1113" t="s">
        <v>730</v>
      </c>
      <c r="E683" s="1114"/>
      <c r="F683" s="1114"/>
      <c r="G683" s="1114"/>
      <c r="H683" s="1115"/>
      <c r="I683" s="306"/>
    </row>
    <row r="684" spans="2:9" s="580" customFormat="1" ht="14.1" customHeight="1">
      <c r="B684" s="602"/>
      <c r="C684" s="290" t="s">
        <v>13</v>
      </c>
      <c r="D684" s="1116" t="s">
        <v>816</v>
      </c>
      <c r="E684" s="1117"/>
      <c r="F684" s="1118"/>
      <c r="G684" s="1113" t="s">
        <v>740</v>
      </c>
      <c r="H684" s="1115"/>
      <c r="I684" s="306"/>
    </row>
    <row r="685" spans="2:9" s="580" customFormat="1" ht="14.1" customHeight="1" thickBot="1">
      <c r="B685" s="602"/>
      <c r="C685" s="291" t="s">
        <v>14</v>
      </c>
      <c r="D685" s="1119" t="s">
        <v>817</v>
      </c>
      <c r="E685" s="1120"/>
      <c r="F685" s="1120"/>
      <c r="G685" s="1120"/>
      <c r="H685" s="1121"/>
      <c r="I685" s="307"/>
    </row>
    <row r="686" spans="2:9" s="567" customFormat="1" ht="15.95" customHeight="1" thickBot="1">
      <c r="B686" s="598">
        <v>34</v>
      </c>
      <c r="C686" s="566" t="s">
        <v>1239</v>
      </c>
      <c r="H686" s="568"/>
      <c r="I686" s="568"/>
    </row>
    <row r="687" spans="2:9" s="580" customFormat="1" ht="35.1" customHeight="1" thickBot="1">
      <c r="B687" s="602"/>
      <c r="C687" s="334" t="s">
        <v>840</v>
      </c>
      <c r="D687" s="335" t="s">
        <v>841</v>
      </c>
      <c r="E687" s="335" t="s">
        <v>842</v>
      </c>
      <c r="F687" s="335" t="s">
        <v>843</v>
      </c>
      <c r="G687" s="335" t="s">
        <v>844</v>
      </c>
      <c r="H687" s="335" t="s">
        <v>845</v>
      </c>
      <c r="I687" s="337" t="s">
        <v>846</v>
      </c>
    </row>
    <row r="688" spans="2:9" s="580" customFormat="1" ht="14.1" customHeight="1">
      <c r="B688" s="602"/>
      <c r="C688" s="543" t="s">
        <v>7</v>
      </c>
      <c r="D688" s="289" t="s">
        <v>810</v>
      </c>
      <c r="E688" s="299"/>
      <c r="F688" s="299"/>
      <c r="G688" s="299"/>
      <c r="H688" s="299"/>
      <c r="I688" s="300"/>
    </row>
    <row r="689" spans="2:9" s="580" customFormat="1" ht="14.1" customHeight="1">
      <c r="B689" s="602"/>
      <c r="C689" s="753"/>
      <c r="D689" s="289" t="s">
        <v>10</v>
      </c>
      <c r="E689" s="285" t="s">
        <v>16</v>
      </c>
      <c r="F689" s="285" t="s">
        <v>726</v>
      </c>
      <c r="G689" s="749">
        <v>0.7</v>
      </c>
      <c r="H689" s="299"/>
      <c r="I689" s="300"/>
    </row>
    <row r="690" spans="2:9" s="580" customFormat="1" ht="14.1" customHeight="1">
      <c r="B690" s="602"/>
      <c r="C690" s="753"/>
      <c r="D690" s="289" t="s">
        <v>143</v>
      </c>
      <c r="E690" s="285" t="s">
        <v>22</v>
      </c>
      <c r="F690" s="285" t="s">
        <v>726</v>
      </c>
      <c r="G690" s="749">
        <v>0.35</v>
      </c>
      <c r="H690" s="299"/>
      <c r="I690" s="300"/>
    </row>
    <row r="691" spans="2:9" s="580" customFormat="1" ht="14.1" customHeight="1">
      <c r="B691" s="602"/>
      <c r="C691" s="753"/>
      <c r="D691" s="289" t="s">
        <v>20</v>
      </c>
      <c r="E691" s="285" t="s">
        <v>21</v>
      </c>
      <c r="F691" s="285" t="s">
        <v>726</v>
      </c>
      <c r="G691" s="286">
        <v>3.5000000000000003E-2</v>
      </c>
      <c r="H691" s="299"/>
      <c r="I691" s="300"/>
    </row>
    <row r="692" spans="2:9" s="580" customFormat="1" ht="14.1" customHeight="1">
      <c r="B692" s="602"/>
      <c r="C692" s="754"/>
      <c r="D692" s="177" t="s">
        <v>11</v>
      </c>
      <c r="E692" s="287" t="s">
        <v>17</v>
      </c>
      <c r="F692" s="287" t="s">
        <v>726</v>
      </c>
      <c r="G692" s="288">
        <v>3.5000000000000003E-2</v>
      </c>
      <c r="H692" s="302"/>
      <c r="I692" s="303"/>
    </row>
    <row r="693" spans="2:9" s="580" customFormat="1" ht="14.1" customHeight="1">
      <c r="B693" s="602"/>
      <c r="C693" s="755"/>
      <c r="D693" s="316"/>
      <c r="E693" s="316"/>
      <c r="F693" s="316"/>
      <c r="G693" s="1155" t="s">
        <v>727</v>
      </c>
      <c r="H693" s="1156"/>
      <c r="I693" s="631"/>
    </row>
    <row r="694" spans="2:9" s="580" customFormat="1" ht="14.1" customHeight="1">
      <c r="B694" s="602"/>
      <c r="C694" s="292" t="s">
        <v>8</v>
      </c>
      <c r="D694" s="293" t="s">
        <v>811</v>
      </c>
      <c r="E694" s="296"/>
      <c r="F694" s="296"/>
      <c r="G694" s="296"/>
      <c r="H694" s="296"/>
      <c r="I694" s="297"/>
    </row>
    <row r="695" spans="2:9" s="580" customFormat="1" ht="14.1" customHeight="1">
      <c r="B695" s="602"/>
      <c r="C695" s="753"/>
      <c r="D695" s="289" t="s">
        <v>408</v>
      </c>
      <c r="E695" s="299"/>
      <c r="F695" s="285" t="s">
        <v>1180</v>
      </c>
      <c r="G695" s="749">
        <v>1.05</v>
      </c>
      <c r="H695" s="299"/>
      <c r="I695" s="300"/>
    </row>
    <row r="696" spans="2:9" s="580" customFormat="1" ht="14.1" customHeight="1">
      <c r="B696" s="602"/>
      <c r="C696" s="753"/>
      <c r="D696" s="289" t="s">
        <v>806</v>
      </c>
      <c r="E696" s="299"/>
      <c r="F696" s="285" t="s">
        <v>734</v>
      </c>
      <c r="G696" s="749">
        <v>8.19</v>
      </c>
      <c r="H696" s="299"/>
      <c r="I696" s="300"/>
    </row>
    <row r="697" spans="2:9" s="580" customFormat="1" ht="14.1" customHeight="1">
      <c r="B697" s="602"/>
      <c r="C697" s="753"/>
      <c r="D697" s="289" t="s">
        <v>211</v>
      </c>
      <c r="E697" s="299"/>
      <c r="F697" s="581" t="s">
        <v>1201</v>
      </c>
      <c r="G697" s="286">
        <v>4.4999999999999998E-2</v>
      </c>
      <c r="H697" s="299"/>
      <c r="I697" s="300"/>
    </row>
    <row r="698" spans="2:9" s="580" customFormat="1" ht="14.1" customHeight="1">
      <c r="B698" s="602"/>
      <c r="C698" s="754"/>
      <c r="D698" s="177" t="s">
        <v>406</v>
      </c>
      <c r="E698" s="302"/>
      <c r="F698" s="287" t="s">
        <v>734</v>
      </c>
      <c r="G698" s="617">
        <v>0.5</v>
      </c>
      <c r="H698" s="302"/>
      <c r="I698" s="303"/>
    </row>
    <row r="699" spans="2:9" s="580" customFormat="1" ht="14.1" customHeight="1">
      <c r="B699" s="602"/>
      <c r="C699" s="755"/>
      <c r="D699" s="316"/>
      <c r="E699" s="316"/>
      <c r="F699" s="316"/>
      <c r="G699" s="1155" t="s">
        <v>728</v>
      </c>
      <c r="H699" s="1156"/>
      <c r="I699" s="631"/>
    </row>
    <row r="700" spans="2:9" s="580" customFormat="1" ht="14.1" customHeight="1">
      <c r="B700" s="602"/>
      <c r="C700" s="292" t="s">
        <v>9</v>
      </c>
      <c r="D700" s="293" t="s">
        <v>815</v>
      </c>
      <c r="E700" s="296"/>
      <c r="F700" s="296"/>
      <c r="G700" s="296"/>
      <c r="H700" s="296"/>
      <c r="I700" s="297"/>
    </row>
    <row r="701" spans="2:9" s="580" customFormat="1" ht="14.1" customHeight="1">
      <c r="B701" s="602"/>
      <c r="C701" s="754"/>
      <c r="D701" s="302"/>
      <c r="E701" s="302"/>
      <c r="F701" s="302"/>
      <c r="G701" s="302"/>
      <c r="H701" s="302"/>
      <c r="I701" s="303"/>
    </row>
    <row r="702" spans="2:9" s="580" customFormat="1" ht="14.1" customHeight="1">
      <c r="B702" s="602"/>
      <c r="C702" s="755"/>
      <c r="D702" s="316"/>
      <c r="E702" s="316"/>
      <c r="F702" s="316"/>
      <c r="G702" s="1163" t="s">
        <v>729</v>
      </c>
      <c r="H702" s="1164"/>
      <c r="I702" s="631"/>
    </row>
    <row r="703" spans="2:9" s="580" customFormat="1" ht="14.1" customHeight="1">
      <c r="B703" s="602"/>
      <c r="C703" s="290" t="s">
        <v>12</v>
      </c>
      <c r="D703" s="1113" t="s">
        <v>730</v>
      </c>
      <c r="E703" s="1114"/>
      <c r="F703" s="1114"/>
      <c r="G703" s="1160"/>
      <c r="H703" s="1126"/>
      <c r="I703" s="306"/>
    </row>
    <row r="704" spans="2:9" s="580" customFormat="1" ht="14.1" customHeight="1">
      <c r="B704" s="602"/>
      <c r="C704" s="290" t="s">
        <v>13</v>
      </c>
      <c r="D704" s="1116" t="s">
        <v>816</v>
      </c>
      <c r="E704" s="1117"/>
      <c r="F704" s="1118"/>
      <c r="G704" s="1113" t="s">
        <v>740</v>
      </c>
      <c r="H704" s="1115"/>
      <c r="I704" s="306"/>
    </row>
    <row r="705" spans="2:9" s="580" customFormat="1" ht="14.1" customHeight="1" thickBot="1">
      <c r="B705" s="602"/>
      <c r="C705" s="291" t="s">
        <v>14</v>
      </c>
      <c r="D705" s="1119" t="s">
        <v>817</v>
      </c>
      <c r="E705" s="1120"/>
      <c r="F705" s="1120"/>
      <c r="G705" s="1120"/>
      <c r="H705" s="1121"/>
      <c r="I705" s="307"/>
    </row>
    <row r="706" spans="2:9" s="580" customFormat="1" ht="14.1" customHeight="1">
      <c r="B706" s="602"/>
      <c r="H706" s="316"/>
      <c r="I706" s="316"/>
    </row>
    <row r="707" spans="2:9" s="567" customFormat="1" ht="15.95" customHeight="1" thickBot="1">
      <c r="B707" s="598">
        <v>35</v>
      </c>
      <c r="C707" s="566" t="s">
        <v>1240</v>
      </c>
      <c r="H707" s="568"/>
      <c r="I707" s="568"/>
    </row>
    <row r="708" spans="2:9" s="580" customFormat="1" ht="35.1" customHeight="1" thickBot="1">
      <c r="B708" s="602"/>
      <c r="C708" s="334" t="s">
        <v>840</v>
      </c>
      <c r="D708" s="335" t="s">
        <v>841</v>
      </c>
      <c r="E708" s="335" t="s">
        <v>842</v>
      </c>
      <c r="F708" s="335" t="s">
        <v>843</v>
      </c>
      <c r="G708" s="335" t="s">
        <v>844</v>
      </c>
      <c r="H708" s="335" t="s">
        <v>845</v>
      </c>
      <c r="I708" s="337" t="s">
        <v>846</v>
      </c>
    </row>
    <row r="709" spans="2:9" s="580" customFormat="1" ht="14.1" customHeight="1">
      <c r="B709" s="602"/>
      <c r="C709" s="491" t="s">
        <v>7</v>
      </c>
      <c r="D709" s="365" t="s">
        <v>810</v>
      </c>
      <c r="E709" s="382"/>
      <c r="F709" s="382"/>
      <c r="G709" s="382"/>
      <c r="H709" s="382"/>
      <c r="I709" s="384"/>
    </row>
    <row r="710" spans="2:9" s="580" customFormat="1" ht="14.1" customHeight="1">
      <c r="B710" s="602"/>
      <c r="C710" s="758"/>
      <c r="D710" s="365" t="s">
        <v>10</v>
      </c>
      <c r="E710" s="351" t="s">
        <v>16</v>
      </c>
      <c r="F710" s="351" t="s">
        <v>726</v>
      </c>
      <c r="G710" s="396">
        <v>0.7</v>
      </c>
      <c r="H710" s="382"/>
      <c r="I710" s="384"/>
    </row>
    <row r="711" spans="2:9" s="580" customFormat="1" ht="14.1" customHeight="1">
      <c r="B711" s="602"/>
      <c r="C711" s="758"/>
      <c r="D711" s="365" t="s">
        <v>143</v>
      </c>
      <c r="E711" s="351" t="s">
        <v>22</v>
      </c>
      <c r="F711" s="351" t="s">
        <v>726</v>
      </c>
      <c r="G711" s="396">
        <v>0.35</v>
      </c>
      <c r="H711" s="382"/>
      <c r="I711" s="384"/>
    </row>
    <row r="712" spans="2:9" s="580" customFormat="1" ht="14.1" customHeight="1">
      <c r="B712" s="602"/>
      <c r="C712" s="758"/>
      <c r="D712" s="365" t="s">
        <v>20</v>
      </c>
      <c r="E712" s="351" t="s">
        <v>21</v>
      </c>
      <c r="F712" s="351" t="s">
        <v>726</v>
      </c>
      <c r="G712" s="352">
        <v>3.5000000000000003E-2</v>
      </c>
      <c r="H712" s="382"/>
      <c r="I712" s="384"/>
    </row>
    <row r="713" spans="2:9" s="580" customFormat="1" ht="14.1" customHeight="1">
      <c r="B713" s="602"/>
      <c r="C713" s="759"/>
      <c r="D713" s="387" t="s">
        <v>11</v>
      </c>
      <c r="E713" s="354" t="s">
        <v>17</v>
      </c>
      <c r="F713" s="354" t="s">
        <v>726</v>
      </c>
      <c r="G713" s="355">
        <v>3.5000000000000003E-2</v>
      </c>
      <c r="H713" s="388"/>
      <c r="I713" s="389"/>
    </row>
    <row r="714" spans="2:9" s="580" customFormat="1" ht="14.1" customHeight="1">
      <c r="B714" s="602"/>
      <c r="C714" s="760"/>
      <c r="D714" s="440"/>
      <c r="E714" s="440"/>
      <c r="F714" s="440"/>
      <c r="G714" s="1027" t="s">
        <v>727</v>
      </c>
      <c r="H714" s="1028"/>
      <c r="I714" s="395"/>
    </row>
    <row r="715" spans="2:9" s="580" customFormat="1" ht="14.1" customHeight="1">
      <c r="B715" s="602"/>
      <c r="C715" s="457" t="s">
        <v>8</v>
      </c>
      <c r="D715" s="458" t="s">
        <v>811</v>
      </c>
      <c r="E715" s="393"/>
      <c r="F715" s="393"/>
      <c r="G715" s="393"/>
      <c r="H715" s="393"/>
      <c r="I715" s="436"/>
    </row>
    <row r="716" spans="2:9" s="580" customFormat="1" ht="14.1" customHeight="1">
      <c r="B716" s="602"/>
      <c r="C716" s="758"/>
      <c r="D716" s="365" t="s">
        <v>408</v>
      </c>
      <c r="E716" s="382"/>
      <c r="F716" s="351" t="s">
        <v>1181</v>
      </c>
      <c r="G716" s="396">
        <v>1.05</v>
      </c>
      <c r="H716" s="382"/>
      <c r="I716" s="384"/>
    </row>
    <row r="717" spans="2:9" s="580" customFormat="1" ht="14.1" customHeight="1">
      <c r="B717" s="602"/>
      <c r="C717" s="758"/>
      <c r="D717" s="365" t="s">
        <v>806</v>
      </c>
      <c r="E717" s="382"/>
      <c r="F717" s="351" t="s">
        <v>734</v>
      </c>
      <c r="G717" s="396">
        <v>10</v>
      </c>
      <c r="H717" s="382"/>
      <c r="I717" s="384"/>
    </row>
    <row r="718" spans="2:9" s="580" customFormat="1" ht="14.1" customHeight="1">
      <c r="B718" s="602"/>
      <c r="C718" s="758"/>
      <c r="D718" s="365" t="s">
        <v>211</v>
      </c>
      <c r="E718" s="382"/>
      <c r="F718" s="383" t="s">
        <v>1201</v>
      </c>
      <c r="G718" s="352">
        <v>4.4999999999999998E-2</v>
      </c>
      <c r="H718" s="382"/>
      <c r="I718" s="384"/>
    </row>
    <row r="719" spans="2:9" s="580" customFormat="1" ht="14.1" customHeight="1">
      <c r="B719" s="602"/>
      <c r="C719" s="759"/>
      <c r="D719" s="387" t="s">
        <v>406</v>
      </c>
      <c r="E719" s="388"/>
      <c r="F719" s="354" t="s">
        <v>734</v>
      </c>
      <c r="G719" s="397">
        <v>0.5</v>
      </c>
      <c r="H719" s="388"/>
      <c r="I719" s="389"/>
    </row>
    <row r="720" spans="2:9" s="580" customFormat="1" ht="14.1" customHeight="1">
      <c r="B720" s="602"/>
      <c r="C720" s="760"/>
      <c r="D720" s="440"/>
      <c r="E720" s="440"/>
      <c r="F720" s="440"/>
      <c r="G720" s="1027" t="s">
        <v>728</v>
      </c>
      <c r="H720" s="1028"/>
      <c r="I720" s="395"/>
    </row>
    <row r="721" spans="2:9" s="580" customFormat="1" ht="14.1" customHeight="1">
      <c r="B721" s="602"/>
      <c r="C721" s="457" t="s">
        <v>9</v>
      </c>
      <c r="D721" s="458" t="s">
        <v>815</v>
      </c>
      <c r="E721" s="393"/>
      <c r="F721" s="393"/>
      <c r="G721" s="393"/>
      <c r="H721" s="393"/>
      <c r="I721" s="436"/>
    </row>
    <row r="722" spans="2:9" s="580" customFormat="1" ht="14.1" customHeight="1">
      <c r="B722" s="602"/>
      <c r="C722" s="759"/>
      <c r="D722" s="388"/>
      <c r="E722" s="388"/>
      <c r="F722" s="388"/>
      <c r="G722" s="388"/>
      <c r="H722" s="388"/>
      <c r="I722" s="389"/>
    </row>
    <row r="723" spans="2:9" s="580" customFormat="1" ht="14.1" customHeight="1">
      <c r="B723" s="602"/>
      <c r="C723" s="760"/>
      <c r="D723" s="440"/>
      <c r="E723" s="440"/>
      <c r="F723" s="440"/>
      <c r="G723" s="1027" t="s">
        <v>729</v>
      </c>
      <c r="H723" s="1028"/>
      <c r="I723" s="395"/>
    </row>
    <row r="724" spans="2:9" s="580" customFormat="1" ht="14.1" customHeight="1">
      <c r="B724" s="602"/>
      <c r="C724" s="377" t="s">
        <v>12</v>
      </c>
      <c r="D724" s="1039" t="s">
        <v>730</v>
      </c>
      <c r="E724" s="1035"/>
      <c r="F724" s="1035"/>
      <c r="G724" s="1034"/>
      <c r="H724" s="1023"/>
      <c r="I724" s="403"/>
    </row>
    <row r="725" spans="2:9" s="580" customFormat="1" ht="14.1" customHeight="1">
      <c r="B725" s="602"/>
      <c r="C725" s="377" t="s">
        <v>13</v>
      </c>
      <c r="D725" s="1036" t="s">
        <v>816</v>
      </c>
      <c r="E725" s="1037"/>
      <c r="F725" s="1038"/>
      <c r="G725" s="1039" t="s">
        <v>740</v>
      </c>
      <c r="H725" s="1051"/>
      <c r="I725" s="403"/>
    </row>
    <row r="726" spans="2:9" s="580" customFormat="1" ht="14.1" customHeight="1" thickBot="1">
      <c r="B726" s="602"/>
      <c r="C726" s="456" t="s">
        <v>14</v>
      </c>
      <c r="D726" s="1029" t="s">
        <v>817</v>
      </c>
      <c r="E726" s="1030"/>
      <c r="F726" s="1030"/>
      <c r="G726" s="1030"/>
      <c r="H726" s="1031"/>
      <c r="I726" s="404"/>
    </row>
    <row r="727" spans="2:9" s="580" customFormat="1" ht="14.1" customHeight="1">
      <c r="B727" s="602"/>
      <c r="C727" s="623"/>
      <c r="D727" s="576"/>
      <c r="E727" s="576"/>
      <c r="F727" s="576"/>
      <c r="G727" s="576"/>
      <c r="H727" s="915"/>
      <c r="I727" s="316"/>
    </row>
    <row r="728" spans="2:9" s="567" customFormat="1" ht="15.95" customHeight="1" thickBot="1">
      <c r="B728" s="598">
        <v>36</v>
      </c>
      <c r="C728" s="566" t="s">
        <v>1241</v>
      </c>
      <c r="H728" s="568"/>
      <c r="I728" s="568"/>
    </row>
    <row r="729" spans="2:9" s="580" customFormat="1" ht="35.1" customHeight="1" thickBot="1">
      <c r="B729" s="602"/>
      <c r="C729" s="334" t="s">
        <v>840</v>
      </c>
      <c r="D729" s="335" t="s">
        <v>841</v>
      </c>
      <c r="E729" s="335" t="s">
        <v>842</v>
      </c>
      <c r="F729" s="335" t="s">
        <v>843</v>
      </c>
      <c r="G729" s="335" t="s">
        <v>844</v>
      </c>
      <c r="H729" s="335" t="s">
        <v>845</v>
      </c>
      <c r="I729" s="337" t="s">
        <v>846</v>
      </c>
    </row>
    <row r="730" spans="2:9" s="580" customFormat="1" ht="14.1" customHeight="1">
      <c r="B730" s="602"/>
      <c r="C730" s="491" t="s">
        <v>7</v>
      </c>
      <c r="D730" s="365" t="s">
        <v>810</v>
      </c>
      <c r="E730" s="382"/>
      <c r="F730" s="382"/>
      <c r="G730" s="382"/>
      <c r="H730" s="382"/>
      <c r="I730" s="384"/>
    </row>
    <row r="731" spans="2:9" s="580" customFormat="1" ht="14.1" customHeight="1">
      <c r="B731" s="602"/>
      <c r="C731" s="758"/>
      <c r="D731" s="365" t="s">
        <v>10</v>
      </c>
      <c r="E731" s="351" t="s">
        <v>16</v>
      </c>
      <c r="F731" s="351" t="s">
        <v>726</v>
      </c>
      <c r="G731" s="396">
        <v>0.7</v>
      </c>
      <c r="H731" s="382"/>
      <c r="I731" s="384"/>
    </row>
    <row r="732" spans="2:9" s="580" customFormat="1" ht="14.1" customHeight="1">
      <c r="B732" s="602"/>
      <c r="C732" s="758"/>
      <c r="D732" s="365" t="s">
        <v>143</v>
      </c>
      <c r="E732" s="351" t="s">
        <v>22</v>
      </c>
      <c r="F732" s="351" t="s">
        <v>726</v>
      </c>
      <c r="G732" s="396">
        <v>0.35</v>
      </c>
      <c r="H732" s="382"/>
      <c r="I732" s="384"/>
    </row>
    <row r="733" spans="2:9" s="580" customFormat="1" ht="14.1" customHeight="1">
      <c r="B733" s="602"/>
      <c r="C733" s="758"/>
      <c r="D733" s="365" t="s">
        <v>20</v>
      </c>
      <c r="E733" s="351" t="s">
        <v>21</v>
      </c>
      <c r="F733" s="351" t="s">
        <v>726</v>
      </c>
      <c r="G733" s="352">
        <v>3.5000000000000003E-2</v>
      </c>
      <c r="H733" s="382"/>
      <c r="I733" s="384"/>
    </row>
    <row r="734" spans="2:9" s="580" customFormat="1" ht="14.1" customHeight="1">
      <c r="B734" s="602"/>
      <c r="C734" s="759"/>
      <c r="D734" s="387" t="s">
        <v>11</v>
      </c>
      <c r="E734" s="354" t="s">
        <v>17</v>
      </c>
      <c r="F734" s="354" t="s">
        <v>726</v>
      </c>
      <c r="G734" s="355">
        <v>3.5000000000000003E-2</v>
      </c>
      <c r="H734" s="388"/>
      <c r="I734" s="389"/>
    </row>
    <row r="735" spans="2:9" s="580" customFormat="1" ht="14.1" customHeight="1">
      <c r="B735" s="602"/>
      <c r="C735" s="760"/>
      <c r="D735" s="440"/>
      <c r="E735" s="440"/>
      <c r="F735" s="440"/>
      <c r="G735" s="1027" t="s">
        <v>727</v>
      </c>
      <c r="H735" s="1028"/>
      <c r="I735" s="395"/>
    </row>
    <row r="736" spans="2:9" s="580" customFormat="1" ht="14.1" customHeight="1">
      <c r="B736" s="602"/>
      <c r="C736" s="457" t="s">
        <v>8</v>
      </c>
      <c r="D736" s="458" t="s">
        <v>811</v>
      </c>
      <c r="E736" s="393"/>
      <c r="F736" s="393"/>
      <c r="G736" s="393"/>
      <c r="H736" s="393"/>
      <c r="I736" s="436"/>
    </row>
    <row r="737" spans="2:9" s="580" customFormat="1" ht="14.1" customHeight="1">
      <c r="B737" s="602"/>
      <c r="C737" s="758"/>
      <c r="D737" s="365" t="s">
        <v>408</v>
      </c>
      <c r="E737" s="382"/>
      <c r="F737" s="351" t="s">
        <v>1181</v>
      </c>
      <c r="G737" s="396">
        <v>1.05</v>
      </c>
      <c r="H737" s="382"/>
      <c r="I737" s="384"/>
    </row>
    <row r="738" spans="2:9" s="580" customFormat="1" ht="14.1" customHeight="1">
      <c r="B738" s="602"/>
      <c r="C738" s="758"/>
      <c r="D738" s="365" t="s">
        <v>806</v>
      </c>
      <c r="E738" s="382"/>
      <c r="F738" s="351" t="s">
        <v>734</v>
      </c>
      <c r="G738" s="396">
        <v>10.4</v>
      </c>
      <c r="H738" s="382"/>
      <c r="I738" s="384"/>
    </row>
    <row r="739" spans="2:9" s="580" customFormat="1" ht="14.1" customHeight="1">
      <c r="B739" s="602"/>
      <c r="C739" s="758"/>
      <c r="D739" s="365" t="s">
        <v>211</v>
      </c>
      <c r="E739" s="382"/>
      <c r="F739" s="383" t="s">
        <v>1201</v>
      </c>
      <c r="G739" s="352">
        <v>4.4999999999999998E-2</v>
      </c>
      <c r="H739" s="382"/>
      <c r="I739" s="384"/>
    </row>
    <row r="740" spans="2:9" s="580" customFormat="1" ht="14.1" customHeight="1">
      <c r="B740" s="602"/>
      <c r="C740" s="759"/>
      <c r="D740" s="387" t="s">
        <v>406</v>
      </c>
      <c r="E740" s="388"/>
      <c r="F740" s="354" t="s">
        <v>734</v>
      </c>
      <c r="G740" s="397">
        <v>0.5</v>
      </c>
      <c r="H740" s="388"/>
      <c r="I740" s="389"/>
    </row>
    <row r="741" spans="2:9" s="580" customFormat="1" ht="14.1" customHeight="1">
      <c r="B741" s="602"/>
      <c r="C741" s="760"/>
      <c r="D741" s="440"/>
      <c r="E741" s="440"/>
      <c r="F741" s="440"/>
      <c r="G741" s="1027" t="s">
        <v>728</v>
      </c>
      <c r="H741" s="1028"/>
      <c r="I741" s="395"/>
    </row>
    <row r="742" spans="2:9" s="580" customFormat="1" ht="14.1" customHeight="1">
      <c r="B742" s="602"/>
      <c r="C742" s="457" t="s">
        <v>9</v>
      </c>
      <c r="D742" s="458" t="s">
        <v>815</v>
      </c>
      <c r="E742" s="393"/>
      <c r="F742" s="393"/>
      <c r="G742" s="393"/>
      <c r="H742" s="393"/>
      <c r="I742" s="436"/>
    </row>
    <row r="743" spans="2:9" s="580" customFormat="1" ht="14.1" customHeight="1">
      <c r="B743" s="602"/>
      <c r="C743" s="759"/>
      <c r="D743" s="388"/>
      <c r="E743" s="388"/>
      <c r="F743" s="388"/>
      <c r="G743" s="388"/>
      <c r="H743" s="388"/>
      <c r="I743" s="389"/>
    </row>
    <row r="744" spans="2:9" s="580" customFormat="1" ht="14.1" customHeight="1">
      <c r="B744" s="602"/>
      <c r="C744" s="760"/>
      <c r="D744" s="440"/>
      <c r="E744" s="440"/>
      <c r="F744" s="440"/>
      <c r="G744" s="1027" t="s">
        <v>729</v>
      </c>
      <c r="H744" s="1028"/>
      <c r="I744" s="395"/>
    </row>
    <row r="745" spans="2:9" s="580" customFormat="1" ht="14.1" customHeight="1">
      <c r="B745" s="602"/>
      <c r="C745" s="377" t="s">
        <v>12</v>
      </c>
      <c r="D745" s="1039" t="s">
        <v>730</v>
      </c>
      <c r="E745" s="1035"/>
      <c r="F745" s="1035"/>
      <c r="G745" s="1034"/>
      <c r="H745" s="1023"/>
      <c r="I745" s="403"/>
    </row>
    <row r="746" spans="2:9" s="580" customFormat="1" ht="14.1" customHeight="1">
      <c r="B746" s="602"/>
      <c r="C746" s="377" t="s">
        <v>13</v>
      </c>
      <c r="D746" s="1036" t="s">
        <v>816</v>
      </c>
      <c r="E746" s="1037"/>
      <c r="F746" s="1038"/>
      <c r="G746" s="1039" t="s">
        <v>740</v>
      </c>
      <c r="H746" s="1051"/>
      <c r="I746" s="403"/>
    </row>
    <row r="747" spans="2:9" s="580" customFormat="1" ht="14.1" customHeight="1" thickBot="1">
      <c r="B747" s="602"/>
      <c r="C747" s="456" t="s">
        <v>14</v>
      </c>
      <c r="D747" s="1029" t="s">
        <v>817</v>
      </c>
      <c r="E747" s="1030"/>
      <c r="F747" s="1030"/>
      <c r="G747" s="1030"/>
      <c r="H747" s="1031"/>
      <c r="I747" s="404"/>
    </row>
    <row r="748" spans="2:9" s="567" customFormat="1" ht="15.95" customHeight="1" thickBot="1">
      <c r="B748" s="598">
        <v>37</v>
      </c>
      <c r="C748" s="566" t="s">
        <v>1242</v>
      </c>
      <c r="H748" s="568"/>
      <c r="I748" s="568"/>
    </row>
    <row r="749" spans="2:9" s="580" customFormat="1" ht="35.1" customHeight="1" thickBot="1">
      <c r="B749" s="602"/>
      <c r="C749" s="334" t="s">
        <v>840</v>
      </c>
      <c r="D749" s="335" t="s">
        <v>841</v>
      </c>
      <c r="E749" s="335" t="s">
        <v>842</v>
      </c>
      <c r="F749" s="335" t="s">
        <v>843</v>
      </c>
      <c r="G749" s="335" t="s">
        <v>844</v>
      </c>
      <c r="H749" s="335" t="s">
        <v>845</v>
      </c>
      <c r="I749" s="337" t="s">
        <v>846</v>
      </c>
    </row>
    <row r="750" spans="2:9" s="580" customFormat="1" ht="14.1" customHeight="1">
      <c r="B750" s="602"/>
      <c r="C750" s="491" t="s">
        <v>7</v>
      </c>
      <c r="D750" s="365" t="s">
        <v>810</v>
      </c>
      <c r="E750" s="382"/>
      <c r="F750" s="382"/>
      <c r="G750" s="382"/>
      <c r="H750" s="382"/>
      <c r="I750" s="384"/>
    </row>
    <row r="751" spans="2:9" s="580" customFormat="1" ht="14.1" customHeight="1">
      <c r="B751" s="602"/>
      <c r="C751" s="758"/>
      <c r="D751" s="365" t="s">
        <v>10</v>
      </c>
      <c r="E751" s="351" t="s">
        <v>16</v>
      </c>
      <c r="F751" s="351" t="s">
        <v>726</v>
      </c>
      <c r="G751" s="396">
        <v>1.05</v>
      </c>
      <c r="H751" s="382"/>
      <c r="I751" s="384"/>
    </row>
    <row r="752" spans="2:9" s="580" customFormat="1" ht="14.1" customHeight="1">
      <c r="B752" s="602"/>
      <c r="C752" s="758"/>
      <c r="D752" s="365" t="s">
        <v>143</v>
      </c>
      <c r="E752" s="351" t="s">
        <v>22</v>
      </c>
      <c r="F752" s="351" t="s">
        <v>726</v>
      </c>
      <c r="G752" s="352">
        <v>0.52500000000000002</v>
      </c>
      <c r="H752" s="382"/>
      <c r="I752" s="384"/>
    </row>
    <row r="753" spans="2:9" s="580" customFormat="1" ht="14.1" customHeight="1">
      <c r="B753" s="602"/>
      <c r="C753" s="758"/>
      <c r="D753" s="365" t="s">
        <v>20</v>
      </c>
      <c r="E753" s="351" t="s">
        <v>21</v>
      </c>
      <c r="F753" s="351" t="s">
        <v>726</v>
      </c>
      <c r="G753" s="352">
        <v>5.2999999999999999E-2</v>
      </c>
      <c r="H753" s="382"/>
      <c r="I753" s="384"/>
    </row>
    <row r="754" spans="2:9" s="580" customFormat="1" ht="14.1" customHeight="1">
      <c r="B754" s="602"/>
      <c r="C754" s="759"/>
      <c r="D754" s="387" t="s">
        <v>11</v>
      </c>
      <c r="E754" s="354" t="s">
        <v>17</v>
      </c>
      <c r="F754" s="354" t="s">
        <v>726</v>
      </c>
      <c r="G754" s="355">
        <v>5.2999999999999999E-2</v>
      </c>
      <c r="H754" s="388"/>
      <c r="I754" s="389"/>
    </row>
    <row r="755" spans="2:9" s="580" customFormat="1" ht="14.1" customHeight="1">
      <c r="B755" s="602"/>
      <c r="C755" s="760"/>
      <c r="D755" s="440"/>
      <c r="E755" s="440"/>
      <c r="F755" s="440"/>
      <c r="G755" s="1027" t="s">
        <v>727</v>
      </c>
      <c r="H755" s="1028"/>
      <c r="I755" s="395"/>
    </row>
    <row r="756" spans="2:9" s="580" customFormat="1" ht="14.1" customHeight="1">
      <c r="B756" s="602"/>
      <c r="C756" s="457" t="s">
        <v>8</v>
      </c>
      <c r="D756" s="458" t="s">
        <v>811</v>
      </c>
      <c r="E756" s="393"/>
      <c r="F756" s="393"/>
      <c r="G756" s="393"/>
      <c r="H756" s="393"/>
      <c r="I756" s="436"/>
    </row>
    <row r="757" spans="2:9" s="580" customFormat="1" ht="14.1" customHeight="1">
      <c r="B757" s="602"/>
      <c r="C757" s="758"/>
      <c r="D757" s="365" t="s">
        <v>408</v>
      </c>
      <c r="E757" s="382"/>
      <c r="F757" s="351" t="s">
        <v>1163</v>
      </c>
      <c r="G757" s="396">
        <v>33</v>
      </c>
      <c r="H757" s="382"/>
      <c r="I757" s="384"/>
    </row>
    <row r="758" spans="2:9" s="580" customFormat="1" ht="14.1" customHeight="1">
      <c r="B758" s="602"/>
      <c r="C758" s="758"/>
      <c r="D758" s="365" t="s">
        <v>806</v>
      </c>
      <c r="E758" s="382"/>
      <c r="F758" s="351" t="s">
        <v>734</v>
      </c>
      <c r="G758" s="396">
        <v>9.8000000000000007</v>
      </c>
      <c r="H758" s="382"/>
      <c r="I758" s="384"/>
    </row>
    <row r="759" spans="2:9" s="580" customFormat="1" ht="14.1" customHeight="1">
      <c r="B759" s="602"/>
      <c r="C759" s="758"/>
      <c r="D759" s="365" t="s">
        <v>211</v>
      </c>
      <c r="E759" s="382"/>
      <c r="F759" s="383" t="s">
        <v>1201</v>
      </c>
      <c r="G759" s="352">
        <v>4.4999999999999998E-2</v>
      </c>
      <c r="H759" s="382"/>
      <c r="I759" s="384"/>
    </row>
    <row r="760" spans="2:9" s="580" customFormat="1" ht="14.1" customHeight="1">
      <c r="B760" s="602"/>
      <c r="C760" s="759"/>
      <c r="D760" s="387" t="s">
        <v>406</v>
      </c>
      <c r="E760" s="388"/>
      <c r="F760" s="354" t="s">
        <v>734</v>
      </c>
      <c r="G760" s="397">
        <v>4.37</v>
      </c>
      <c r="H760" s="388"/>
      <c r="I760" s="389"/>
    </row>
    <row r="761" spans="2:9" s="580" customFormat="1" ht="14.1" customHeight="1">
      <c r="B761" s="602"/>
      <c r="C761" s="760"/>
      <c r="D761" s="440"/>
      <c r="E761" s="440"/>
      <c r="F761" s="440"/>
      <c r="G761" s="1027" t="s">
        <v>728</v>
      </c>
      <c r="H761" s="1028"/>
      <c r="I761" s="395"/>
    </row>
    <row r="762" spans="2:9" s="580" customFormat="1" ht="14.1" customHeight="1">
      <c r="B762" s="602"/>
      <c r="C762" s="457" t="s">
        <v>9</v>
      </c>
      <c r="D762" s="458" t="s">
        <v>815</v>
      </c>
      <c r="E762" s="393"/>
      <c r="F762" s="393"/>
      <c r="G762" s="393"/>
      <c r="H762" s="393"/>
      <c r="I762" s="436"/>
    </row>
    <row r="763" spans="2:9" s="580" customFormat="1" ht="14.1" customHeight="1">
      <c r="B763" s="602"/>
      <c r="C763" s="759"/>
      <c r="D763" s="388"/>
      <c r="E763" s="388"/>
      <c r="F763" s="388"/>
      <c r="G763" s="388"/>
      <c r="H763" s="388"/>
      <c r="I763" s="389"/>
    </row>
    <row r="764" spans="2:9" s="580" customFormat="1" ht="14.1" customHeight="1">
      <c r="B764" s="602"/>
      <c r="C764" s="760"/>
      <c r="D764" s="440"/>
      <c r="E764" s="440"/>
      <c r="F764" s="440"/>
      <c r="G764" s="1027" t="s">
        <v>729</v>
      </c>
      <c r="H764" s="1028"/>
      <c r="I764" s="395"/>
    </row>
    <row r="765" spans="2:9" s="580" customFormat="1" ht="14.1" customHeight="1">
      <c r="B765" s="602"/>
      <c r="C765" s="377" t="s">
        <v>12</v>
      </c>
      <c r="D765" s="1039" t="s">
        <v>730</v>
      </c>
      <c r="E765" s="1035"/>
      <c r="F765" s="1035"/>
      <c r="G765" s="1034"/>
      <c r="H765" s="1023"/>
      <c r="I765" s="403"/>
    </row>
    <row r="766" spans="2:9" s="580" customFormat="1" ht="14.1" customHeight="1">
      <c r="B766" s="602"/>
      <c r="C766" s="377" t="s">
        <v>13</v>
      </c>
      <c r="D766" s="1036" t="s">
        <v>816</v>
      </c>
      <c r="E766" s="1037"/>
      <c r="F766" s="1038"/>
      <c r="G766" s="1039" t="s">
        <v>740</v>
      </c>
      <c r="H766" s="1051"/>
      <c r="I766" s="403"/>
    </row>
    <row r="767" spans="2:9" s="580" customFormat="1" ht="14.1" customHeight="1" thickBot="1">
      <c r="B767" s="602"/>
      <c r="C767" s="456" t="s">
        <v>14</v>
      </c>
      <c r="D767" s="1029" t="s">
        <v>817</v>
      </c>
      <c r="E767" s="1030"/>
      <c r="F767" s="1030"/>
      <c r="G767" s="1030"/>
      <c r="H767" s="1031"/>
      <c r="I767" s="404"/>
    </row>
    <row r="768" spans="2:9" s="580" customFormat="1" ht="14.1" customHeight="1">
      <c r="B768" s="602"/>
      <c r="C768" s="623"/>
      <c r="D768" s="576"/>
      <c r="E768" s="576"/>
      <c r="F768" s="576"/>
      <c r="G768" s="576"/>
      <c r="H768" s="915"/>
      <c r="I768" s="316"/>
    </row>
    <row r="769" spans="2:9" s="567" customFormat="1" ht="15.95" customHeight="1" thickBot="1">
      <c r="B769" s="598">
        <v>38</v>
      </c>
      <c r="C769" s="566" t="s">
        <v>1243</v>
      </c>
      <c r="H769" s="568"/>
      <c r="I769" s="568"/>
    </row>
    <row r="770" spans="2:9" s="580" customFormat="1" ht="35.1" customHeight="1" thickBot="1">
      <c r="B770" s="602"/>
      <c r="C770" s="334" t="s">
        <v>840</v>
      </c>
      <c r="D770" s="335" t="s">
        <v>841</v>
      </c>
      <c r="E770" s="431" t="s">
        <v>842</v>
      </c>
      <c r="F770" s="489" t="s">
        <v>843</v>
      </c>
      <c r="G770" s="490" t="s">
        <v>844</v>
      </c>
      <c r="H770" s="335" t="s">
        <v>845</v>
      </c>
      <c r="I770" s="337" t="s">
        <v>846</v>
      </c>
    </row>
    <row r="771" spans="2:9" s="580" customFormat="1" ht="14.1" customHeight="1">
      <c r="B771" s="602"/>
      <c r="C771" s="543" t="s">
        <v>7</v>
      </c>
      <c r="D771" s="289" t="s">
        <v>810</v>
      </c>
      <c r="E771" s="675"/>
      <c r="F771" s="299"/>
      <c r="G771" s="299"/>
      <c r="H771" s="299"/>
      <c r="I771" s="300"/>
    </row>
    <row r="772" spans="2:9" s="580" customFormat="1" ht="14.1" customHeight="1">
      <c r="B772" s="602"/>
      <c r="C772" s="753"/>
      <c r="D772" s="289" t="s">
        <v>10</v>
      </c>
      <c r="E772" s="658" t="s">
        <v>16</v>
      </c>
      <c r="F772" s="285" t="s">
        <v>726</v>
      </c>
      <c r="G772" s="749">
        <v>0.7</v>
      </c>
      <c r="H772" s="299"/>
      <c r="I772" s="300"/>
    </row>
    <row r="773" spans="2:9" s="580" customFormat="1" ht="14.1" customHeight="1">
      <c r="B773" s="602"/>
      <c r="C773" s="753"/>
      <c r="D773" s="289" t="s">
        <v>143</v>
      </c>
      <c r="E773" s="658" t="s">
        <v>22</v>
      </c>
      <c r="F773" s="285" t="s">
        <v>726</v>
      </c>
      <c r="G773" s="749">
        <v>0.35</v>
      </c>
      <c r="H773" s="299"/>
      <c r="I773" s="300"/>
    </row>
    <row r="774" spans="2:9" s="580" customFormat="1" ht="14.1" customHeight="1">
      <c r="B774" s="602"/>
      <c r="C774" s="753"/>
      <c r="D774" s="289" t="s">
        <v>20</v>
      </c>
      <c r="E774" s="658" t="s">
        <v>21</v>
      </c>
      <c r="F774" s="285" t="s">
        <v>726</v>
      </c>
      <c r="G774" s="286">
        <v>3.5000000000000003E-2</v>
      </c>
      <c r="H774" s="299"/>
      <c r="I774" s="300"/>
    </row>
    <row r="775" spans="2:9" s="580" customFormat="1" ht="14.1" customHeight="1">
      <c r="B775" s="602"/>
      <c r="C775" s="754"/>
      <c r="D775" s="177" t="s">
        <v>11</v>
      </c>
      <c r="E775" s="659" t="s">
        <v>17</v>
      </c>
      <c r="F775" s="287" t="s">
        <v>726</v>
      </c>
      <c r="G775" s="288">
        <v>3.5000000000000003E-2</v>
      </c>
      <c r="H775" s="302"/>
      <c r="I775" s="303"/>
    </row>
    <row r="776" spans="2:9" s="580" customFormat="1" ht="14.1" customHeight="1">
      <c r="B776" s="602"/>
      <c r="C776" s="755"/>
      <c r="D776" s="316"/>
      <c r="E776" s="316"/>
      <c r="F776" s="316"/>
      <c r="G776" s="1155" t="s">
        <v>727</v>
      </c>
      <c r="H776" s="1156"/>
      <c r="I776" s="631"/>
    </row>
    <row r="777" spans="2:9" s="580" customFormat="1" ht="14.1" customHeight="1">
      <c r="B777" s="602"/>
      <c r="C777" s="292" t="s">
        <v>8</v>
      </c>
      <c r="D777" s="293" t="s">
        <v>811</v>
      </c>
      <c r="E777" s="296"/>
      <c r="F777" s="296"/>
      <c r="G777" s="296"/>
      <c r="H777" s="296"/>
      <c r="I777" s="297"/>
    </row>
    <row r="778" spans="2:9" s="580" customFormat="1" ht="14.1" customHeight="1">
      <c r="B778" s="602"/>
      <c r="C778" s="753"/>
      <c r="D778" s="289" t="s">
        <v>408</v>
      </c>
      <c r="E778" s="299"/>
      <c r="F778" s="285" t="s">
        <v>1163</v>
      </c>
      <c r="G778" s="749">
        <v>11.87</v>
      </c>
      <c r="H778" s="299"/>
      <c r="I778" s="300"/>
    </row>
    <row r="779" spans="2:9" s="580" customFormat="1" ht="14.1" customHeight="1">
      <c r="B779" s="602"/>
      <c r="C779" s="753"/>
      <c r="D779" s="289" t="s">
        <v>806</v>
      </c>
      <c r="E779" s="299"/>
      <c r="F779" s="285" t="s">
        <v>734</v>
      </c>
      <c r="G779" s="749">
        <v>14.15</v>
      </c>
      <c r="H779" s="299"/>
      <c r="I779" s="300"/>
    </row>
    <row r="780" spans="2:9" s="580" customFormat="1" ht="14.1" customHeight="1">
      <c r="B780" s="602"/>
      <c r="C780" s="753"/>
      <c r="D780" s="289" t="s">
        <v>211</v>
      </c>
      <c r="E780" s="299"/>
      <c r="F780" s="581" t="s">
        <v>1201</v>
      </c>
      <c r="G780" s="286">
        <v>3.9E-2</v>
      </c>
      <c r="H780" s="299"/>
      <c r="I780" s="300"/>
    </row>
    <row r="781" spans="2:9" s="580" customFormat="1" ht="14.1" customHeight="1">
      <c r="B781" s="602"/>
      <c r="C781" s="754"/>
      <c r="D781" s="177" t="s">
        <v>406</v>
      </c>
      <c r="E781" s="302"/>
      <c r="F781" s="287" t="s">
        <v>734</v>
      </c>
      <c r="G781" s="617">
        <v>2</v>
      </c>
      <c r="H781" s="302"/>
      <c r="I781" s="303"/>
    </row>
    <row r="782" spans="2:9" s="580" customFormat="1" ht="14.1" customHeight="1">
      <c r="B782" s="602"/>
      <c r="C782" s="755"/>
      <c r="D782" s="316"/>
      <c r="E782" s="316"/>
      <c r="F782" s="316"/>
      <c r="G782" s="1155" t="s">
        <v>728</v>
      </c>
      <c r="H782" s="1156"/>
      <c r="I782" s="631"/>
    </row>
    <row r="783" spans="2:9" s="580" customFormat="1" ht="14.1" customHeight="1">
      <c r="B783" s="602"/>
      <c r="C783" s="292" t="s">
        <v>9</v>
      </c>
      <c r="D783" s="293" t="s">
        <v>815</v>
      </c>
      <c r="E783" s="296"/>
      <c r="F783" s="296"/>
      <c r="G783" s="296"/>
      <c r="H783" s="296"/>
      <c r="I783" s="297"/>
    </row>
    <row r="784" spans="2:9" s="580" customFormat="1" ht="14.1" customHeight="1">
      <c r="B784" s="602"/>
      <c r="C784" s="754"/>
      <c r="D784" s="302"/>
      <c r="E784" s="302"/>
      <c r="F784" s="302"/>
      <c r="G784" s="302"/>
      <c r="H784" s="302"/>
      <c r="I784" s="303"/>
    </row>
    <row r="785" spans="2:9" s="580" customFormat="1" ht="14.1" customHeight="1">
      <c r="B785" s="602"/>
      <c r="C785" s="755"/>
      <c r="D785" s="316"/>
      <c r="E785" s="316"/>
      <c r="F785" s="316"/>
      <c r="G785" s="1163" t="s">
        <v>729</v>
      </c>
      <c r="H785" s="1164"/>
      <c r="I785" s="631"/>
    </row>
    <row r="786" spans="2:9" s="580" customFormat="1" ht="14.1" customHeight="1">
      <c r="B786" s="602"/>
      <c r="C786" s="290" t="s">
        <v>12</v>
      </c>
      <c r="D786" s="1113" t="s">
        <v>730</v>
      </c>
      <c r="E786" s="1114"/>
      <c r="F786" s="1114"/>
      <c r="G786" s="1160"/>
      <c r="H786" s="1126"/>
      <c r="I786" s="306"/>
    </row>
    <row r="787" spans="2:9" s="580" customFormat="1" ht="14.1" customHeight="1">
      <c r="B787" s="602"/>
      <c r="C787" s="290" t="s">
        <v>13</v>
      </c>
      <c r="D787" s="1116" t="s">
        <v>816</v>
      </c>
      <c r="E787" s="1117"/>
      <c r="F787" s="1118"/>
      <c r="G787" s="1113" t="s">
        <v>740</v>
      </c>
      <c r="H787" s="1115"/>
      <c r="I787" s="306"/>
    </row>
    <row r="788" spans="2:9" s="580" customFormat="1" ht="14.1" customHeight="1" thickBot="1">
      <c r="B788" s="602"/>
      <c r="C788" s="291" t="s">
        <v>14</v>
      </c>
      <c r="D788" s="1119" t="s">
        <v>817</v>
      </c>
      <c r="E788" s="1120"/>
      <c r="F788" s="1120"/>
      <c r="G788" s="1120"/>
      <c r="H788" s="1121"/>
      <c r="I788" s="307"/>
    </row>
    <row r="789" spans="2:9" s="580" customFormat="1" ht="14.1" customHeight="1">
      <c r="B789" s="602"/>
      <c r="H789" s="316"/>
      <c r="I789" s="316"/>
    </row>
    <row r="790" spans="2:9" s="597" customFormat="1" ht="15.95" customHeight="1" thickBot="1">
      <c r="B790" s="598">
        <v>39</v>
      </c>
      <c r="C790" s="572" t="s">
        <v>1217</v>
      </c>
      <c r="H790" s="599"/>
      <c r="I790" s="599"/>
    </row>
    <row r="791" spans="2:9" s="580" customFormat="1" ht="35.1" customHeight="1" thickBot="1">
      <c r="B791" s="602"/>
      <c r="C791" s="334" t="s">
        <v>840</v>
      </c>
      <c r="D791" s="335" t="s">
        <v>841</v>
      </c>
      <c r="E791" s="335" t="s">
        <v>842</v>
      </c>
      <c r="F791" s="335" t="s">
        <v>843</v>
      </c>
      <c r="G791" s="335" t="s">
        <v>844</v>
      </c>
      <c r="H791" s="335" t="s">
        <v>845</v>
      </c>
      <c r="I791" s="337" t="s">
        <v>846</v>
      </c>
    </row>
    <row r="792" spans="2:9" s="580" customFormat="1" ht="14.1" customHeight="1">
      <c r="B792" s="602"/>
      <c r="C792" s="491" t="s">
        <v>7</v>
      </c>
      <c r="D792" s="365" t="s">
        <v>810</v>
      </c>
      <c r="E792" s="382"/>
      <c r="F792" s="382"/>
      <c r="G792" s="382"/>
      <c r="H792" s="382"/>
      <c r="I792" s="384"/>
    </row>
    <row r="793" spans="2:9" s="580" customFormat="1" ht="14.1" customHeight="1">
      <c r="B793" s="602"/>
      <c r="C793" s="758"/>
      <c r="D793" s="365" t="s">
        <v>10</v>
      </c>
      <c r="E793" s="351" t="s">
        <v>16</v>
      </c>
      <c r="F793" s="351" t="s">
        <v>726</v>
      </c>
      <c r="G793" s="396">
        <v>0.09</v>
      </c>
      <c r="H793" s="382"/>
      <c r="I793" s="384"/>
    </row>
    <row r="794" spans="2:9" s="580" customFormat="1" ht="14.1" customHeight="1">
      <c r="B794" s="602"/>
      <c r="C794" s="758"/>
      <c r="D794" s="365" t="s">
        <v>143</v>
      </c>
      <c r="E794" s="351" t="s">
        <v>22</v>
      </c>
      <c r="F794" s="351" t="s">
        <v>726</v>
      </c>
      <c r="G794" s="396">
        <v>0.09</v>
      </c>
      <c r="H794" s="382"/>
      <c r="I794" s="384"/>
    </row>
    <row r="795" spans="2:9" s="580" customFormat="1" ht="14.1" customHeight="1">
      <c r="B795" s="602"/>
      <c r="C795" s="758"/>
      <c r="D795" s="365" t="s">
        <v>20</v>
      </c>
      <c r="E795" s="351" t="s">
        <v>21</v>
      </c>
      <c r="F795" s="351" t="s">
        <v>726</v>
      </c>
      <c r="G795" s="352">
        <v>3.5000000000000003E-2</v>
      </c>
      <c r="H795" s="382"/>
      <c r="I795" s="384"/>
    </row>
    <row r="796" spans="2:9" s="580" customFormat="1" ht="14.1" customHeight="1">
      <c r="B796" s="602"/>
      <c r="C796" s="759"/>
      <c r="D796" s="387" t="s">
        <v>11</v>
      </c>
      <c r="E796" s="354" t="s">
        <v>17</v>
      </c>
      <c r="F796" s="354" t="s">
        <v>726</v>
      </c>
      <c r="G796" s="355">
        <v>5.0000000000000001E-3</v>
      </c>
      <c r="H796" s="388"/>
      <c r="I796" s="389"/>
    </row>
    <row r="797" spans="2:9" s="580" customFormat="1" ht="14.1" customHeight="1">
      <c r="B797" s="602"/>
      <c r="C797" s="760"/>
      <c r="D797" s="440"/>
      <c r="E797" s="440"/>
      <c r="F797" s="440"/>
      <c r="G797" s="1027" t="s">
        <v>727</v>
      </c>
      <c r="H797" s="1028"/>
      <c r="I797" s="395"/>
    </row>
    <row r="798" spans="2:9" s="580" customFormat="1" ht="14.1" customHeight="1">
      <c r="B798" s="602"/>
      <c r="C798" s="457" t="s">
        <v>8</v>
      </c>
      <c r="D798" s="458" t="s">
        <v>811</v>
      </c>
      <c r="E798" s="393"/>
      <c r="F798" s="393"/>
      <c r="G798" s="393"/>
      <c r="H798" s="393"/>
      <c r="I798" s="436"/>
    </row>
    <row r="799" spans="2:9" s="580" customFormat="1" ht="14.1" customHeight="1">
      <c r="B799" s="602"/>
      <c r="C799" s="758"/>
      <c r="D799" s="365" t="s">
        <v>1182</v>
      </c>
      <c r="E799" s="382"/>
      <c r="F799" s="351" t="s">
        <v>1163</v>
      </c>
      <c r="G799" s="396">
        <v>5.3</v>
      </c>
      <c r="H799" s="382"/>
      <c r="I799" s="384"/>
    </row>
    <row r="800" spans="2:9" s="580" customFormat="1" ht="14.1" customHeight="1">
      <c r="B800" s="602"/>
      <c r="C800" s="758"/>
      <c r="D800" s="365" t="s">
        <v>806</v>
      </c>
      <c r="E800" s="382"/>
      <c r="F800" s="351" t="s">
        <v>734</v>
      </c>
      <c r="G800" s="396">
        <v>1.1399999999999999</v>
      </c>
      <c r="H800" s="382"/>
      <c r="I800" s="384"/>
    </row>
    <row r="801" spans="2:9" s="580" customFormat="1" ht="14.1" customHeight="1">
      <c r="B801" s="602"/>
      <c r="C801" s="758"/>
      <c r="D801" s="365" t="s">
        <v>211</v>
      </c>
      <c r="E801" s="382"/>
      <c r="F801" s="383" t="s">
        <v>1201</v>
      </c>
      <c r="G801" s="352">
        <v>3.0000000000000001E-3</v>
      </c>
      <c r="H801" s="382"/>
      <c r="I801" s="384"/>
    </row>
    <row r="802" spans="2:9" s="580" customFormat="1" ht="14.1" customHeight="1">
      <c r="B802" s="602"/>
      <c r="C802" s="759"/>
      <c r="D802" s="387" t="s">
        <v>406</v>
      </c>
      <c r="E802" s="388"/>
      <c r="F802" s="354" t="s">
        <v>734</v>
      </c>
      <c r="G802" s="355">
        <v>2.5000000000000001E-2</v>
      </c>
      <c r="H802" s="388"/>
      <c r="I802" s="389"/>
    </row>
    <row r="803" spans="2:9" s="580" customFormat="1" ht="14.1" customHeight="1">
      <c r="B803" s="602"/>
      <c r="C803" s="760"/>
      <c r="D803" s="440"/>
      <c r="E803" s="440"/>
      <c r="F803" s="440"/>
      <c r="G803" s="1027" t="s">
        <v>728</v>
      </c>
      <c r="H803" s="1028"/>
      <c r="I803" s="395"/>
    </row>
    <row r="804" spans="2:9" s="580" customFormat="1" ht="14.1" customHeight="1">
      <c r="B804" s="602"/>
      <c r="C804" s="457" t="s">
        <v>9</v>
      </c>
      <c r="D804" s="458" t="s">
        <v>815</v>
      </c>
      <c r="E804" s="393"/>
      <c r="F804" s="393"/>
      <c r="G804" s="393"/>
      <c r="H804" s="393"/>
      <c r="I804" s="436"/>
    </row>
    <row r="805" spans="2:9" s="580" customFormat="1" ht="14.1" customHeight="1">
      <c r="B805" s="602"/>
      <c r="C805" s="759"/>
      <c r="D805" s="388"/>
      <c r="E805" s="388"/>
      <c r="F805" s="388"/>
      <c r="G805" s="388"/>
      <c r="H805" s="388"/>
      <c r="I805" s="389"/>
    </row>
    <row r="806" spans="2:9" s="580" customFormat="1" ht="14.1" customHeight="1">
      <c r="B806" s="602"/>
      <c r="C806" s="760"/>
      <c r="D806" s="440"/>
      <c r="E806" s="440"/>
      <c r="F806" s="440"/>
      <c r="G806" s="1043" t="s">
        <v>729</v>
      </c>
      <c r="H806" s="1043"/>
      <c r="I806" s="395"/>
    </row>
    <row r="807" spans="2:9" s="580" customFormat="1" ht="14.1" customHeight="1">
      <c r="B807" s="602"/>
      <c r="C807" s="377" t="s">
        <v>12</v>
      </c>
      <c r="D807" s="1039" t="s">
        <v>730</v>
      </c>
      <c r="E807" s="1035"/>
      <c r="F807" s="1035"/>
      <c r="G807" s="1035"/>
      <c r="H807" s="1051"/>
      <c r="I807" s="403"/>
    </row>
    <row r="808" spans="2:9" s="580" customFormat="1" ht="14.1" customHeight="1">
      <c r="B808" s="602"/>
      <c r="C808" s="377" t="s">
        <v>13</v>
      </c>
      <c r="D808" s="1036" t="s">
        <v>816</v>
      </c>
      <c r="E808" s="1037"/>
      <c r="F808" s="1038"/>
      <c r="G808" s="1039" t="s">
        <v>740</v>
      </c>
      <c r="H808" s="1051"/>
      <c r="I808" s="403"/>
    </row>
    <row r="809" spans="2:9" s="580" customFormat="1" ht="14.1" customHeight="1" thickBot="1">
      <c r="B809" s="602"/>
      <c r="C809" s="456" t="s">
        <v>14</v>
      </c>
      <c r="D809" s="1029" t="s">
        <v>817</v>
      </c>
      <c r="E809" s="1030"/>
      <c r="F809" s="1030"/>
      <c r="G809" s="1030"/>
      <c r="H809" s="1031"/>
      <c r="I809" s="404"/>
    </row>
    <row r="810" spans="2:9" s="597" customFormat="1" ht="15.95" customHeight="1" thickBot="1">
      <c r="B810" s="598">
        <v>40</v>
      </c>
      <c r="C810" s="572" t="s">
        <v>1218</v>
      </c>
      <c r="H810" s="599"/>
      <c r="I810" s="599"/>
    </row>
    <row r="811" spans="2:9" s="580" customFormat="1" ht="35.1" customHeight="1" thickBot="1">
      <c r="B811" s="602"/>
      <c r="C811" s="334" t="s">
        <v>840</v>
      </c>
      <c r="D811" s="335" t="s">
        <v>841</v>
      </c>
      <c r="E811" s="335" t="s">
        <v>842</v>
      </c>
      <c r="F811" s="335" t="s">
        <v>843</v>
      </c>
      <c r="G811" s="335" t="s">
        <v>844</v>
      </c>
      <c r="H811" s="335" t="s">
        <v>845</v>
      </c>
      <c r="I811" s="337" t="s">
        <v>846</v>
      </c>
    </row>
    <row r="812" spans="2:9" s="580" customFormat="1" ht="14.1" customHeight="1">
      <c r="B812" s="602"/>
      <c r="C812" s="543" t="s">
        <v>7</v>
      </c>
      <c r="D812" s="289" t="s">
        <v>810</v>
      </c>
      <c r="E812" s="299"/>
      <c r="F812" s="299"/>
      <c r="G812" s="299"/>
      <c r="H812" s="299"/>
      <c r="I812" s="300"/>
    </row>
    <row r="813" spans="2:9" s="580" customFormat="1" ht="14.1" customHeight="1">
      <c r="B813" s="602"/>
      <c r="C813" s="753"/>
      <c r="D813" s="289" t="s">
        <v>10</v>
      </c>
      <c r="E813" s="285" t="s">
        <v>16</v>
      </c>
      <c r="F813" s="285" t="s">
        <v>726</v>
      </c>
      <c r="G813" s="749">
        <v>0.09</v>
      </c>
      <c r="H813" s="299"/>
      <c r="I813" s="300"/>
    </row>
    <row r="814" spans="2:9" s="580" customFormat="1" ht="14.1" customHeight="1">
      <c r="B814" s="602"/>
      <c r="C814" s="753"/>
      <c r="D814" s="289" t="s">
        <v>143</v>
      </c>
      <c r="E814" s="285" t="s">
        <v>22</v>
      </c>
      <c r="F814" s="285" t="s">
        <v>726</v>
      </c>
      <c r="G814" s="749">
        <v>0.09</v>
      </c>
      <c r="H814" s="299"/>
      <c r="I814" s="300"/>
    </row>
    <row r="815" spans="2:9" s="580" customFormat="1" ht="14.1" customHeight="1">
      <c r="B815" s="602"/>
      <c r="C815" s="753"/>
      <c r="D815" s="289" t="s">
        <v>20</v>
      </c>
      <c r="E815" s="285" t="s">
        <v>21</v>
      </c>
      <c r="F815" s="285" t="s">
        <v>726</v>
      </c>
      <c r="G815" s="286">
        <v>3.5000000000000003E-2</v>
      </c>
      <c r="H815" s="299"/>
      <c r="I815" s="300"/>
    </row>
    <row r="816" spans="2:9" s="580" customFormat="1" ht="14.1" customHeight="1">
      <c r="B816" s="602"/>
      <c r="C816" s="754"/>
      <c r="D816" s="177" t="s">
        <v>11</v>
      </c>
      <c r="E816" s="287" t="s">
        <v>17</v>
      </c>
      <c r="F816" s="287" t="s">
        <v>726</v>
      </c>
      <c r="G816" s="288">
        <v>5.0000000000000001E-3</v>
      </c>
      <c r="H816" s="302"/>
      <c r="I816" s="303"/>
    </row>
    <row r="817" spans="2:9" s="580" customFormat="1" ht="14.1" customHeight="1">
      <c r="B817" s="602"/>
      <c r="C817" s="755"/>
      <c r="D817" s="316"/>
      <c r="E817" s="316"/>
      <c r="F817" s="316"/>
      <c r="G817" s="1155" t="s">
        <v>727</v>
      </c>
      <c r="H817" s="1156"/>
      <c r="I817" s="631"/>
    </row>
    <row r="818" spans="2:9" s="580" customFormat="1" ht="14.1" customHeight="1">
      <c r="B818" s="602"/>
      <c r="C818" s="292" t="s">
        <v>8</v>
      </c>
      <c r="D818" s="293" t="s">
        <v>811</v>
      </c>
      <c r="E818" s="296"/>
      <c r="F818" s="296"/>
      <c r="G818" s="296"/>
      <c r="H818" s="296"/>
      <c r="I818" s="297"/>
    </row>
    <row r="819" spans="2:9" s="580" customFormat="1" ht="14.1" customHeight="1">
      <c r="B819" s="602"/>
      <c r="C819" s="753"/>
      <c r="D819" s="289" t="s">
        <v>1182</v>
      </c>
      <c r="E819" s="299"/>
      <c r="F819" s="285" t="s">
        <v>1163</v>
      </c>
      <c r="G819" s="749">
        <v>10.6</v>
      </c>
      <c r="H819" s="299"/>
      <c r="I819" s="300"/>
    </row>
    <row r="820" spans="2:9" s="580" customFormat="1" ht="14.1" customHeight="1">
      <c r="B820" s="602"/>
      <c r="C820" s="753"/>
      <c r="D820" s="289" t="s">
        <v>806</v>
      </c>
      <c r="E820" s="299"/>
      <c r="F820" s="285" t="s">
        <v>734</v>
      </c>
      <c r="G820" s="749">
        <v>1.1399999999999999</v>
      </c>
      <c r="H820" s="299"/>
      <c r="I820" s="300"/>
    </row>
    <row r="821" spans="2:9" s="580" customFormat="1" ht="14.1" customHeight="1">
      <c r="B821" s="602"/>
      <c r="C821" s="753"/>
      <c r="D821" s="289" t="s">
        <v>211</v>
      </c>
      <c r="E821" s="299"/>
      <c r="F821" s="581" t="s">
        <v>1201</v>
      </c>
      <c r="G821" s="286">
        <v>3.0000000000000001E-3</v>
      </c>
      <c r="H821" s="299"/>
      <c r="I821" s="300"/>
    </row>
    <row r="822" spans="2:9" s="580" customFormat="1" ht="14.1" customHeight="1">
      <c r="B822" s="602"/>
      <c r="C822" s="754"/>
      <c r="D822" s="177" t="s">
        <v>406</v>
      </c>
      <c r="E822" s="302"/>
      <c r="F822" s="287" t="s">
        <v>734</v>
      </c>
      <c r="G822" s="617">
        <v>0.05</v>
      </c>
      <c r="H822" s="302"/>
      <c r="I822" s="303"/>
    </row>
    <row r="823" spans="2:9" s="580" customFormat="1" ht="14.1" customHeight="1">
      <c r="B823" s="602"/>
      <c r="C823" s="755"/>
      <c r="D823" s="316"/>
      <c r="E823" s="316"/>
      <c r="F823" s="316"/>
      <c r="G823" s="1155" t="s">
        <v>728</v>
      </c>
      <c r="H823" s="1156"/>
      <c r="I823" s="631"/>
    </row>
    <row r="824" spans="2:9" s="580" customFormat="1" ht="14.1" customHeight="1">
      <c r="B824" s="602"/>
      <c r="C824" s="292" t="s">
        <v>9</v>
      </c>
      <c r="D824" s="293" t="s">
        <v>815</v>
      </c>
      <c r="E824" s="296"/>
      <c r="F824" s="296"/>
      <c r="G824" s="296"/>
      <c r="H824" s="296"/>
      <c r="I824" s="297"/>
    </row>
    <row r="825" spans="2:9" s="580" customFormat="1" ht="14.1" customHeight="1">
      <c r="B825" s="602"/>
      <c r="C825" s="754"/>
      <c r="D825" s="302"/>
      <c r="E825" s="302"/>
      <c r="F825" s="302"/>
      <c r="G825" s="302"/>
      <c r="H825" s="302"/>
      <c r="I825" s="303"/>
    </row>
    <row r="826" spans="2:9" s="580" customFormat="1" ht="14.1" customHeight="1">
      <c r="B826" s="602"/>
      <c r="C826" s="779"/>
      <c r="D826" s="587"/>
      <c r="E826" s="587"/>
      <c r="F826" s="587"/>
      <c r="G826" s="1254" t="s">
        <v>729</v>
      </c>
      <c r="H826" s="1254"/>
      <c r="I826" s="584"/>
    </row>
    <row r="827" spans="2:9" s="580" customFormat="1" ht="14.1" customHeight="1">
      <c r="B827" s="602"/>
      <c r="C827" s="603" t="s">
        <v>12</v>
      </c>
      <c r="D827" s="1154" t="s">
        <v>730</v>
      </c>
      <c r="E827" s="1154"/>
      <c r="F827" s="1154"/>
      <c r="G827" s="1154"/>
      <c r="H827" s="1154"/>
      <c r="I827" s="584"/>
    </row>
    <row r="828" spans="2:9" s="580" customFormat="1" ht="14.1" customHeight="1">
      <c r="B828" s="602"/>
      <c r="C828" s="603" t="s">
        <v>13</v>
      </c>
      <c r="D828" s="1161" t="s">
        <v>816</v>
      </c>
      <c r="E828" s="1161"/>
      <c r="F828" s="1161"/>
      <c r="G828" s="1154" t="s">
        <v>740</v>
      </c>
      <c r="H828" s="1154"/>
      <c r="I828" s="584"/>
    </row>
    <row r="829" spans="2:9" s="580" customFormat="1" ht="14.1" customHeight="1" thickBot="1">
      <c r="B829" s="602"/>
      <c r="C829" s="604" t="s">
        <v>14</v>
      </c>
      <c r="D829" s="1162" t="s">
        <v>817</v>
      </c>
      <c r="E829" s="1162"/>
      <c r="F829" s="1162"/>
      <c r="G829" s="1162"/>
      <c r="H829" s="1162"/>
      <c r="I829" s="605"/>
    </row>
    <row r="830" spans="2:9" s="580" customFormat="1" ht="14.1" customHeight="1">
      <c r="B830" s="602"/>
      <c r="H830" s="316"/>
      <c r="I830" s="316"/>
    </row>
    <row r="831" spans="2:9" s="597" customFormat="1" ht="15.95" customHeight="1" thickBot="1">
      <c r="B831" s="598">
        <v>41</v>
      </c>
      <c r="C831" s="572" t="s">
        <v>1219</v>
      </c>
      <c r="H831" s="599"/>
      <c r="I831" s="599"/>
    </row>
    <row r="832" spans="2:9" s="580" customFormat="1" ht="35.1" customHeight="1" thickBot="1">
      <c r="B832" s="602"/>
      <c r="C832" s="334" t="s">
        <v>840</v>
      </c>
      <c r="D832" s="335" t="s">
        <v>841</v>
      </c>
      <c r="E832" s="335" t="s">
        <v>842</v>
      </c>
      <c r="F832" s="335" t="s">
        <v>843</v>
      </c>
      <c r="G832" s="335" t="s">
        <v>844</v>
      </c>
      <c r="H832" s="431" t="s">
        <v>845</v>
      </c>
      <c r="I832" s="337" t="s">
        <v>846</v>
      </c>
    </row>
    <row r="833" spans="2:9" s="580" customFormat="1" ht="14.1" customHeight="1">
      <c r="B833" s="602"/>
      <c r="C833" s="543" t="s">
        <v>7</v>
      </c>
      <c r="D833" s="289" t="s">
        <v>810</v>
      </c>
      <c r="E833" s="299"/>
      <c r="F833" s="299"/>
      <c r="G833" s="299"/>
      <c r="H833" s="299"/>
      <c r="I833" s="300"/>
    </row>
    <row r="834" spans="2:9" s="580" customFormat="1" ht="14.1" customHeight="1">
      <c r="B834" s="602"/>
      <c r="C834" s="753"/>
      <c r="D834" s="289" t="s">
        <v>10</v>
      </c>
      <c r="E834" s="285" t="s">
        <v>16</v>
      </c>
      <c r="F834" s="285" t="s">
        <v>726</v>
      </c>
      <c r="G834" s="749">
        <v>0.09</v>
      </c>
      <c r="H834" s="299"/>
      <c r="I834" s="300"/>
    </row>
    <row r="835" spans="2:9" s="580" customFormat="1" ht="14.1" customHeight="1">
      <c r="B835" s="602"/>
      <c r="C835" s="753"/>
      <c r="D835" s="289" t="s">
        <v>143</v>
      </c>
      <c r="E835" s="285" t="s">
        <v>22</v>
      </c>
      <c r="F835" s="285" t="s">
        <v>726</v>
      </c>
      <c r="G835" s="749">
        <v>0.09</v>
      </c>
      <c r="H835" s="299"/>
      <c r="I835" s="300"/>
    </row>
    <row r="836" spans="2:9" s="580" customFormat="1" ht="14.1" customHeight="1">
      <c r="B836" s="602"/>
      <c r="C836" s="753"/>
      <c r="D836" s="289" t="s">
        <v>20</v>
      </c>
      <c r="E836" s="285" t="s">
        <v>21</v>
      </c>
      <c r="F836" s="285" t="s">
        <v>726</v>
      </c>
      <c r="G836" s="286">
        <v>3.5000000000000003E-2</v>
      </c>
      <c r="H836" s="299"/>
      <c r="I836" s="300"/>
    </row>
    <row r="837" spans="2:9" s="580" customFormat="1" ht="14.1" customHeight="1">
      <c r="B837" s="602"/>
      <c r="C837" s="754"/>
      <c r="D837" s="177" t="s">
        <v>11</v>
      </c>
      <c r="E837" s="287" t="s">
        <v>17</v>
      </c>
      <c r="F837" s="287" t="s">
        <v>726</v>
      </c>
      <c r="G837" s="288">
        <v>5.0000000000000001E-3</v>
      </c>
      <c r="H837" s="302"/>
      <c r="I837" s="303"/>
    </row>
    <row r="838" spans="2:9" s="580" customFormat="1" ht="14.1" customHeight="1">
      <c r="B838" s="602"/>
      <c r="C838" s="755"/>
      <c r="D838" s="316"/>
      <c r="E838" s="316"/>
      <c r="F838" s="316"/>
      <c r="G838" s="1155" t="s">
        <v>727</v>
      </c>
      <c r="H838" s="1156"/>
      <c r="I838" s="631"/>
    </row>
    <row r="839" spans="2:9" s="580" customFormat="1" ht="14.1" customHeight="1">
      <c r="B839" s="602"/>
      <c r="C839" s="292" t="s">
        <v>8</v>
      </c>
      <c r="D839" s="293" t="s">
        <v>811</v>
      </c>
      <c r="E839" s="296"/>
      <c r="F839" s="296"/>
      <c r="G839" s="296"/>
      <c r="H839" s="296"/>
      <c r="I839" s="297"/>
    </row>
    <row r="840" spans="2:9" s="580" customFormat="1" ht="14.1" customHeight="1">
      <c r="B840" s="602"/>
      <c r="C840" s="753"/>
      <c r="D840" s="289" t="s">
        <v>1182</v>
      </c>
      <c r="E840" s="299"/>
      <c r="F840" s="285" t="s">
        <v>1163</v>
      </c>
      <c r="G840" s="749">
        <v>5.3</v>
      </c>
      <c r="H840" s="299"/>
      <c r="I840" s="300"/>
    </row>
    <row r="841" spans="2:9" s="580" customFormat="1" ht="14.1" customHeight="1">
      <c r="B841" s="602"/>
      <c r="C841" s="753"/>
      <c r="D841" s="289" t="s">
        <v>806</v>
      </c>
      <c r="E841" s="299"/>
      <c r="F841" s="285" t="s">
        <v>734</v>
      </c>
      <c r="G841" s="749">
        <v>0.56999999999999995</v>
      </c>
      <c r="H841" s="299"/>
      <c r="I841" s="300"/>
    </row>
    <row r="842" spans="2:9" s="580" customFormat="1" ht="14.1" customHeight="1">
      <c r="B842" s="602"/>
      <c r="C842" s="753"/>
      <c r="D842" s="289" t="s">
        <v>211</v>
      </c>
      <c r="E842" s="299"/>
      <c r="F842" s="581" t="s">
        <v>1201</v>
      </c>
      <c r="G842" s="621">
        <v>1.5E-3</v>
      </c>
      <c r="H842" s="299"/>
      <c r="I842" s="300"/>
    </row>
    <row r="843" spans="2:9" s="580" customFormat="1" ht="14.1" customHeight="1">
      <c r="B843" s="602"/>
      <c r="C843" s="754"/>
      <c r="D843" s="177" t="s">
        <v>406</v>
      </c>
      <c r="E843" s="302"/>
      <c r="F843" s="287" t="s">
        <v>734</v>
      </c>
      <c r="G843" s="288">
        <v>1.2999999999999999E-2</v>
      </c>
      <c r="H843" s="302"/>
      <c r="I843" s="303"/>
    </row>
    <row r="844" spans="2:9" s="580" customFormat="1" ht="14.1" customHeight="1">
      <c r="B844" s="602"/>
      <c r="C844" s="755"/>
      <c r="D844" s="316"/>
      <c r="E844" s="316"/>
      <c r="F844" s="316"/>
      <c r="G844" s="1155" t="s">
        <v>728</v>
      </c>
      <c r="H844" s="1156"/>
      <c r="I844" s="631"/>
    </row>
    <row r="845" spans="2:9" s="580" customFormat="1" ht="14.1" customHeight="1">
      <c r="B845" s="602"/>
      <c r="C845" s="292" t="s">
        <v>9</v>
      </c>
      <c r="D845" s="293" t="s">
        <v>815</v>
      </c>
      <c r="E845" s="296"/>
      <c r="F845" s="296"/>
      <c r="G845" s="296"/>
      <c r="H845" s="296"/>
      <c r="I845" s="297"/>
    </row>
    <row r="846" spans="2:9" s="580" customFormat="1" ht="14.1" customHeight="1">
      <c r="B846" s="602"/>
      <c r="C846" s="754"/>
      <c r="D846" s="302"/>
      <c r="E846" s="302"/>
      <c r="F846" s="302"/>
      <c r="G846" s="302"/>
      <c r="H846" s="302"/>
      <c r="I846" s="303"/>
    </row>
    <row r="847" spans="2:9" s="580" customFormat="1" ht="14.1" customHeight="1">
      <c r="B847" s="602"/>
      <c r="C847" s="755"/>
      <c r="D847" s="316"/>
      <c r="E847" s="316"/>
      <c r="F847" s="316"/>
      <c r="G847" s="1204" t="s">
        <v>729</v>
      </c>
      <c r="H847" s="1204"/>
      <c r="I847" s="631"/>
    </row>
    <row r="848" spans="2:9" s="580" customFormat="1" ht="14.1" customHeight="1">
      <c r="B848" s="602"/>
      <c r="C848" s="290" t="s">
        <v>12</v>
      </c>
      <c r="D848" s="1113" t="s">
        <v>730</v>
      </c>
      <c r="E848" s="1114"/>
      <c r="F848" s="1114"/>
      <c r="G848" s="1114"/>
      <c r="H848" s="1114"/>
      <c r="I848" s="306"/>
    </row>
    <row r="849" spans="2:9" s="580" customFormat="1" ht="14.1" customHeight="1">
      <c r="B849" s="602"/>
      <c r="C849" s="290" t="s">
        <v>13</v>
      </c>
      <c r="D849" s="1116" t="s">
        <v>816</v>
      </c>
      <c r="E849" s="1117"/>
      <c r="F849" s="1118"/>
      <c r="G849" s="1113" t="s">
        <v>740</v>
      </c>
      <c r="H849" s="1114"/>
      <c r="I849" s="306"/>
    </row>
    <row r="850" spans="2:9" s="580" customFormat="1" ht="14.1" customHeight="1" thickBot="1">
      <c r="B850" s="602"/>
      <c r="C850" s="291" t="s">
        <v>14</v>
      </c>
      <c r="D850" s="1119" t="s">
        <v>817</v>
      </c>
      <c r="E850" s="1120"/>
      <c r="F850" s="1120"/>
      <c r="G850" s="1120"/>
      <c r="H850" s="1120"/>
      <c r="I850" s="307"/>
    </row>
    <row r="851" spans="2:9" s="580" customFormat="1" ht="14.1" customHeight="1">
      <c r="B851" s="602"/>
      <c r="C851" s="623"/>
      <c r="D851" s="576"/>
      <c r="E851" s="576"/>
      <c r="F851" s="576"/>
      <c r="G851" s="576"/>
      <c r="H851" s="915"/>
      <c r="I851" s="316"/>
    </row>
    <row r="852" spans="2:9" s="597" customFormat="1" ht="15.95" customHeight="1" thickBot="1">
      <c r="B852" s="598">
        <v>42</v>
      </c>
      <c r="C852" s="572" t="s">
        <v>1244</v>
      </c>
      <c r="H852" s="599"/>
      <c r="I852" s="599"/>
    </row>
    <row r="853" spans="2:9" s="580" customFormat="1" ht="35.1" customHeight="1" thickBot="1">
      <c r="B853" s="602"/>
      <c r="C853" s="334" t="s">
        <v>840</v>
      </c>
      <c r="D853" s="335" t="s">
        <v>841</v>
      </c>
      <c r="E853" s="335" t="s">
        <v>842</v>
      </c>
      <c r="F853" s="335" t="s">
        <v>843</v>
      </c>
      <c r="G853" s="335" t="s">
        <v>844</v>
      </c>
      <c r="H853" s="431" t="s">
        <v>845</v>
      </c>
      <c r="I853" s="337" t="s">
        <v>846</v>
      </c>
    </row>
    <row r="854" spans="2:9" s="580" customFormat="1" ht="14.1" customHeight="1">
      <c r="B854" s="602"/>
      <c r="C854" s="543" t="s">
        <v>7</v>
      </c>
      <c r="D854" s="289" t="s">
        <v>810</v>
      </c>
      <c r="E854" s="299"/>
      <c r="F854" s="299"/>
      <c r="G854" s="299"/>
      <c r="H854" s="299"/>
      <c r="I854" s="300"/>
    </row>
    <row r="855" spans="2:9" s="580" customFormat="1" ht="14.1" customHeight="1">
      <c r="B855" s="602"/>
      <c r="C855" s="753"/>
      <c r="D855" s="289" t="s">
        <v>10</v>
      </c>
      <c r="E855" s="285" t="s">
        <v>16</v>
      </c>
      <c r="F855" s="285" t="s">
        <v>726</v>
      </c>
      <c r="G855" s="749">
        <v>0.75</v>
      </c>
      <c r="H855" s="299"/>
      <c r="I855" s="300"/>
    </row>
    <row r="856" spans="2:9" s="580" customFormat="1" ht="14.1" customHeight="1">
      <c r="B856" s="602"/>
      <c r="C856" s="753"/>
      <c r="D856" s="289" t="s">
        <v>143</v>
      </c>
      <c r="E856" s="285" t="s">
        <v>22</v>
      </c>
      <c r="F856" s="285" t="s">
        <v>726</v>
      </c>
      <c r="G856" s="749">
        <v>0.75</v>
      </c>
      <c r="H856" s="299"/>
      <c r="I856" s="300"/>
    </row>
    <row r="857" spans="2:9" s="580" customFormat="1" ht="14.1" customHeight="1">
      <c r="B857" s="602"/>
      <c r="C857" s="753"/>
      <c r="D857" s="289" t="s">
        <v>20</v>
      </c>
      <c r="E857" s="285" t="s">
        <v>21</v>
      </c>
      <c r="F857" s="285" t="s">
        <v>726</v>
      </c>
      <c r="G857" s="286">
        <v>7.4999999999999997E-2</v>
      </c>
      <c r="H857" s="299"/>
      <c r="I857" s="300"/>
    </row>
    <row r="858" spans="2:9" s="580" customFormat="1" ht="14.1" customHeight="1">
      <c r="B858" s="602"/>
      <c r="C858" s="754"/>
      <c r="D858" s="177" t="s">
        <v>11</v>
      </c>
      <c r="E858" s="287" t="s">
        <v>17</v>
      </c>
      <c r="F858" s="287" t="s">
        <v>726</v>
      </c>
      <c r="G858" s="288">
        <v>3.7999999999999999E-2</v>
      </c>
      <c r="H858" s="302"/>
      <c r="I858" s="303"/>
    </row>
    <row r="859" spans="2:9" s="580" customFormat="1" ht="14.1" customHeight="1">
      <c r="B859" s="602"/>
      <c r="C859" s="755"/>
      <c r="D859" s="316"/>
      <c r="E859" s="316"/>
      <c r="F859" s="316"/>
      <c r="G859" s="1155" t="s">
        <v>727</v>
      </c>
      <c r="H859" s="1156"/>
      <c r="I859" s="631"/>
    </row>
    <row r="860" spans="2:9" s="580" customFormat="1" ht="14.1" customHeight="1">
      <c r="B860" s="602"/>
      <c r="C860" s="292" t="s">
        <v>8</v>
      </c>
      <c r="D860" s="293" t="s">
        <v>811</v>
      </c>
      <c r="E860" s="296"/>
      <c r="F860" s="296"/>
      <c r="G860" s="299"/>
      <c r="H860" s="316"/>
      <c r="I860" s="297"/>
    </row>
    <row r="861" spans="2:9" s="580" customFormat="1" ht="14.1" customHeight="1">
      <c r="B861" s="602"/>
      <c r="C861" s="753"/>
      <c r="D861" s="761" t="s">
        <v>1183</v>
      </c>
      <c r="E861" s="299"/>
      <c r="F861" s="285" t="s">
        <v>1163</v>
      </c>
      <c r="G861" s="749">
        <v>5.3</v>
      </c>
      <c r="H861" s="316"/>
      <c r="I861" s="300"/>
    </row>
    <row r="862" spans="2:9" s="580" customFormat="1" ht="14.1" customHeight="1">
      <c r="B862" s="602"/>
      <c r="C862" s="753"/>
      <c r="D862" s="289" t="s">
        <v>806</v>
      </c>
      <c r="E862" s="299"/>
      <c r="F862" s="285" t="s">
        <v>734</v>
      </c>
      <c r="G862" s="749">
        <v>1.1399999999999999</v>
      </c>
      <c r="H862" s="316"/>
      <c r="I862" s="300"/>
    </row>
    <row r="863" spans="2:9" s="580" customFormat="1" ht="14.1" customHeight="1">
      <c r="B863" s="602"/>
      <c r="C863" s="753"/>
      <c r="D863" s="289" t="s">
        <v>211</v>
      </c>
      <c r="E863" s="299"/>
      <c r="F863" s="581" t="s">
        <v>1201</v>
      </c>
      <c r="G863" s="286">
        <v>3.0000000000000001E-3</v>
      </c>
      <c r="H863" s="316"/>
      <c r="I863" s="300"/>
    </row>
    <row r="864" spans="2:9" s="580" customFormat="1" ht="14.1" customHeight="1">
      <c r="B864" s="602"/>
      <c r="C864" s="754"/>
      <c r="D864" s="177" t="s">
        <v>406</v>
      </c>
      <c r="E864" s="302"/>
      <c r="F864" s="287" t="s">
        <v>734</v>
      </c>
      <c r="G864" s="749">
        <v>0.1</v>
      </c>
      <c r="H864" s="316"/>
      <c r="I864" s="303"/>
    </row>
    <row r="865" spans="2:9" s="580" customFormat="1" ht="14.1" customHeight="1">
      <c r="B865" s="602"/>
      <c r="C865" s="755"/>
      <c r="D865" s="316"/>
      <c r="E865" s="316"/>
      <c r="F865" s="316"/>
      <c r="G865" s="1155" t="s">
        <v>728</v>
      </c>
      <c r="H865" s="1156"/>
      <c r="I865" s="631"/>
    </row>
    <row r="866" spans="2:9" s="580" customFormat="1" ht="14.1" customHeight="1">
      <c r="B866" s="602"/>
      <c r="C866" s="292" t="s">
        <v>9</v>
      </c>
      <c r="D866" s="293" t="s">
        <v>815</v>
      </c>
      <c r="E866" s="296"/>
      <c r="F866" s="296"/>
      <c r="G866" s="296"/>
      <c r="H866" s="296"/>
      <c r="I866" s="297"/>
    </row>
    <row r="867" spans="2:9" s="580" customFormat="1" ht="14.1" customHeight="1">
      <c r="B867" s="602"/>
      <c r="C867" s="754"/>
      <c r="D867" s="302"/>
      <c r="E867" s="302"/>
      <c r="F867" s="302"/>
      <c r="G867" s="302"/>
      <c r="H867" s="302"/>
      <c r="I867" s="303"/>
    </row>
    <row r="868" spans="2:9" s="580" customFormat="1" ht="14.1" customHeight="1">
      <c r="B868" s="602"/>
      <c r="C868" s="779"/>
      <c r="D868" s="587"/>
      <c r="E868" s="587"/>
      <c r="F868" s="587"/>
      <c r="G868" s="1254" t="s">
        <v>729</v>
      </c>
      <c r="H868" s="1254"/>
      <c r="I868" s="584"/>
    </row>
    <row r="869" spans="2:9" s="580" customFormat="1" ht="14.1" customHeight="1">
      <c r="B869" s="602"/>
      <c r="C869" s="603" t="s">
        <v>12</v>
      </c>
      <c r="D869" s="1154" t="s">
        <v>730</v>
      </c>
      <c r="E869" s="1154"/>
      <c r="F869" s="1154"/>
      <c r="G869" s="1154"/>
      <c r="H869" s="1154"/>
      <c r="I869" s="584"/>
    </row>
    <row r="870" spans="2:9" s="580" customFormat="1" ht="14.1" customHeight="1">
      <c r="B870" s="602"/>
      <c r="C870" s="603" t="s">
        <v>13</v>
      </c>
      <c r="D870" s="1161" t="s">
        <v>816</v>
      </c>
      <c r="E870" s="1161"/>
      <c r="F870" s="1161"/>
      <c r="G870" s="1154" t="s">
        <v>740</v>
      </c>
      <c r="H870" s="1154"/>
      <c r="I870" s="584"/>
    </row>
    <row r="871" spans="2:9" s="580" customFormat="1" ht="14.1" customHeight="1" thickBot="1">
      <c r="B871" s="602"/>
      <c r="C871" s="604" t="s">
        <v>14</v>
      </c>
      <c r="D871" s="1162" t="s">
        <v>817</v>
      </c>
      <c r="E871" s="1162"/>
      <c r="F871" s="1162"/>
      <c r="G871" s="1162"/>
      <c r="H871" s="1162"/>
      <c r="I871" s="605"/>
    </row>
    <row r="872" spans="2:9" s="567" customFormat="1" ht="15.95" customHeight="1" thickBot="1">
      <c r="B872" s="598">
        <v>43</v>
      </c>
      <c r="C872" s="566" t="s">
        <v>1245</v>
      </c>
      <c r="H872" s="568"/>
      <c r="I872" s="568"/>
    </row>
    <row r="873" spans="2:9" s="580" customFormat="1" ht="35.1" customHeight="1" thickBot="1">
      <c r="B873" s="602"/>
      <c r="C873" s="334" t="s">
        <v>840</v>
      </c>
      <c r="D873" s="335" t="s">
        <v>841</v>
      </c>
      <c r="E873" s="335" t="s">
        <v>842</v>
      </c>
      <c r="F873" s="335" t="s">
        <v>843</v>
      </c>
      <c r="G873" s="431" t="s">
        <v>844</v>
      </c>
      <c r="H873" s="335" t="s">
        <v>845</v>
      </c>
      <c r="I873" s="337" t="s">
        <v>846</v>
      </c>
    </row>
    <row r="874" spans="2:9" s="580" customFormat="1" ht="14.1" customHeight="1">
      <c r="B874" s="602"/>
      <c r="C874" s="543" t="s">
        <v>7</v>
      </c>
      <c r="D874" s="289" t="s">
        <v>810</v>
      </c>
      <c r="E874" s="299"/>
      <c r="F874" s="299"/>
      <c r="G874" s="299"/>
      <c r="H874" s="299"/>
      <c r="I874" s="300"/>
    </row>
    <row r="875" spans="2:9" s="580" customFormat="1" ht="14.1" customHeight="1">
      <c r="B875" s="602"/>
      <c r="C875" s="753"/>
      <c r="D875" s="289" t="s">
        <v>10</v>
      </c>
      <c r="E875" s="285" t="s">
        <v>16</v>
      </c>
      <c r="F875" s="285" t="s">
        <v>726</v>
      </c>
      <c r="G875" s="749">
        <v>0.7</v>
      </c>
      <c r="H875" s="299"/>
      <c r="I875" s="300"/>
    </row>
    <row r="876" spans="2:9" s="580" customFormat="1" ht="14.1" customHeight="1">
      <c r="B876" s="602"/>
      <c r="C876" s="753"/>
      <c r="D876" s="289" t="s">
        <v>143</v>
      </c>
      <c r="E876" s="285" t="s">
        <v>22</v>
      </c>
      <c r="F876" s="285" t="s">
        <v>726</v>
      </c>
      <c r="G876" s="749">
        <v>0.35</v>
      </c>
      <c r="H876" s="299"/>
      <c r="I876" s="300"/>
    </row>
    <row r="877" spans="2:9" s="580" customFormat="1" ht="14.1" customHeight="1">
      <c r="B877" s="602"/>
      <c r="C877" s="753"/>
      <c r="D877" s="289" t="s">
        <v>20</v>
      </c>
      <c r="E877" s="285" t="s">
        <v>21</v>
      </c>
      <c r="F877" s="285" t="s">
        <v>726</v>
      </c>
      <c r="G877" s="286">
        <v>3.5000000000000003E-2</v>
      </c>
      <c r="H877" s="299"/>
      <c r="I877" s="300"/>
    </row>
    <row r="878" spans="2:9" s="580" customFormat="1" ht="14.1" customHeight="1">
      <c r="B878" s="602"/>
      <c r="C878" s="754"/>
      <c r="D878" s="177" t="s">
        <v>11</v>
      </c>
      <c r="E878" s="287" t="s">
        <v>17</v>
      </c>
      <c r="F878" s="287" t="s">
        <v>726</v>
      </c>
      <c r="G878" s="288">
        <v>3.5000000000000003E-2</v>
      </c>
      <c r="H878" s="302"/>
      <c r="I878" s="303"/>
    </row>
    <row r="879" spans="2:9" s="580" customFormat="1" ht="14.1" customHeight="1">
      <c r="B879" s="602"/>
      <c r="C879" s="755"/>
      <c r="D879" s="316"/>
      <c r="E879" s="316"/>
      <c r="F879" s="316"/>
      <c r="G879" s="1155" t="s">
        <v>727</v>
      </c>
      <c r="H879" s="1156"/>
      <c r="I879" s="631"/>
    </row>
    <row r="880" spans="2:9" s="580" customFormat="1" ht="14.1" customHeight="1">
      <c r="B880" s="602"/>
      <c r="C880" s="292" t="s">
        <v>8</v>
      </c>
      <c r="D880" s="293" t="s">
        <v>811</v>
      </c>
      <c r="E880" s="296"/>
      <c r="F880" s="296"/>
      <c r="G880" s="296"/>
      <c r="H880" s="296"/>
      <c r="I880" s="297"/>
    </row>
    <row r="881" spans="2:9" s="580" customFormat="1" ht="14.1" customHeight="1">
      <c r="B881" s="602"/>
      <c r="C881" s="753"/>
      <c r="D881" s="289" t="s">
        <v>1184</v>
      </c>
      <c r="E881" s="299"/>
      <c r="F881" s="285" t="s">
        <v>1163</v>
      </c>
      <c r="G881" s="749">
        <v>1.06</v>
      </c>
      <c r="H881" s="299"/>
      <c r="I881" s="300"/>
    </row>
    <row r="882" spans="2:9" s="580" customFormat="1" ht="14.1" customHeight="1">
      <c r="B882" s="602"/>
      <c r="C882" s="753"/>
      <c r="D882" s="289" t="s">
        <v>806</v>
      </c>
      <c r="E882" s="299"/>
      <c r="F882" s="285" t="s">
        <v>734</v>
      </c>
      <c r="G882" s="749">
        <v>8.19</v>
      </c>
      <c r="H882" s="299"/>
      <c r="I882" s="300"/>
    </row>
    <row r="883" spans="2:9" s="580" customFormat="1" ht="14.1" customHeight="1">
      <c r="B883" s="602"/>
      <c r="C883" s="753"/>
      <c r="D883" s="289" t="s">
        <v>211</v>
      </c>
      <c r="E883" s="299"/>
      <c r="F883" s="581" t="s">
        <v>1201</v>
      </c>
      <c r="G883" s="286">
        <v>4.4999999999999998E-2</v>
      </c>
      <c r="H883" s="299"/>
      <c r="I883" s="300"/>
    </row>
    <row r="884" spans="2:9" s="580" customFormat="1" ht="14.1" customHeight="1">
      <c r="B884" s="602"/>
      <c r="C884" s="754"/>
      <c r="D884" s="177" t="s">
        <v>406</v>
      </c>
      <c r="E884" s="302"/>
      <c r="F884" s="287" t="s">
        <v>734</v>
      </c>
      <c r="G884" s="288">
        <v>0.13400000000000001</v>
      </c>
      <c r="H884" s="302"/>
      <c r="I884" s="303"/>
    </row>
    <row r="885" spans="2:9" s="580" customFormat="1" ht="14.1" customHeight="1">
      <c r="B885" s="602"/>
      <c r="C885" s="755"/>
      <c r="D885" s="316"/>
      <c r="E885" s="316"/>
      <c r="F885" s="316"/>
      <c r="G885" s="1155" t="s">
        <v>728</v>
      </c>
      <c r="H885" s="1156"/>
      <c r="I885" s="631"/>
    </row>
    <row r="886" spans="2:9" s="580" customFormat="1" ht="14.1" customHeight="1">
      <c r="B886" s="602"/>
      <c r="C886" s="292" t="s">
        <v>9</v>
      </c>
      <c r="D886" s="293" t="s">
        <v>815</v>
      </c>
      <c r="E886" s="296"/>
      <c r="F886" s="296"/>
      <c r="G886" s="296"/>
      <c r="H886" s="296"/>
      <c r="I886" s="297"/>
    </row>
    <row r="887" spans="2:9" s="580" customFormat="1" ht="14.1" customHeight="1">
      <c r="B887" s="602"/>
      <c r="C887" s="754"/>
      <c r="D887" s="302"/>
      <c r="E887" s="302"/>
      <c r="F887" s="302"/>
      <c r="G887" s="302"/>
      <c r="H887" s="302"/>
      <c r="I887" s="303"/>
    </row>
    <row r="888" spans="2:9" s="580" customFormat="1" ht="14.1" customHeight="1">
      <c r="B888" s="602"/>
      <c r="C888" s="755"/>
      <c r="D888" s="316"/>
      <c r="E888" s="316"/>
      <c r="F888" s="316"/>
      <c r="G888" s="1163" t="s">
        <v>729</v>
      </c>
      <c r="H888" s="1164"/>
      <c r="I888" s="631"/>
    </row>
    <row r="889" spans="2:9" s="580" customFormat="1" ht="14.1" customHeight="1">
      <c r="B889" s="602"/>
      <c r="C889" s="290" t="s">
        <v>12</v>
      </c>
      <c r="D889" s="1113" t="s">
        <v>730</v>
      </c>
      <c r="E889" s="1114"/>
      <c r="F889" s="1114"/>
      <c r="G889" s="1160"/>
      <c r="H889" s="1126"/>
      <c r="I889" s="306"/>
    </row>
    <row r="890" spans="2:9" s="580" customFormat="1" ht="14.1" customHeight="1">
      <c r="B890" s="602"/>
      <c r="C890" s="290" t="s">
        <v>13</v>
      </c>
      <c r="D890" s="1116" t="s">
        <v>816</v>
      </c>
      <c r="E890" s="1117"/>
      <c r="F890" s="1118"/>
      <c r="G890" s="1113" t="s">
        <v>740</v>
      </c>
      <c r="H890" s="1115"/>
      <c r="I890" s="306"/>
    </row>
    <row r="891" spans="2:9" s="580" customFormat="1" ht="14.1" customHeight="1" thickBot="1">
      <c r="B891" s="602"/>
      <c r="C891" s="291" t="s">
        <v>14</v>
      </c>
      <c r="D891" s="1119" t="s">
        <v>817</v>
      </c>
      <c r="E891" s="1120"/>
      <c r="F891" s="1120"/>
      <c r="G891" s="1120"/>
      <c r="H891" s="1121"/>
      <c r="I891" s="307"/>
    </row>
    <row r="892" spans="2:9" s="580" customFormat="1" ht="14.1" customHeight="1">
      <c r="B892" s="602"/>
      <c r="C892" s="623"/>
      <c r="D892" s="576"/>
      <c r="E892" s="576"/>
      <c r="F892" s="576"/>
      <c r="G892" s="576"/>
      <c r="H892" s="915"/>
      <c r="I892" s="316"/>
    </row>
    <row r="893" spans="2:9" s="567" customFormat="1" ht="15.95" customHeight="1" thickBot="1">
      <c r="B893" s="598">
        <v>44</v>
      </c>
      <c r="C893" s="566" t="s">
        <v>1246</v>
      </c>
      <c r="H893" s="568"/>
      <c r="I893" s="568"/>
    </row>
    <row r="894" spans="2:9" s="580" customFormat="1" ht="35.1" customHeight="1" thickBot="1">
      <c r="B894" s="602"/>
      <c r="C894" s="334" t="s">
        <v>840</v>
      </c>
      <c r="D894" s="335" t="s">
        <v>841</v>
      </c>
      <c r="E894" s="335" t="s">
        <v>842</v>
      </c>
      <c r="F894" s="335" t="s">
        <v>843</v>
      </c>
      <c r="G894" s="431" t="s">
        <v>844</v>
      </c>
      <c r="H894" s="335" t="s">
        <v>845</v>
      </c>
      <c r="I894" s="337" t="s">
        <v>846</v>
      </c>
    </row>
    <row r="895" spans="2:9" s="580" customFormat="1" ht="12" customHeight="1">
      <c r="B895" s="602"/>
      <c r="C895" s="543" t="s">
        <v>7</v>
      </c>
      <c r="D895" s="289" t="s">
        <v>810</v>
      </c>
      <c r="E895" s="299"/>
      <c r="F895" s="299"/>
      <c r="G895" s="299"/>
      <c r="H895" s="299"/>
      <c r="I895" s="300"/>
    </row>
    <row r="896" spans="2:9" s="580" customFormat="1" ht="14.1" customHeight="1">
      <c r="B896" s="602"/>
      <c r="C896" s="753"/>
      <c r="D896" s="289" t="s">
        <v>10</v>
      </c>
      <c r="E896" s="285" t="s">
        <v>16</v>
      </c>
      <c r="F896" s="285" t="s">
        <v>726</v>
      </c>
      <c r="G896" s="749">
        <v>0.17</v>
      </c>
      <c r="H896" s="299"/>
      <c r="I896" s="300"/>
    </row>
    <row r="897" spans="2:9" s="580" customFormat="1" ht="14.1" customHeight="1">
      <c r="B897" s="602"/>
      <c r="C897" s="753"/>
      <c r="D897" s="289" t="s">
        <v>26</v>
      </c>
      <c r="E897" s="285" t="s">
        <v>22</v>
      </c>
      <c r="F897" s="285" t="s">
        <v>726</v>
      </c>
      <c r="G897" s="749">
        <v>0.17</v>
      </c>
      <c r="H897" s="299"/>
      <c r="I897" s="300"/>
    </row>
    <row r="898" spans="2:9" s="580" customFormat="1" ht="12.95" customHeight="1">
      <c r="B898" s="602"/>
      <c r="C898" s="753"/>
      <c r="D898" s="289" t="s">
        <v>20</v>
      </c>
      <c r="E898" s="285" t="s">
        <v>21</v>
      </c>
      <c r="F898" s="285" t="s">
        <v>726</v>
      </c>
      <c r="G898" s="286">
        <v>1.7000000000000001E-2</v>
      </c>
      <c r="H898" s="299"/>
      <c r="I898" s="300"/>
    </row>
    <row r="899" spans="2:9" s="580" customFormat="1" ht="14.1" customHeight="1">
      <c r="B899" s="602"/>
      <c r="C899" s="754"/>
      <c r="D899" s="177" t="s">
        <v>11</v>
      </c>
      <c r="E899" s="287" t="s">
        <v>17</v>
      </c>
      <c r="F899" s="287" t="s">
        <v>726</v>
      </c>
      <c r="G899" s="288">
        <v>8.9999999999999993E-3</v>
      </c>
      <c r="H899" s="302"/>
      <c r="I899" s="303"/>
    </row>
    <row r="900" spans="2:9" s="580" customFormat="1" ht="12" customHeight="1">
      <c r="B900" s="602"/>
      <c r="C900" s="755"/>
      <c r="D900" s="316"/>
      <c r="E900" s="316"/>
      <c r="F900" s="316"/>
      <c r="G900" s="1155" t="s">
        <v>727</v>
      </c>
      <c r="H900" s="1156"/>
      <c r="I900" s="631"/>
    </row>
    <row r="901" spans="2:9" s="580" customFormat="1" ht="12" customHeight="1">
      <c r="B901" s="602"/>
      <c r="C901" s="292" t="s">
        <v>8</v>
      </c>
      <c r="D901" s="293" t="s">
        <v>811</v>
      </c>
      <c r="E901" s="296"/>
      <c r="F901" s="296"/>
      <c r="G901" s="296"/>
      <c r="H901" s="296"/>
      <c r="I901" s="297"/>
    </row>
    <row r="902" spans="2:9" s="580" customFormat="1" ht="14.1" customHeight="1">
      <c r="B902" s="602"/>
      <c r="C902" s="753"/>
      <c r="D902" s="289" t="s">
        <v>1185</v>
      </c>
      <c r="E902" s="299"/>
      <c r="F902" s="581" t="s">
        <v>949</v>
      </c>
      <c r="G902" s="749">
        <v>1.05</v>
      </c>
      <c r="H902" s="299"/>
      <c r="I902" s="300"/>
    </row>
    <row r="903" spans="2:9" s="580" customFormat="1" ht="12.95" customHeight="1">
      <c r="B903" s="602"/>
      <c r="C903" s="754"/>
      <c r="D903" s="177" t="s">
        <v>1186</v>
      </c>
      <c r="E903" s="302"/>
      <c r="F903" s="287" t="s">
        <v>734</v>
      </c>
      <c r="G903" s="617">
        <v>0.35</v>
      </c>
      <c r="H903" s="302"/>
      <c r="I903" s="303"/>
    </row>
    <row r="904" spans="2:9" s="580" customFormat="1" ht="12" customHeight="1">
      <c r="B904" s="602"/>
      <c r="C904" s="755"/>
      <c r="D904" s="316"/>
      <c r="E904" s="316"/>
      <c r="F904" s="316"/>
      <c r="G904" s="1155" t="s">
        <v>728</v>
      </c>
      <c r="H904" s="1156"/>
      <c r="I904" s="631"/>
    </row>
    <row r="905" spans="2:9" s="580" customFormat="1" ht="12" customHeight="1">
      <c r="B905" s="602"/>
      <c r="C905" s="292" t="s">
        <v>9</v>
      </c>
      <c r="D905" s="293" t="s">
        <v>815</v>
      </c>
      <c r="E905" s="296"/>
      <c r="F905" s="296"/>
      <c r="G905" s="296"/>
      <c r="H905" s="296"/>
      <c r="I905" s="297"/>
    </row>
    <row r="906" spans="2:9" s="580" customFormat="1" ht="12" customHeight="1">
      <c r="B906" s="602"/>
      <c r="C906" s="754"/>
      <c r="D906" s="302"/>
      <c r="E906" s="302"/>
      <c r="F906" s="302"/>
      <c r="G906" s="302"/>
      <c r="H906" s="302"/>
      <c r="I906" s="303"/>
    </row>
    <row r="907" spans="2:9" s="580" customFormat="1" ht="12" customHeight="1">
      <c r="B907" s="602"/>
      <c r="C907" s="755"/>
      <c r="D907" s="316"/>
      <c r="E907" s="316"/>
      <c r="F907" s="316"/>
      <c r="G907" s="1163" t="s">
        <v>729</v>
      </c>
      <c r="H907" s="1164"/>
      <c r="I907" s="631"/>
    </row>
    <row r="908" spans="2:9" s="580" customFormat="1" ht="12" customHeight="1">
      <c r="B908" s="602"/>
      <c r="C908" s="290" t="s">
        <v>12</v>
      </c>
      <c r="D908" s="1113" t="s">
        <v>730</v>
      </c>
      <c r="E908" s="1114"/>
      <c r="F908" s="1114"/>
      <c r="G908" s="1160"/>
      <c r="H908" s="1126"/>
      <c r="I908" s="306"/>
    </row>
    <row r="909" spans="2:9" s="580" customFormat="1" ht="12" customHeight="1">
      <c r="B909" s="602"/>
      <c r="C909" s="290" t="s">
        <v>13</v>
      </c>
      <c r="D909" s="1116" t="s">
        <v>816</v>
      </c>
      <c r="E909" s="1117"/>
      <c r="F909" s="1118"/>
      <c r="G909" s="1113" t="s">
        <v>740</v>
      </c>
      <c r="H909" s="1115"/>
      <c r="I909" s="306"/>
    </row>
    <row r="910" spans="2:9" s="580" customFormat="1" ht="12" customHeight="1" thickBot="1">
      <c r="B910" s="602"/>
      <c r="C910" s="291" t="s">
        <v>14</v>
      </c>
      <c r="D910" s="1119" t="s">
        <v>817</v>
      </c>
      <c r="E910" s="1120"/>
      <c r="F910" s="1120"/>
      <c r="G910" s="1120"/>
      <c r="H910" s="1121"/>
      <c r="I910" s="307"/>
    </row>
    <row r="911" spans="2:9" s="580" customFormat="1">
      <c r="B911" s="602"/>
      <c r="H911" s="316"/>
      <c r="I911" s="316"/>
    </row>
    <row r="912" spans="2:9" s="567" customFormat="1" ht="15.95" customHeight="1" thickBot="1">
      <c r="B912" s="598">
        <v>45</v>
      </c>
      <c r="C912" s="566" t="s">
        <v>1247</v>
      </c>
      <c r="H912" s="568"/>
      <c r="I912" s="568"/>
    </row>
    <row r="913" spans="2:9" s="580" customFormat="1" ht="35.1" customHeight="1" thickBot="1">
      <c r="B913" s="602"/>
      <c r="C913" s="334" t="s">
        <v>840</v>
      </c>
      <c r="D913" s="335" t="s">
        <v>841</v>
      </c>
      <c r="E913" s="335" t="s">
        <v>842</v>
      </c>
      <c r="F913" s="335" t="s">
        <v>843</v>
      </c>
      <c r="G913" s="431" t="s">
        <v>844</v>
      </c>
      <c r="H913" s="431" t="s">
        <v>845</v>
      </c>
      <c r="I913" s="337" t="s">
        <v>846</v>
      </c>
    </row>
    <row r="914" spans="2:9" s="580" customFormat="1" ht="14.1" customHeight="1">
      <c r="B914" s="602"/>
      <c r="C914" s="543" t="s">
        <v>7</v>
      </c>
      <c r="D914" s="289" t="s">
        <v>810</v>
      </c>
      <c r="E914" s="299"/>
      <c r="F914" s="299"/>
      <c r="G914" s="299"/>
      <c r="H914" s="299"/>
      <c r="I914" s="300"/>
    </row>
    <row r="915" spans="2:9" s="580" customFormat="1" ht="14.1" customHeight="1">
      <c r="B915" s="602"/>
      <c r="C915" s="753"/>
      <c r="D915" s="289" t="s">
        <v>10</v>
      </c>
      <c r="E915" s="285" t="s">
        <v>16</v>
      </c>
      <c r="F915" s="285" t="s">
        <v>726</v>
      </c>
      <c r="G915" s="749">
        <v>0.12</v>
      </c>
      <c r="H915" s="299"/>
      <c r="I915" s="300"/>
    </row>
    <row r="916" spans="2:9" s="580" customFormat="1" ht="14.1" customHeight="1">
      <c r="B916" s="602"/>
      <c r="C916" s="753"/>
      <c r="D916" s="289" t="s">
        <v>26</v>
      </c>
      <c r="E916" s="285" t="s">
        <v>22</v>
      </c>
      <c r="F916" s="285" t="s">
        <v>726</v>
      </c>
      <c r="G916" s="749">
        <v>0.12</v>
      </c>
      <c r="H916" s="299"/>
      <c r="I916" s="300"/>
    </row>
    <row r="917" spans="2:9" s="580" customFormat="1" ht="14.1" customHeight="1">
      <c r="B917" s="602"/>
      <c r="C917" s="753"/>
      <c r="D917" s="289" t="s">
        <v>20</v>
      </c>
      <c r="E917" s="285" t="s">
        <v>21</v>
      </c>
      <c r="F917" s="285" t="s">
        <v>726</v>
      </c>
      <c r="G917" s="286">
        <v>1.2E-2</v>
      </c>
      <c r="H917" s="299"/>
      <c r="I917" s="300"/>
    </row>
    <row r="918" spans="2:9" s="580" customFormat="1" ht="14.1" customHeight="1">
      <c r="B918" s="602"/>
      <c r="C918" s="754"/>
      <c r="D918" s="177" t="s">
        <v>11</v>
      </c>
      <c r="E918" s="287" t="s">
        <v>17</v>
      </c>
      <c r="F918" s="287" t="s">
        <v>726</v>
      </c>
      <c r="G918" s="288">
        <v>6.0000000000000001E-3</v>
      </c>
      <c r="H918" s="302"/>
      <c r="I918" s="303"/>
    </row>
    <row r="919" spans="2:9" s="580" customFormat="1" ht="14.1" customHeight="1">
      <c r="B919" s="602"/>
      <c r="C919" s="755"/>
      <c r="D919" s="316"/>
      <c r="E919" s="316"/>
      <c r="F919" s="316"/>
      <c r="G919" s="1155" t="s">
        <v>727</v>
      </c>
      <c r="H919" s="1156"/>
      <c r="I919" s="631"/>
    </row>
    <row r="920" spans="2:9" s="580" customFormat="1" ht="14.1" customHeight="1">
      <c r="B920" s="602"/>
      <c r="C920" s="292" t="s">
        <v>8</v>
      </c>
      <c r="D920" s="293" t="s">
        <v>811</v>
      </c>
      <c r="E920" s="296"/>
      <c r="F920" s="296"/>
      <c r="G920" s="296"/>
      <c r="H920" s="296"/>
      <c r="I920" s="297"/>
    </row>
    <row r="921" spans="2:9" s="580" customFormat="1" ht="14.1" customHeight="1">
      <c r="B921" s="602"/>
      <c r="C921" s="753"/>
      <c r="D921" s="761" t="s">
        <v>1187</v>
      </c>
      <c r="E921" s="299"/>
      <c r="F921" s="581" t="s">
        <v>949</v>
      </c>
      <c r="G921" s="749">
        <v>1.05</v>
      </c>
      <c r="H921" s="299"/>
      <c r="I921" s="300"/>
    </row>
    <row r="922" spans="2:9" s="580" customFormat="1" ht="14.1" customHeight="1">
      <c r="B922" s="602"/>
      <c r="C922" s="754"/>
      <c r="D922" s="177" t="s">
        <v>1186</v>
      </c>
      <c r="E922" s="302"/>
      <c r="F922" s="287" t="s">
        <v>734</v>
      </c>
      <c r="G922" s="617">
        <v>0.35</v>
      </c>
      <c r="H922" s="302"/>
      <c r="I922" s="303"/>
    </row>
    <row r="923" spans="2:9" s="580" customFormat="1" ht="14.1" customHeight="1">
      <c r="B923" s="602"/>
      <c r="C923" s="755"/>
      <c r="D923" s="316"/>
      <c r="E923" s="316"/>
      <c r="F923" s="316"/>
      <c r="G923" s="1155" t="s">
        <v>728</v>
      </c>
      <c r="H923" s="1156"/>
      <c r="I923" s="631"/>
    </row>
    <row r="924" spans="2:9" s="580" customFormat="1" ht="14.1" customHeight="1">
      <c r="B924" s="602"/>
      <c r="C924" s="292" t="s">
        <v>9</v>
      </c>
      <c r="D924" s="293" t="s">
        <v>815</v>
      </c>
      <c r="E924" s="296"/>
      <c r="F924" s="296"/>
      <c r="G924" s="296"/>
      <c r="H924" s="296"/>
      <c r="I924" s="297"/>
    </row>
    <row r="925" spans="2:9" s="580" customFormat="1" ht="14.1" customHeight="1">
      <c r="B925" s="602"/>
      <c r="C925" s="754"/>
      <c r="D925" s="302"/>
      <c r="E925" s="302"/>
      <c r="F925" s="302"/>
      <c r="G925" s="302"/>
      <c r="H925" s="302"/>
      <c r="I925" s="303"/>
    </row>
    <row r="926" spans="2:9" s="580" customFormat="1" ht="14.1" customHeight="1">
      <c r="B926" s="602"/>
      <c r="C926" s="755"/>
      <c r="D926" s="316"/>
      <c r="E926" s="316"/>
      <c r="F926" s="316"/>
      <c r="G926" s="1163" t="s">
        <v>729</v>
      </c>
      <c r="H926" s="1164"/>
      <c r="I926" s="631"/>
    </row>
    <row r="927" spans="2:9" s="580" customFormat="1" ht="14.1" customHeight="1">
      <c r="B927" s="602"/>
      <c r="C927" s="290" t="s">
        <v>12</v>
      </c>
      <c r="D927" s="1113" t="s">
        <v>730</v>
      </c>
      <c r="E927" s="1114"/>
      <c r="F927" s="1114"/>
      <c r="G927" s="1160"/>
      <c r="H927" s="1160"/>
      <c r="I927" s="306"/>
    </row>
    <row r="928" spans="2:9" s="580" customFormat="1" ht="14.1" customHeight="1">
      <c r="B928" s="602"/>
      <c r="C928" s="290" t="s">
        <v>13</v>
      </c>
      <c r="D928" s="1116" t="s">
        <v>816</v>
      </c>
      <c r="E928" s="1117"/>
      <c r="F928" s="1118"/>
      <c r="G928" s="1113" t="s">
        <v>740</v>
      </c>
      <c r="H928" s="1114"/>
      <c r="I928" s="306"/>
    </row>
    <row r="929" spans="2:9" s="580" customFormat="1" ht="14.1" customHeight="1" thickBot="1">
      <c r="B929" s="602"/>
      <c r="C929" s="291" t="s">
        <v>14</v>
      </c>
      <c r="D929" s="1119" t="s">
        <v>817</v>
      </c>
      <c r="E929" s="1120"/>
      <c r="F929" s="1120"/>
      <c r="G929" s="1120"/>
      <c r="H929" s="1120"/>
      <c r="I929" s="307"/>
    </row>
    <row r="930" spans="2:9" s="580" customFormat="1" ht="14.1" customHeight="1">
      <c r="B930" s="602"/>
      <c r="C930" s="623"/>
      <c r="D930" s="576"/>
      <c r="E930" s="576"/>
      <c r="F930" s="576"/>
      <c r="G930" s="576"/>
      <c r="H930" s="915"/>
      <c r="I930" s="316"/>
    </row>
    <row r="931" spans="2:9" s="567" customFormat="1" ht="15.95" customHeight="1" thickBot="1">
      <c r="B931" s="598">
        <v>46</v>
      </c>
      <c r="C931" s="566" t="s">
        <v>1248</v>
      </c>
      <c r="H931" s="568"/>
      <c r="I931" s="568"/>
    </row>
    <row r="932" spans="2:9" s="580" customFormat="1" ht="35.1" customHeight="1" thickBot="1">
      <c r="B932" s="602"/>
      <c r="C932" s="334" t="s">
        <v>840</v>
      </c>
      <c r="D932" s="335" t="s">
        <v>841</v>
      </c>
      <c r="E932" s="335" t="s">
        <v>842</v>
      </c>
      <c r="F932" s="335" t="s">
        <v>843</v>
      </c>
      <c r="G932" s="431" t="s">
        <v>844</v>
      </c>
      <c r="H932" s="431" t="s">
        <v>845</v>
      </c>
      <c r="I932" s="337" t="s">
        <v>846</v>
      </c>
    </row>
    <row r="933" spans="2:9" s="580" customFormat="1" ht="14.1" customHeight="1">
      <c r="B933" s="602"/>
      <c r="C933" s="543" t="s">
        <v>7</v>
      </c>
      <c r="D933" s="289" t="s">
        <v>810</v>
      </c>
      <c r="E933" s="299"/>
      <c r="F933" s="299"/>
      <c r="G933" s="299"/>
      <c r="H933" s="299"/>
      <c r="I933" s="300"/>
    </row>
    <row r="934" spans="2:9" s="580" customFormat="1" ht="14.1" customHeight="1">
      <c r="B934" s="602"/>
      <c r="C934" s="753"/>
      <c r="D934" s="289" t="s">
        <v>10</v>
      </c>
      <c r="E934" s="285" t="s">
        <v>16</v>
      </c>
      <c r="F934" s="285" t="s">
        <v>726</v>
      </c>
      <c r="G934" s="749">
        <v>0.7</v>
      </c>
      <c r="H934" s="299"/>
      <c r="I934" s="300"/>
    </row>
    <row r="935" spans="2:9" s="580" customFormat="1" ht="14.1" customHeight="1">
      <c r="B935" s="602"/>
      <c r="C935" s="753"/>
      <c r="D935" s="289" t="s">
        <v>26</v>
      </c>
      <c r="E935" s="285" t="s">
        <v>22</v>
      </c>
      <c r="F935" s="285" t="s">
        <v>726</v>
      </c>
      <c r="G935" s="749">
        <v>0.35</v>
      </c>
      <c r="H935" s="299"/>
      <c r="I935" s="300"/>
    </row>
    <row r="936" spans="2:9" s="580" customFormat="1" ht="14.1" customHeight="1">
      <c r="B936" s="602"/>
      <c r="C936" s="753"/>
      <c r="D936" s="289" t="s">
        <v>20</v>
      </c>
      <c r="E936" s="285" t="s">
        <v>21</v>
      </c>
      <c r="F936" s="285" t="s">
        <v>726</v>
      </c>
      <c r="G936" s="286">
        <v>3.5000000000000003E-2</v>
      </c>
      <c r="H936" s="299"/>
      <c r="I936" s="300"/>
    </row>
    <row r="937" spans="2:9" s="580" customFormat="1" ht="14.1" customHeight="1">
      <c r="B937" s="602"/>
      <c r="C937" s="754"/>
      <c r="D937" s="177" t="s">
        <v>11</v>
      </c>
      <c r="E937" s="287" t="s">
        <v>17</v>
      </c>
      <c r="F937" s="287" t="s">
        <v>726</v>
      </c>
      <c r="G937" s="288">
        <v>3.5000000000000003E-2</v>
      </c>
      <c r="H937" s="302"/>
      <c r="I937" s="303"/>
    </row>
    <row r="938" spans="2:9" s="580" customFormat="1" ht="14.1" customHeight="1">
      <c r="B938" s="602"/>
      <c r="C938" s="755"/>
      <c r="D938" s="316"/>
      <c r="E938" s="316"/>
      <c r="F938" s="316"/>
      <c r="G938" s="1155" t="s">
        <v>727</v>
      </c>
      <c r="H938" s="1156"/>
      <c r="I938" s="631"/>
    </row>
    <row r="939" spans="2:9" s="580" customFormat="1" ht="14.1" customHeight="1">
      <c r="B939" s="602"/>
      <c r="C939" s="292" t="s">
        <v>8</v>
      </c>
      <c r="D939" s="293" t="s">
        <v>811</v>
      </c>
      <c r="E939" s="296"/>
      <c r="F939" s="296"/>
      <c r="G939" s="296"/>
      <c r="H939" s="296"/>
      <c r="I939" s="297"/>
    </row>
    <row r="940" spans="2:9" s="580" customFormat="1" ht="14.1" customHeight="1">
      <c r="B940" s="602"/>
      <c r="C940" s="753"/>
      <c r="D940" s="761" t="s">
        <v>1188</v>
      </c>
      <c r="E940" s="299"/>
      <c r="F940" s="581" t="s">
        <v>949</v>
      </c>
      <c r="G940" s="749">
        <v>1.05</v>
      </c>
      <c r="H940" s="299"/>
      <c r="I940" s="300"/>
    </row>
    <row r="941" spans="2:9" s="580" customFormat="1" ht="14.1" customHeight="1">
      <c r="B941" s="602"/>
      <c r="C941" s="754"/>
      <c r="D941" s="177" t="s">
        <v>1186</v>
      </c>
      <c r="E941" s="302"/>
      <c r="F941" s="287" t="s">
        <v>734</v>
      </c>
      <c r="G941" s="617">
        <v>0.6</v>
      </c>
      <c r="H941" s="302"/>
      <c r="I941" s="303"/>
    </row>
    <row r="942" spans="2:9" s="580" customFormat="1" ht="14.1" customHeight="1">
      <c r="B942" s="602"/>
      <c r="C942" s="755"/>
      <c r="D942" s="316"/>
      <c r="E942" s="316"/>
      <c r="F942" s="316"/>
      <c r="G942" s="1155" t="s">
        <v>728</v>
      </c>
      <c r="H942" s="1156"/>
      <c r="I942" s="631"/>
    </row>
    <row r="943" spans="2:9" s="580" customFormat="1" ht="14.1" customHeight="1">
      <c r="B943" s="602"/>
      <c r="C943" s="292" t="s">
        <v>9</v>
      </c>
      <c r="D943" s="293" t="s">
        <v>815</v>
      </c>
      <c r="E943" s="296"/>
      <c r="F943" s="296"/>
      <c r="G943" s="296"/>
      <c r="H943" s="296"/>
      <c r="I943" s="297"/>
    </row>
    <row r="944" spans="2:9" s="580" customFormat="1" ht="14.1" customHeight="1">
      <c r="B944" s="602"/>
      <c r="C944" s="754"/>
      <c r="D944" s="302"/>
      <c r="E944" s="302"/>
      <c r="F944" s="302"/>
      <c r="G944" s="302"/>
      <c r="H944" s="302"/>
      <c r="I944" s="303"/>
    </row>
    <row r="945" spans="2:9" s="580" customFormat="1" ht="14.1" customHeight="1">
      <c r="B945" s="602"/>
      <c r="C945" s="1132"/>
      <c r="D945" s="1133"/>
      <c r="E945" s="1133"/>
      <c r="F945" s="1165"/>
      <c r="G945" s="1254" t="s">
        <v>729</v>
      </c>
      <c r="H945" s="1254"/>
      <c r="I945" s="584"/>
    </row>
    <row r="946" spans="2:9" s="580" customFormat="1" ht="14.1" customHeight="1">
      <c r="B946" s="602"/>
      <c r="C946" s="603" t="s">
        <v>12</v>
      </c>
      <c r="D946" s="1154" t="s">
        <v>730</v>
      </c>
      <c r="E946" s="1154"/>
      <c r="F946" s="1154"/>
      <c r="G946" s="1154"/>
      <c r="H946" s="1154"/>
      <c r="I946" s="584"/>
    </row>
    <row r="947" spans="2:9" s="580" customFormat="1" ht="14.1" customHeight="1">
      <c r="B947" s="602"/>
      <c r="C947" s="603" t="s">
        <v>13</v>
      </c>
      <c r="D947" s="1161" t="s">
        <v>816</v>
      </c>
      <c r="E947" s="1161"/>
      <c r="F947" s="1161"/>
      <c r="G947" s="1154" t="s">
        <v>740</v>
      </c>
      <c r="H947" s="1154"/>
      <c r="I947" s="584"/>
    </row>
    <row r="948" spans="2:9" s="580" customFormat="1" ht="14.1" customHeight="1" thickBot="1">
      <c r="B948" s="602"/>
      <c r="C948" s="604" t="s">
        <v>14</v>
      </c>
      <c r="D948" s="1162" t="s">
        <v>817</v>
      </c>
      <c r="E948" s="1162"/>
      <c r="F948" s="1162"/>
      <c r="G948" s="1162"/>
      <c r="H948" s="1162"/>
      <c r="I948" s="605"/>
    </row>
    <row r="949" spans="2:9" s="580" customFormat="1" ht="14.1" customHeight="1">
      <c r="B949" s="602"/>
      <c r="H949" s="316"/>
      <c r="I949" s="316"/>
    </row>
    <row r="950" spans="2:9" s="567" customFormat="1" ht="15.95" customHeight="1" thickBot="1">
      <c r="B950" s="598">
        <v>47</v>
      </c>
      <c r="C950" s="566" t="s">
        <v>1249</v>
      </c>
      <c r="H950" s="568"/>
      <c r="I950" s="568"/>
    </row>
    <row r="951" spans="2:9" s="580" customFormat="1" ht="35.1" customHeight="1" thickBot="1">
      <c r="B951" s="602"/>
      <c r="C951" s="334" t="s">
        <v>840</v>
      </c>
      <c r="D951" s="335" t="s">
        <v>841</v>
      </c>
      <c r="E951" s="335" t="s">
        <v>842</v>
      </c>
      <c r="F951" s="335" t="s">
        <v>843</v>
      </c>
      <c r="G951" s="431" t="s">
        <v>844</v>
      </c>
      <c r="H951" s="431" t="s">
        <v>845</v>
      </c>
      <c r="I951" s="337" t="s">
        <v>846</v>
      </c>
    </row>
    <row r="952" spans="2:9" s="580" customFormat="1" ht="14.1" customHeight="1">
      <c r="B952" s="602"/>
      <c r="C952" s="543" t="s">
        <v>7</v>
      </c>
      <c r="D952" s="289" t="s">
        <v>810</v>
      </c>
      <c r="E952" s="299"/>
      <c r="F952" s="299"/>
      <c r="G952" s="299"/>
      <c r="H952" s="299"/>
      <c r="I952" s="300"/>
    </row>
    <row r="953" spans="2:9" s="580" customFormat="1" ht="14.1" customHeight="1">
      <c r="B953" s="602"/>
      <c r="C953" s="753"/>
      <c r="D953" s="289" t="s">
        <v>10</v>
      </c>
      <c r="E953" s="285" t="s">
        <v>16</v>
      </c>
      <c r="F953" s="285" t="s">
        <v>726</v>
      </c>
      <c r="G953" s="749">
        <v>0.7</v>
      </c>
      <c r="H953" s="299"/>
      <c r="I953" s="300"/>
    </row>
    <row r="954" spans="2:9" s="580" customFormat="1" ht="14.1" customHeight="1">
      <c r="B954" s="602"/>
      <c r="C954" s="753"/>
      <c r="D954" s="289" t="s">
        <v>26</v>
      </c>
      <c r="E954" s="285" t="s">
        <v>22</v>
      </c>
      <c r="F954" s="285" t="s">
        <v>726</v>
      </c>
      <c r="G954" s="749">
        <v>0.35</v>
      </c>
      <c r="H954" s="299"/>
      <c r="I954" s="300"/>
    </row>
    <row r="955" spans="2:9" s="580" customFormat="1" ht="14.1" customHeight="1">
      <c r="B955" s="602"/>
      <c r="C955" s="753"/>
      <c r="D955" s="289" t="s">
        <v>20</v>
      </c>
      <c r="E955" s="285" t="s">
        <v>21</v>
      </c>
      <c r="F955" s="285" t="s">
        <v>726</v>
      </c>
      <c r="G955" s="286">
        <v>3.5000000000000003E-2</v>
      </c>
      <c r="H955" s="299"/>
      <c r="I955" s="300"/>
    </row>
    <row r="956" spans="2:9" s="580" customFormat="1" ht="14.1" customHeight="1">
      <c r="B956" s="602"/>
      <c r="C956" s="754"/>
      <c r="D956" s="177" t="s">
        <v>11</v>
      </c>
      <c r="E956" s="287" t="s">
        <v>17</v>
      </c>
      <c r="F956" s="287" t="s">
        <v>726</v>
      </c>
      <c r="G956" s="288">
        <v>3.5000000000000003E-2</v>
      </c>
      <c r="H956" s="302"/>
      <c r="I956" s="303"/>
    </row>
    <row r="957" spans="2:9" s="580" customFormat="1" ht="14.1" customHeight="1">
      <c r="B957" s="602"/>
      <c r="C957" s="755"/>
      <c r="D957" s="316"/>
      <c r="E957" s="316"/>
      <c r="F957" s="316"/>
      <c r="G957" s="1155" t="s">
        <v>727</v>
      </c>
      <c r="H957" s="1156"/>
      <c r="I957" s="631"/>
    </row>
    <row r="958" spans="2:9" s="580" customFormat="1" ht="14.1" customHeight="1">
      <c r="B958" s="602"/>
      <c r="C958" s="292" t="s">
        <v>8</v>
      </c>
      <c r="D958" s="293" t="s">
        <v>811</v>
      </c>
      <c r="E958" s="296"/>
      <c r="F958" s="296"/>
      <c r="G958" s="296"/>
      <c r="H958" s="296"/>
      <c r="I958" s="297"/>
    </row>
    <row r="959" spans="2:9" s="580" customFormat="1" ht="14.1" customHeight="1">
      <c r="B959" s="602"/>
      <c r="C959" s="753"/>
      <c r="D959" s="761" t="s">
        <v>1188</v>
      </c>
      <c r="E959" s="299"/>
      <c r="F959" s="581" t="s">
        <v>949</v>
      </c>
      <c r="G959" s="749">
        <v>1.05</v>
      </c>
      <c r="H959" s="299"/>
      <c r="I959" s="300"/>
    </row>
    <row r="960" spans="2:9" s="580" customFormat="1" ht="14.1" customHeight="1">
      <c r="B960" s="602"/>
      <c r="C960" s="754"/>
      <c r="D960" s="177" t="s">
        <v>1186</v>
      </c>
      <c r="E960" s="302"/>
      <c r="F960" s="287" t="s">
        <v>734</v>
      </c>
      <c r="G960" s="617">
        <v>0.6</v>
      </c>
      <c r="H960" s="302"/>
      <c r="I960" s="303"/>
    </row>
    <row r="961" spans="2:9" s="580" customFormat="1" ht="14.1" customHeight="1">
      <c r="B961" s="602"/>
      <c r="C961" s="755"/>
      <c r="D961" s="316"/>
      <c r="E961" s="316"/>
      <c r="F961" s="316"/>
      <c r="G961" s="1155" t="s">
        <v>728</v>
      </c>
      <c r="H961" s="1156"/>
      <c r="I961" s="631"/>
    </row>
    <row r="962" spans="2:9" s="580" customFormat="1" ht="14.1" customHeight="1">
      <c r="B962" s="602"/>
      <c r="C962" s="292" t="s">
        <v>9</v>
      </c>
      <c r="D962" s="293" t="s">
        <v>815</v>
      </c>
      <c r="E962" s="296"/>
      <c r="F962" s="296"/>
      <c r="G962" s="296"/>
      <c r="H962" s="296"/>
      <c r="I962" s="297"/>
    </row>
    <row r="963" spans="2:9" s="580" customFormat="1" ht="14.1" customHeight="1">
      <c r="B963" s="602"/>
      <c r="C963" s="754"/>
      <c r="D963" s="302"/>
      <c r="E963" s="302"/>
      <c r="F963" s="302"/>
      <c r="G963" s="302"/>
      <c r="H963" s="302"/>
      <c r="I963" s="303"/>
    </row>
    <row r="964" spans="2:9" s="580" customFormat="1" ht="14.1" customHeight="1">
      <c r="B964" s="602"/>
      <c r="C964" s="755"/>
      <c r="D964" s="316"/>
      <c r="E964" s="316"/>
      <c r="F964" s="316"/>
      <c r="G964" s="1163" t="s">
        <v>729</v>
      </c>
      <c r="H964" s="1164"/>
      <c r="I964" s="631"/>
    </row>
    <row r="965" spans="2:9" s="580" customFormat="1" ht="14.1" customHeight="1">
      <c r="B965" s="602"/>
      <c r="C965" s="290" t="s">
        <v>12</v>
      </c>
      <c r="D965" s="1113" t="s">
        <v>730</v>
      </c>
      <c r="E965" s="1114"/>
      <c r="F965" s="1114"/>
      <c r="G965" s="1160"/>
      <c r="H965" s="1160"/>
      <c r="I965" s="306"/>
    </row>
    <row r="966" spans="2:9" s="580" customFormat="1" ht="14.1" customHeight="1">
      <c r="B966" s="602"/>
      <c r="C966" s="290" t="s">
        <v>13</v>
      </c>
      <c r="D966" s="1116" t="s">
        <v>816</v>
      </c>
      <c r="E966" s="1117"/>
      <c r="F966" s="1118"/>
      <c r="G966" s="1113" t="s">
        <v>740</v>
      </c>
      <c r="H966" s="1114"/>
      <c r="I966" s="306"/>
    </row>
    <row r="967" spans="2:9" s="580" customFormat="1" ht="14.1" customHeight="1" thickBot="1">
      <c r="B967" s="602"/>
      <c r="C967" s="291" t="s">
        <v>14</v>
      </c>
      <c r="D967" s="1119" t="s">
        <v>817</v>
      </c>
      <c r="E967" s="1120"/>
      <c r="F967" s="1120"/>
      <c r="G967" s="1120"/>
      <c r="H967" s="1120"/>
      <c r="I967" s="307"/>
    </row>
    <row r="968" spans="2:9" s="580" customFormat="1" ht="14.1" customHeight="1">
      <c r="B968" s="602"/>
      <c r="C968" s="623"/>
      <c r="D968" s="576"/>
      <c r="E968" s="576"/>
      <c r="F968" s="576"/>
      <c r="G968" s="576"/>
      <c r="H968" s="915"/>
      <c r="I968" s="316"/>
    </row>
    <row r="969" spans="2:9" s="567" customFormat="1" ht="15.95" customHeight="1" thickBot="1">
      <c r="B969" s="598">
        <v>48</v>
      </c>
      <c r="C969" s="566" t="s">
        <v>1250</v>
      </c>
      <c r="H969" s="568"/>
      <c r="I969" s="568"/>
    </row>
    <row r="970" spans="2:9" s="580" customFormat="1" ht="35.1" customHeight="1" thickBot="1">
      <c r="B970" s="602"/>
      <c r="C970" s="334" t="s">
        <v>840</v>
      </c>
      <c r="D970" s="335" t="s">
        <v>841</v>
      </c>
      <c r="E970" s="335" t="s">
        <v>842</v>
      </c>
      <c r="F970" s="335" t="s">
        <v>843</v>
      </c>
      <c r="G970" s="431" t="s">
        <v>844</v>
      </c>
      <c r="H970" s="431" t="s">
        <v>845</v>
      </c>
      <c r="I970" s="337" t="s">
        <v>846</v>
      </c>
    </row>
    <row r="971" spans="2:9" s="580" customFormat="1" ht="14.1" customHeight="1">
      <c r="B971" s="602"/>
      <c r="C971" s="543" t="s">
        <v>7</v>
      </c>
      <c r="D971" s="289" t="s">
        <v>810</v>
      </c>
      <c r="E971" s="299"/>
      <c r="F971" s="299"/>
      <c r="G971" s="299"/>
      <c r="H971" s="299"/>
      <c r="I971" s="300"/>
    </row>
    <row r="972" spans="2:9" s="580" customFormat="1" ht="14.1" customHeight="1">
      <c r="B972" s="602"/>
      <c r="C972" s="753"/>
      <c r="D972" s="289" t="s">
        <v>10</v>
      </c>
      <c r="E972" s="285" t="s">
        <v>16</v>
      </c>
      <c r="F972" s="285" t="s">
        <v>726</v>
      </c>
      <c r="G972" s="749">
        <v>1</v>
      </c>
      <c r="H972" s="299"/>
      <c r="I972" s="300"/>
    </row>
    <row r="973" spans="2:9" s="580" customFormat="1" ht="14.1" customHeight="1">
      <c r="B973" s="602"/>
      <c r="C973" s="753"/>
      <c r="D973" s="289" t="s">
        <v>143</v>
      </c>
      <c r="E973" s="285" t="s">
        <v>22</v>
      </c>
      <c r="F973" s="285" t="s">
        <v>726</v>
      </c>
      <c r="G973" s="749">
        <v>0.5</v>
      </c>
      <c r="H973" s="299"/>
      <c r="I973" s="300"/>
    </row>
    <row r="974" spans="2:9" s="580" customFormat="1" ht="14.1" customHeight="1">
      <c r="B974" s="602"/>
      <c r="C974" s="753"/>
      <c r="D974" s="289" t="s">
        <v>20</v>
      </c>
      <c r="E974" s="285" t="s">
        <v>21</v>
      </c>
      <c r="F974" s="285" t="s">
        <v>726</v>
      </c>
      <c r="G974" s="749">
        <v>0.05</v>
      </c>
      <c r="H974" s="299"/>
      <c r="I974" s="300"/>
    </row>
    <row r="975" spans="2:9" s="580" customFormat="1" ht="14.1" customHeight="1">
      <c r="B975" s="602"/>
      <c r="C975" s="754"/>
      <c r="D975" s="177" t="s">
        <v>11</v>
      </c>
      <c r="E975" s="287" t="s">
        <v>17</v>
      </c>
      <c r="F975" s="287" t="s">
        <v>726</v>
      </c>
      <c r="G975" s="617">
        <v>0.05</v>
      </c>
      <c r="H975" s="302"/>
      <c r="I975" s="303"/>
    </row>
    <row r="976" spans="2:9" s="580" customFormat="1" ht="14.1" customHeight="1">
      <c r="B976" s="602"/>
      <c r="C976" s="755"/>
      <c r="D976" s="316"/>
      <c r="E976" s="316"/>
      <c r="F976" s="316"/>
      <c r="G976" s="1155" t="s">
        <v>727</v>
      </c>
      <c r="H976" s="1156"/>
      <c r="I976" s="631"/>
    </row>
    <row r="977" spans="2:9" s="580" customFormat="1" ht="14.1" customHeight="1">
      <c r="B977" s="602"/>
      <c r="C977" s="292" t="s">
        <v>8</v>
      </c>
      <c r="D977" s="293" t="s">
        <v>811</v>
      </c>
      <c r="E977" s="296"/>
      <c r="F977" s="296"/>
      <c r="G977" s="296"/>
      <c r="H977" s="296"/>
      <c r="I977" s="297"/>
    </row>
    <row r="978" spans="2:9" s="580" customFormat="1" ht="14.1" customHeight="1">
      <c r="B978" s="602"/>
      <c r="C978" s="753"/>
      <c r="D978" s="289" t="s">
        <v>1189</v>
      </c>
      <c r="E978" s="299"/>
      <c r="F978" s="285" t="s">
        <v>1181</v>
      </c>
      <c r="G978" s="749">
        <v>1.05</v>
      </c>
      <c r="H978" s="299"/>
      <c r="I978" s="300"/>
    </row>
    <row r="979" spans="2:9" s="580" customFormat="1" ht="14.1" customHeight="1">
      <c r="B979" s="602"/>
      <c r="C979" s="753"/>
      <c r="D979" s="289" t="s">
        <v>806</v>
      </c>
      <c r="E979" s="299"/>
      <c r="F979" s="285" t="s">
        <v>734</v>
      </c>
      <c r="G979" s="749">
        <v>9.3000000000000007</v>
      </c>
      <c r="H979" s="299"/>
      <c r="I979" s="300"/>
    </row>
    <row r="980" spans="2:9" s="580" customFormat="1" ht="14.1" customHeight="1">
      <c r="B980" s="602"/>
      <c r="C980" s="753"/>
      <c r="D980" s="289" t="s">
        <v>211</v>
      </c>
      <c r="E980" s="299"/>
      <c r="F980" s="581" t="s">
        <v>1201</v>
      </c>
      <c r="G980" s="286">
        <v>1.7999999999999999E-2</v>
      </c>
      <c r="H980" s="299"/>
      <c r="I980" s="300"/>
    </row>
    <row r="981" spans="2:9" s="580" customFormat="1" ht="14.1" customHeight="1">
      <c r="B981" s="602"/>
      <c r="C981" s="754"/>
      <c r="D981" s="177" t="s">
        <v>406</v>
      </c>
      <c r="E981" s="302"/>
      <c r="F981" s="287" t="s">
        <v>734</v>
      </c>
      <c r="G981" s="287" t="s">
        <v>1190</v>
      </c>
      <c r="H981" s="302"/>
      <c r="I981" s="303"/>
    </row>
    <row r="982" spans="2:9" s="580" customFormat="1" ht="14.1" customHeight="1">
      <c r="B982" s="602"/>
      <c r="C982" s="755"/>
      <c r="D982" s="316"/>
      <c r="E982" s="316"/>
      <c r="F982" s="316"/>
      <c r="G982" s="1155" t="s">
        <v>728</v>
      </c>
      <c r="H982" s="1156"/>
      <c r="I982" s="631"/>
    </row>
    <row r="983" spans="2:9" s="580" customFormat="1" ht="14.1" customHeight="1">
      <c r="B983" s="602"/>
      <c r="C983" s="292" t="s">
        <v>9</v>
      </c>
      <c r="D983" s="293" t="s">
        <v>815</v>
      </c>
      <c r="E983" s="296"/>
      <c r="F983" s="296"/>
      <c r="G983" s="296"/>
      <c r="H983" s="296"/>
      <c r="I983" s="297"/>
    </row>
    <row r="984" spans="2:9" s="580" customFormat="1" ht="14.1" customHeight="1">
      <c r="B984" s="602"/>
      <c r="C984" s="754"/>
      <c r="D984" s="302"/>
      <c r="E984" s="302"/>
      <c r="F984" s="302"/>
      <c r="G984" s="302"/>
      <c r="H984" s="302"/>
      <c r="I984" s="303"/>
    </row>
    <row r="985" spans="2:9" s="580" customFormat="1" ht="14.1" customHeight="1">
      <c r="B985" s="602"/>
      <c r="C985" s="755"/>
      <c r="D985" s="316"/>
      <c r="E985" s="316"/>
      <c r="F985" s="316"/>
      <c r="G985" s="1163" t="s">
        <v>729</v>
      </c>
      <c r="H985" s="1164"/>
      <c r="I985" s="631"/>
    </row>
    <row r="986" spans="2:9" s="580" customFormat="1" ht="14.1" customHeight="1">
      <c r="B986" s="602"/>
      <c r="C986" s="290" t="s">
        <v>12</v>
      </c>
      <c r="D986" s="1113" t="s">
        <v>730</v>
      </c>
      <c r="E986" s="1114"/>
      <c r="F986" s="1114"/>
      <c r="G986" s="1160"/>
      <c r="H986" s="1160"/>
      <c r="I986" s="306"/>
    </row>
    <row r="987" spans="2:9" s="580" customFormat="1" ht="14.1" customHeight="1">
      <c r="B987" s="602"/>
      <c r="C987" s="290" t="s">
        <v>13</v>
      </c>
      <c r="D987" s="1116" t="s">
        <v>816</v>
      </c>
      <c r="E987" s="1117"/>
      <c r="F987" s="1118"/>
      <c r="G987" s="1113" t="s">
        <v>740</v>
      </c>
      <c r="H987" s="1114"/>
      <c r="I987" s="306"/>
    </row>
    <row r="988" spans="2:9" s="580" customFormat="1" ht="14.1" customHeight="1" thickBot="1">
      <c r="B988" s="602"/>
      <c r="C988" s="291" t="s">
        <v>14</v>
      </c>
      <c r="D988" s="1119" t="s">
        <v>817</v>
      </c>
      <c r="E988" s="1120"/>
      <c r="F988" s="1120"/>
      <c r="G988" s="1120"/>
      <c r="H988" s="1120"/>
      <c r="I988" s="307"/>
    </row>
    <row r="989" spans="2:9" s="580" customFormat="1" ht="14.1" customHeight="1">
      <c r="B989" s="602"/>
      <c r="H989" s="316"/>
      <c r="I989" s="316"/>
    </row>
    <row r="990" spans="2:9" s="567" customFormat="1" ht="15.95" customHeight="1" thickBot="1">
      <c r="B990" s="598">
        <v>49</v>
      </c>
      <c r="C990" s="566" t="s">
        <v>1251</v>
      </c>
      <c r="H990" s="568"/>
      <c r="I990" s="568"/>
    </row>
    <row r="991" spans="2:9" s="580" customFormat="1" ht="35.1" customHeight="1" thickBot="1">
      <c r="B991" s="602"/>
      <c r="C991" s="334" t="s">
        <v>840</v>
      </c>
      <c r="D991" s="335" t="s">
        <v>841</v>
      </c>
      <c r="E991" s="335" t="s">
        <v>842</v>
      </c>
      <c r="F991" s="335" t="s">
        <v>843</v>
      </c>
      <c r="G991" s="335" t="s">
        <v>844</v>
      </c>
      <c r="H991" s="431" t="s">
        <v>845</v>
      </c>
      <c r="I991" s="337" t="s">
        <v>846</v>
      </c>
    </row>
    <row r="992" spans="2:9" s="580" customFormat="1" ht="14.1" customHeight="1">
      <c r="B992" s="602"/>
      <c r="C992" s="543" t="s">
        <v>7</v>
      </c>
      <c r="D992" s="289" t="s">
        <v>810</v>
      </c>
      <c r="E992" s="299"/>
      <c r="F992" s="675"/>
      <c r="G992" s="299"/>
      <c r="H992" s="299"/>
      <c r="I992" s="300"/>
    </row>
    <row r="993" spans="2:9" s="580" customFormat="1" ht="14.1" customHeight="1">
      <c r="B993" s="602"/>
      <c r="C993" s="753"/>
      <c r="D993" s="289" t="s">
        <v>10</v>
      </c>
      <c r="E993" s="285" t="s">
        <v>16</v>
      </c>
      <c r="F993" s="658" t="s">
        <v>726</v>
      </c>
      <c r="G993" s="749">
        <v>0.9</v>
      </c>
      <c r="H993" s="299"/>
      <c r="I993" s="300"/>
    </row>
    <row r="994" spans="2:9" s="580" customFormat="1" ht="14.1" customHeight="1">
      <c r="B994" s="602"/>
      <c r="C994" s="753"/>
      <c r="D994" s="289" t="s">
        <v>143</v>
      </c>
      <c r="E994" s="285" t="s">
        <v>22</v>
      </c>
      <c r="F994" s="658" t="s">
        <v>726</v>
      </c>
      <c r="G994" s="749">
        <v>0.45</v>
      </c>
      <c r="H994" s="299"/>
      <c r="I994" s="300"/>
    </row>
    <row r="995" spans="2:9" s="580" customFormat="1" ht="14.1" customHeight="1">
      <c r="B995" s="602"/>
      <c r="C995" s="753"/>
      <c r="D995" s="289" t="s">
        <v>20</v>
      </c>
      <c r="E995" s="285" t="s">
        <v>21</v>
      </c>
      <c r="F995" s="658" t="s">
        <v>726</v>
      </c>
      <c r="G995" s="286">
        <v>4.4999999999999998E-2</v>
      </c>
      <c r="H995" s="299"/>
      <c r="I995" s="300"/>
    </row>
    <row r="996" spans="2:9" s="580" customFormat="1" ht="14.1" customHeight="1">
      <c r="B996" s="602"/>
      <c r="C996" s="754"/>
      <c r="D996" s="177" t="s">
        <v>11</v>
      </c>
      <c r="E996" s="287" t="s">
        <v>17</v>
      </c>
      <c r="F996" s="659" t="s">
        <v>726</v>
      </c>
      <c r="G996" s="288">
        <v>4.4999999999999998E-2</v>
      </c>
      <c r="H996" s="302"/>
      <c r="I996" s="303"/>
    </row>
    <row r="997" spans="2:9" s="580" customFormat="1" ht="14.1" customHeight="1">
      <c r="B997" s="602"/>
      <c r="C997" s="755"/>
      <c r="D997" s="316"/>
      <c r="E997" s="316"/>
      <c r="F997" s="316"/>
      <c r="G997" s="1261" t="s">
        <v>727</v>
      </c>
      <c r="H997" s="1262"/>
      <c r="I997" s="631"/>
    </row>
    <row r="998" spans="2:9" s="580" customFormat="1" ht="14.1" customHeight="1">
      <c r="B998" s="602"/>
      <c r="C998" s="292" t="s">
        <v>8</v>
      </c>
      <c r="D998" s="293" t="s">
        <v>811</v>
      </c>
      <c r="E998" s="296"/>
      <c r="F998" s="296"/>
      <c r="G998" s="296"/>
      <c r="H998" s="296"/>
      <c r="I998" s="297"/>
    </row>
    <row r="999" spans="2:9" s="580" customFormat="1" ht="14.1" customHeight="1">
      <c r="B999" s="602"/>
      <c r="C999" s="753"/>
      <c r="D999" s="289" t="s">
        <v>1189</v>
      </c>
      <c r="E999" s="299"/>
      <c r="F999" s="285" t="s">
        <v>825</v>
      </c>
      <c r="G999" s="749">
        <v>53</v>
      </c>
      <c r="H999" s="299"/>
      <c r="I999" s="300"/>
    </row>
    <row r="1000" spans="2:9" s="580" customFormat="1" ht="14.1" customHeight="1">
      <c r="B1000" s="602"/>
      <c r="C1000" s="753"/>
      <c r="D1000" s="289" t="s">
        <v>806</v>
      </c>
      <c r="E1000" s="299"/>
      <c r="F1000" s="285" t="s">
        <v>734</v>
      </c>
      <c r="G1000" s="749">
        <v>9.3000000000000007</v>
      </c>
      <c r="H1000" s="299"/>
      <c r="I1000" s="300"/>
    </row>
    <row r="1001" spans="2:9" s="580" customFormat="1" ht="14.1" customHeight="1">
      <c r="B1001" s="602"/>
      <c r="C1001" s="753"/>
      <c r="D1001" s="289" t="s">
        <v>211</v>
      </c>
      <c r="E1001" s="299"/>
      <c r="F1001" s="581" t="s">
        <v>1201</v>
      </c>
      <c r="G1001" s="286">
        <v>1.7999999999999999E-2</v>
      </c>
      <c r="H1001" s="299"/>
      <c r="I1001" s="300"/>
    </row>
    <row r="1002" spans="2:9" s="580" customFormat="1" ht="14.1" customHeight="1">
      <c r="B1002" s="602"/>
      <c r="C1002" s="754"/>
      <c r="D1002" s="177" t="s">
        <v>406</v>
      </c>
      <c r="E1002" s="302"/>
      <c r="F1002" s="287" t="s">
        <v>734</v>
      </c>
      <c r="G1002" s="617">
        <v>2.75</v>
      </c>
      <c r="H1002" s="302"/>
      <c r="I1002" s="303"/>
    </row>
    <row r="1003" spans="2:9" s="580" customFormat="1" ht="14.1" customHeight="1">
      <c r="B1003" s="602"/>
      <c r="C1003" s="755"/>
      <c r="D1003" s="316"/>
      <c r="E1003" s="316"/>
      <c r="F1003" s="316"/>
      <c r="G1003" s="1155" t="s">
        <v>728</v>
      </c>
      <c r="H1003" s="1156"/>
      <c r="I1003" s="631"/>
    </row>
    <row r="1004" spans="2:9" s="580" customFormat="1" ht="14.1" customHeight="1">
      <c r="B1004" s="602"/>
      <c r="C1004" s="292" t="s">
        <v>9</v>
      </c>
      <c r="D1004" s="293" t="s">
        <v>815</v>
      </c>
      <c r="E1004" s="296"/>
      <c r="F1004" s="296"/>
      <c r="G1004" s="296"/>
      <c r="H1004" s="296"/>
      <c r="I1004" s="297"/>
    </row>
    <row r="1005" spans="2:9" s="580" customFormat="1" ht="14.1" customHeight="1">
      <c r="B1005" s="602"/>
      <c r="C1005" s="754"/>
      <c r="D1005" s="302"/>
      <c r="E1005" s="302"/>
      <c r="F1005" s="302"/>
      <c r="G1005" s="302"/>
      <c r="H1005" s="302"/>
      <c r="I1005" s="303"/>
    </row>
    <row r="1006" spans="2:9" s="580" customFormat="1" ht="14.1" customHeight="1">
      <c r="B1006" s="602"/>
      <c r="C1006" s="755"/>
      <c r="D1006" s="316"/>
      <c r="E1006" s="316"/>
      <c r="F1006" s="316"/>
      <c r="G1006" s="1163" t="s">
        <v>729</v>
      </c>
      <c r="H1006" s="1164"/>
      <c r="I1006" s="631"/>
    </row>
    <row r="1007" spans="2:9" s="580" customFormat="1" ht="14.1" customHeight="1">
      <c r="B1007" s="602"/>
      <c r="C1007" s="290" t="s">
        <v>12</v>
      </c>
      <c r="D1007" s="1113" t="s">
        <v>730</v>
      </c>
      <c r="E1007" s="1114"/>
      <c r="F1007" s="1114"/>
      <c r="G1007" s="1160"/>
      <c r="H1007" s="1160"/>
      <c r="I1007" s="306"/>
    </row>
    <row r="1008" spans="2:9" s="580" customFormat="1" ht="14.1" customHeight="1">
      <c r="B1008" s="602"/>
      <c r="C1008" s="290" t="s">
        <v>13</v>
      </c>
      <c r="D1008" s="1116" t="s">
        <v>816</v>
      </c>
      <c r="E1008" s="1117"/>
      <c r="F1008" s="1118"/>
      <c r="G1008" s="1113" t="s">
        <v>740</v>
      </c>
      <c r="H1008" s="1114"/>
      <c r="I1008" s="306"/>
    </row>
    <row r="1009" spans="2:9" s="580" customFormat="1" ht="14.1" customHeight="1" thickBot="1">
      <c r="B1009" s="602"/>
      <c r="C1009" s="291" t="s">
        <v>14</v>
      </c>
      <c r="D1009" s="1119" t="s">
        <v>817</v>
      </c>
      <c r="E1009" s="1120"/>
      <c r="F1009" s="1120"/>
      <c r="G1009" s="1120"/>
      <c r="H1009" s="1120"/>
      <c r="I1009" s="307"/>
    </row>
    <row r="1010" spans="2:9" s="580" customFormat="1" ht="14.1" customHeight="1">
      <c r="B1010" s="602"/>
      <c r="C1010" s="623"/>
      <c r="D1010" s="576"/>
      <c r="E1010" s="576"/>
      <c r="F1010" s="576"/>
      <c r="G1010" s="576"/>
      <c r="H1010" s="915"/>
      <c r="I1010" s="316"/>
    </row>
    <row r="1011" spans="2:9" s="567" customFormat="1" ht="15.95" customHeight="1" thickBot="1">
      <c r="B1011" s="598">
        <v>50</v>
      </c>
      <c r="C1011" s="566" t="s">
        <v>1252</v>
      </c>
      <c r="H1011" s="568"/>
      <c r="I1011" s="568"/>
    </row>
    <row r="1012" spans="2:9" s="580" customFormat="1" ht="35.1" customHeight="1" thickBot="1">
      <c r="B1012" s="602"/>
      <c r="C1012" s="334" t="s">
        <v>840</v>
      </c>
      <c r="D1012" s="335" t="s">
        <v>841</v>
      </c>
      <c r="E1012" s="335" t="s">
        <v>842</v>
      </c>
      <c r="F1012" s="335" t="s">
        <v>843</v>
      </c>
      <c r="G1012" s="335" t="s">
        <v>844</v>
      </c>
      <c r="H1012" s="431" t="s">
        <v>845</v>
      </c>
      <c r="I1012" s="337" t="s">
        <v>846</v>
      </c>
    </row>
    <row r="1013" spans="2:9" s="580" customFormat="1" ht="14.1" customHeight="1">
      <c r="B1013" s="602"/>
      <c r="C1013" s="543" t="s">
        <v>7</v>
      </c>
      <c r="D1013" s="289" t="s">
        <v>810</v>
      </c>
      <c r="E1013" s="299"/>
      <c r="F1013" s="299"/>
      <c r="G1013" s="299"/>
      <c r="H1013" s="299"/>
      <c r="I1013" s="300"/>
    </row>
    <row r="1014" spans="2:9" s="580" customFormat="1" ht="14.1" customHeight="1">
      <c r="B1014" s="602"/>
      <c r="C1014" s="753"/>
      <c r="D1014" s="289" t="s">
        <v>10</v>
      </c>
      <c r="E1014" s="285" t="s">
        <v>16</v>
      </c>
      <c r="F1014" s="285" t="s">
        <v>726</v>
      </c>
      <c r="G1014" s="749">
        <v>0.9</v>
      </c>
      <c r="H1014" s="299"/>
      <c r="I1014" s="300"/>
    </row>
    <row r="1015" spans="2:9" s="580" customFormat="1" ht="14.1" customHeight="1">
      <c r="B1015" s="602"/>
      <c r="C1015" s="753"/>
      <c r="D1015" s="289" t="s">
        <v>143</v>
      </c>
      <c r="E1015" s="285" t="s">
        <v>22</v>
      </c>
      <c r="F1015" s="285" t="s">
        <v>726</v>
      </c>
      <c r="G1015" s="749">
        <v>0.45</v>
      </c>
      <c r="H1015" s="299"/>
      <c r="I1015" s="300"/>
    </row>
    <row r="1016" spans="2:9" s="580" customFormat="1" ht="14.1" customHeight="1">
      <c r="B1016" s="602"/>
      <c r="C1016" s="753"/>
      <c r="D1016" s="289" t="s">
        <v>20</v>
      </c>
      <c r="E1016" s="285" t="s">
        <v>21</v>
      </c>
      <c r="F1016" s="285" t="s">
        <v>726</v>
      </c>
      <c r="G1016" s="286">
        <v>4.4999999999999998E-2</v>
      </c>
      <c r="H1016" s="299"/>
      <c r="I1016" s="300"/>
    </row>
    <row r="1017" spans="2:9" s="580" customFormat="1" ht="14.1" customHeight="1">
      <c r="B1017" s="602"/>
      <c r="C1017" s="754"/>
      <c r="D1017" s="177" t="s">
        <v>11</v>
      </c>
      <c r="E1017" s="287" t="s">
        <v>17</v>
      </c>
      <c r="F1017" s="287" t="s">
        <v>726</v>
      </c>
      <c r="G1017" s="288">
        <v>4.4999999999999998E-2</v>
      </c>
      <c r="H1017" s="302"/>
      <c r="I1017" s="303"/>
    </row>
    <row r="1018" spans="2:9" s="580" customFormat="1" ht="14.1" customHeight="1">
      <c r="B1018" s="602"/>
      <c r="C1018" s="755"/>
      <c r="D1018" s="316"/>
      <c r="E1018" s="316"/>
      <c r="F1018" s="316"/>
      <c r="G1018" s="1155" t="s">
        <v>727</v>
      </c>
      <c r="H1018" s="1156"/>
      <c r="I1018" s="631"/>
    </row>
    <row r="1019" spans="2:9" s="580" customFormat="1" ht="14.1" customHeight="1">
      <c r="B1019" s="602"/>
      <c r="C1019" s="292" t="s">
        <v>8</v>
      </c>
      <c r="D1019" s="293" t="s">
        <v>811</v>
      </c>
      <c r="E1019" s="296"/>
      <c r="F1019" s="296"/>
      <c r="G1019" s="296"/>
      <c r="H1019" s="296"/>
      <c r="I1019" s="297"/>
    </row>
    <row r="1020" spans="2:9" s="580" customFormat="1" ht="14.1" customHeight="1">
      <c r="B1020" s="602"/>
      <c r="C1020" s="753"/>
      <c r="D1020" s="289" t="s">
        <v>1189</v>
      </c>
      <c r="E1020" s="299"/>
      <c r="F1020" s="285" t="s">
        <v>825</v>
      </c>
      <c r="G1020" s="749">
        <v>26</v>
      </c>
      <c r="H1020" s="299"/>
      <c r="I1020" s="300"/>
    </row>
    <row r="1021" spans="2:9" s="580" customFormat="1" ht="14.1" customHeight="1">
      <c r="B1021" s="602"/>
      <c r="C1021" s="753"/>
      <c r="D1021" s="289" t="s">
        <v>806</v>
      </c>
      <c r="E1021" s="299"/>
      <c r="F1021" s="285" t="s">
        <v>734</v>
      </c>
      <c r="G1021" s="749">
        <v>9.3000000000000007</v>
      </c>
      <c r="H1021" s="299"/>
      <c r="I1021" s="300"/>
    </row>
    <row r="1022" spans="2:9" s="580" customFormat="1" ht="14.1" customHeight="1">
      <c r="B1022" s="602"/>
      <c r="C1022" s="753"/>
      <c r="D1022" s="289" t="s">
        <v>211</v>
      </c>
      <c r="E1022" s="299"/>
      <c r="F1022" s="581" t="s">
        <v>1201</v>
      </c>
      <c r="G1022" s="286">
        <v>1.7999999999999999E-2</v>
      </c>
      <c r="H1022" s="299"/>
      <c r="I1022" s="300"/>
    </row>
    <row r="1023" spans="2:9" s="580" customFormat="1" ht="14.1" customHeight="1">
      <c r="B1023" s="602"/>
      <c r="C1023" s="754"/>
      <c r="D1023" s="177" t="s">
        <v>406</v>
      </c>
      <c r="E1023" s="302"/>
      <c r="F1023" s="287" t="s">
        <v>734</v>
      </c>
      <c r="G1023" s="617">
        <v>1.94</v>
      </c>
      <c r="H1023" s="302"/>
      <c r="I1023" s="303"/>
    </row>
    <row r="1024" spans="2:9" s="580" customFormat="1" ht="14.1" customHeight="1">
      <c r="B1024" s="602"/>
      <c r="C1024" s="755"/>
      <c r="D1024" s="316"/>
      <c r="E1024" s="316"/>
      <c r="F1024" s="316"/>
      <c r="G1024" s="1155" t="s">
        <v>728</v>
      </c>
      <c r="H1024" s="1156"/>
      <c r="I1024" s="631"/>
    </row>
    <row r="1025" spans="2:9" s="580" customFormat="1" ht="14.1" customHeight="1">
      <c r="B1025" s="602"/>
      <c r="C1025" s="292" t="s">
        <v>9</v>
      </c>
      <c r="D1025" s="293" t="s">
        <v>815</v>
      </c>
      <c r="E1025" s="296"/>
      <c r="F1025" s="296"/>
      <c r="G1025" s="296"/>
      <c r="H1025" s="296"/>
      <c r="I1025" s="297"/>
    </row>
    <row r="1026" spans="2:9" s="580" customFormat="1" ht="14.1" customHeight="1">
      <c r="B1026" s="602"/>
      <c r="C1026" s="754"/>
      <c r="D1026" s="302"/>
      <c r="E1026" s="302"/>
      <c r="F1026" s="302"/>
      <c r="G1026" s="302"/>
      <c r="H1026" s="302"/>
      <c r="I1026" s="303"/>
    </row>
    <row r="1027" spans="2:9" s="580" customFormat="1" ht="14.1" customHeight="1">
      <c r="B1027" s="602"/>
      <c r="C1027" s="755"/>
      <c r="D1027" s="316"/>
      <c r="E1027" s="316"/>
      <c r="F1027" s="316"/>
      <c r="G1027" s="1163" t="s">
        <v>729</v>
      </c>
      <c r="H1027" s="1164"/>
      <c r="I1027" s="631"/>
    </row>
    <row r="1028" spans="2:9" s="580" customFormat="1" ht="14.1" customHeight="1">
      <c r="B1028" s="602"/>
      <c r="C1028" s="290" t="s">
        <v>12</v>
      </c>
      <c r="D1028" s="1113" t="s">
        <v>730</v>
      </c>
      <c r="E1028" s="1114"/>
      <c r="F1028" s="1114"/>
      <c r="G1028" s="1160"/>
      <c r="H1028" s="1160"/>
      <c r="I1028" s="306"/>
    </row>
    <row r="1029" spans="2:9" s="580" customFormat="1" ht="14.1" customHeight="1">
      <c r="B1029" s="602"/>
      <c r="C1029" s="290" t="s">
        <v>13</v>
      </c>
      <c r="D1029" s="1116" t="s">
        <v>816</v>
      </c>
      <c r="E1029" s="1117"/>
      <c r="F1029" s="1118"/>
      <c r="G1029" s="1113" t="s">
        <v>740</v>
      </c>
      <c r="H1029" s="1114"/>
      <c r="I1029" s="306"/>
    </row>
    <row r="1030" spans="2:9" s="580" customFormat="1" ht="14.1" customHeight="1" thickBot="1">
      <c r="B1030" s="602"/>
      <c r="C1030" s="291" t="s">
        <v>14</v>
      </c>
      <c r="D1030" s="1119" t="s">
        <v>817</v>
      </c>
      <c r="E1030" s="1120"/>
      <c r="F1030" s="1120"/>
      <c r="G1030" s="1120"/>
      <c r="H1030" s="1120"/>
      <c r="I1030" s="307"/>
    </row>
    <row r="1031" spans="2:9" s="580" customFormat="1" ht="14.1" customHeight="1">
      <c r="B1031" s="602"/>
      <c r="H1031" s="316"/>
      <c r="I1031" s="316"/>
    </row>
    <row r="1032" spans="2:9" s="567" customFormat="1" ht="15.95" customHeight="1" thickBot="1">
      <c r="B1032" s="598">
        <v>51</v>
      </c>
      <c r="C1032" s="566" t="s">
        <v>1253</v>
      </c>
      <c r="H1032" s="568"/>
      <c r="I1032" s="568"/>
    </row>
    <row r="1033" spans="2:9" s="580" customFormat="1" ht="35.1" customHeight="1" thickBot="1">
      <c r="B1033" s="602"/>
      <c r="C1033" s="334" t="s">
        <v>840</v>
      </c>
      <c r="D1033" s="335" t="s">
        <v>841</v>
      </c>
      <c r="E1033" s="335" t="s">
        <v>842</v>
      </c>
      <c r="F1033" s="335" t="s">
        <v>843</v>
      </c>
      <c r="G1033" s="335" t="s">
        <v>844</v>
      </c>
      <c r="H1033" s="335" t="s">
        <v>845</v>
      </c>
      <c r="I1033" s="337" t="s">
        <v>846</v>
      </c>
    </row>
    <row r="1034" spans="2:9" s="580" customFormat="1" ht="14.1" customHeight="1">
      <c r="B1034" s="602"/>
      <c r="C1034" s="543" t="s">
        <v>7</v>
      </c>
      <c r="D1034" s="289" t="s">
        <v>810</v>
      </c>
      <c r="E1034" s="299"/>
      <c r="F1034" s="299"/>
      <c r="G1034" s="299"/>
      <c r="H1034" s="299"/>
      <c r="I1034" s="300"/>
    </row>
    <row r="1035" spans="2:9" s="580" customFormat="1" ht="14.1" customHeight="1">
      <c r="B1035" s="602"/>
      <c r="C1035" s="753"/>
      <c r="D1035" s="289" t="s">
        <v>10</v>
      </c>
      <c r="E1035" s="285" t="s">
        <v>16</v>
      </c>
      <c r="F1035" s="285" t="s">
        <v>726</v>
      </c>
      <c r="G1035" s="749">
        <v>0.9</v>
      </c>
      <c r="H1035" s="299"/>
      <c r="I1035" s="300"/>
    </row>
    <row r="1036" spans="2:9" s="580" customFormat="1" ht="14.1" customHeight="1">
      <c r="B1036" s="602"/>
      <c r="C1036" s="753"/>
      <c r="D1036" s="289" t="s">
        <v>143</v>
      </c>
      <c r="E1036" s="285" t="s">
        <v>22</v>
      </c>
      <c r="F1036" s="285" t="s">
        <v>726</v>
      </c>
      <c r="G1036" s="749">
        <v>0.45</v>
      </c>
      <c r="H1036" s="299"/>
      <c r="I1036" s="300"/>
    </row>
    <row r="1037" spans="2:9" s="580" customFormat="1" ht="14.1" customHeight="1">
      <c r="B1037" s="602"/>
      <c r="C1037" s="753"/>
      <c r="D1037" s="289" t="s">
        <v>20</v>
      </c>
      <c r="E1037" s="285" t="s">
        <v>21</v>
      </c>
      <c r="F1037" s="285" t="s">
        <v>726</v>
      </c>
      <c r="G1037" s="286">
        <v>4.4999999999999998E-2</v>
      </c>
      <c r="H1037" s="299"/>
      <c r="I1037" s="300"/>
    </row>
    <row r="1038" spans="2:9" s="580" customFormat="1" ht="14.1" customHeight="1">
      <c r="B1038" s="602"/>
      <c r="C1038" s="754"/>
      <c r="D1038" s="177" t="s">
        <v>11</v>
      </c>
      <c r="E1038" s="287" t="s">
        <v>17</v>
      </c>
      <c r="F1038" s="287" t="s">
        <v>726</v>
      </c>
      <c r="G1038" s="288">
        <v>4.4999999999999998E-2</v>
      </c>
      <c r="H1038" s="302"/>
      <c r="I1038" s="303"/>
    </row>
    <row r="1039" spans="2:9" s="580" customFormat="1" ht="14.1" customHeight="1">
      <c r="B1039" s="602"/>
      <c r="C1039" s="755"/>
      <c r="D1039" s="316"/>
      <c r="E1039" s="316"/>
      <c r="F1039" s="316"/>
      <c r="G1039" s="1155" t="s">
        <v>727</v>
      </c>
      <c r="H1039" s="1156"/>
      <c r="I1039" s="631"/>
    </row>
    <row r="1040" spans="2:9" s="580" customFormat="1" ht="14.1" customHeight="1">
      <c r="B1040" s="602"/>
      <c r="C1040" s="292" t="s">
        <v>8</v>
      </c>
      <c r="D1040" s="293" t="s">
        <v>811</v>
      </c>
      <c r="E1040" s="296"/>
      <c r="F1040" s="296"/>
      <c r="G1040" s="296"/>
      <c r="H1040" s="296"/>
      <c r="I1040" s="297"/>
    </row>
    <row r="1041" spans="2:9" s="580" customFormat="1" ht="14.1" customHeight="1">
      <c r="B1041" s="602"/>
      <c r="C1041" s="753"/>
      <c r="D1041" s="289" t="s">
        <v>1191</v>
      </c>
      <c r="E1041" s="299"/>
      <c r="F1041" s="285" t="s">
        <v>825</v>
      </c>
      <c r="G1041" s="749">
        <v>53</v>
      </c>
      <c r="H1041" s="299"/>
      <c r="I1041" s="300"/>
    </row>
    <row r="1042" spans="2:9" s="580" customFormat="1" ht="14.1" customHeight="1">
      <c r="B1042" s="602"/>
      <c r="C1042" s="753"/>
      <c r="D1042" s="289" t="s">
        <v>806</v>
      </c>
      <c r="E1042" s="299"/>
      <c r="F1042" s="285" t="s">
        <v>734</v>
      </c>
      <c r="G1042" s="749">
        <v>9.3000000000000007</v>
      </c>
      <c r="H1042" s="299"/>
      <c r="I1042" s="300"/>
    </row>
    <row r="1043" spans="2:9" s="580" customFormat="1" ht="14.1" customHeight="1">
      <c r="B1043" s="602"/>
      <c r="C1043" s="753"/>
      <c r="D1043" s="289" t="s">
        <v>211</v>
      </c>
      <c r="E1043" s="299"/>
      <c r="F1043" s="581" t="s">
        <v>1201</v>
      </c>
      <c r="G1043" s="286">
        <v>1.7999999999999999E-2</v>
      </c>
      <c r="H1043" s="299"/>
      <c r="I1043" s="300"/>
    </row>
    <row r="1044" spans="2:9" s="580" customFormat="1" ht="14.1" customHeight="1">
      <c r="B1044" s="602"/>
      <c r="C1044" s="754"/>
      <c r="D1044" s="177" t="s">
        <v>406</v>
      </c>
      <c r="E1044" s="302"/>
      <c r="F1044" s="287" t="s">
        <v>734</v>
      </c>
      <c r="G1044" s="617">
        <v>2.75</v>
      </c>
      <c r="H1044" s="302"/>
      <c r="I1044" s="303"/>
    </row>
    <row r="1045" spans="2:9" s="580" customFormat="1" ht="14.1" customHeight="1">
      <c r="B1045" s="602"/>
      <c r="C1045" s="755"/>
      <c r="D1045" s="316"/>
      <c r="E1045" s="316"/>
      <c r="F1045" s="316"/>
      <c r="G1045" s="1155" t="s">
        <v>728</v>
      </c>
      <c r="H1045" s="1156"/>
      <c r="I1045" s="631"/>
    </row>
    <row r="1046" spans="2:9" s="580" customFormat="1" ht="14.1" customHeight="1">
      <c r="B1046" s="602"/>
      <c r="C1046" s="292" t="s">
        <v>9</v>
      </c>
      <c r="D1046" s="293" t="s">
        <v>815</v>
      </c>
      <c r="E1046" s="296"/>
      <c r="F1046" s="296"/>
      <c r="G1046" s="296"/>
      <c r="H1046" s="296"/>
      <c r="I1046" s="297"/>
    </row>
    <row r="1047" spans="2:9" s="580" customFormat="1" ht="14.1" customHeight="1">
      <c r="B1047" s="602"/>
      <c r="C1047" s="754"/>
      <c r="D1047" s="302"/>
      <c r="E1047" s="302"/>
      <c r="F1047" s="302"/>
      <c r="G1047" s="302"/>
      <c r="H1047" s="302"/>
      <c r="I1047" s="303"/>
    </row>
    <row r="1048" spans="2:9" s="580" customFormat="1" ht="14.1" customHeight="1">
      <c r="B1048" s="602"/>
      <c r="C1048" s="755"/>
      <c r="D1048" s="316"/>
      <c r="E1048" s="316"/>
      <c r="F1048" s="316"/>
      <c r="G1048" s="1163" t="s">
        <v>729</v>
      </c>
      <c r="H1048" s="1164"/>
      <c r="I1048" s="631"/>
    </row>
    <row r="1049" spans="2:9" s="580" customFormat="1" ht="14.1" customHeight="1">
      <c r="B1049" s="602"/>
      <c r="C1049" s="290" t="s">
        <v>12</v>
      </c>
      <c r="D1049" s="1113" t="s">
        <v>730</v>
      </c>
      <c r="E1049" s="1114"/>
      <c r="F1049" s="1114"/>
      <c r="G1049" s="1160"/>
      <c r="H1049" s="1126"/>
      <c r="I1049" s="306"/>
    </row>
    <row r="1050" spans="2:9" s="580" customFormat="1" ht="14.1" customHeight="1">
      <c r="B1050" s="602"/>
      <c r="C1050" s="290" t="s">
        <v>13</v>
      </c>
      <c r="D1050" s="1116" t="s">
        <v>816</v>
      </c>
      <c r="E1050" s="1117"/>
      <c r="F1050" s="1118"/>
      <c r="G1050" s="1113" t="s">
        <v>740</v>
      </c>
      <c r="H1050" s="1115"/>
      <c r="I1050" s="306"/>
    </row>
    <row r="1051" spans="2:9" s="580" customFormat="1" ht="14.1" customHeight="1" thickBot="1">
      <c r="B1051" s="602"/>
      <c r="C1051" s="291" t="s">
        <v>14</v>
      </c>
      <c r="D1051" s="1119" t="s">
        <v>817</v>
      </c>
      <c r="E1051" s="1120"/>
      <c r="F1051" s="1120"/>
      <c r="G1051" s="1120"/>
      <c r="H1051" s="1121"/>
      <c r="I1051" s="307"/>
    </row>
    <row r="1052" spans="2:9" s="567" customFormat="1" ht="15.95" customHeight="1" thickBot="1">
      <c r="B1052" s="598">
        <v>52</v>
      </c>
      <c r="C1052" s="566" t="s">
        <v>1254</v>
      </c>
      <c r="H1052" s="568"/>
      <c r="I1052" s="568"/>
    </row>
    <row r="1053" spans="2:9" s="580" customFormat="1" ht="35.1" customHeight="1" thickBot="1">
      <c r="B1053" s="602"/>
      <c r="C1053" s="334" t="s">
        <v>840</v>
      </c>
      <c r="D1053" s="335" t="s">
        <v>841</v>
      </c>
      <c r="E1053" s="335" t="s">
        <v>842</v>
      </c>
      <c r="F1053" s="335" t="s">
        <v>843</v>
      </c>
      <c r="G1053" s="335" t="s">
        <v>844</v>
      </c>
      <c r="H1053" s="335" t="s">
        <v>845</v>
      </c>
      <c r="I1053" s="337" t="s">
        <v>846</v>
      </c>
    </row>
    <row r="1054" spans="2:9" s="580" customFormat="1" ht="14.1" customHeight="1">
      <c r="B1054" s="602"/>
      <c r="C1054" s="491" t="s">
        <v>7</v>
      </c>
      <c r="D1054" s="365" t="s">
        <v>810</v>
      </c>
      <c r="E1054" s="382"/>
      <c r="F1054" s="382"/>
      <c r="G1054" s="382"/>
      <c r="H1054" s="382"/>
      <c r="I1054" s="384"/>
    </row>
    <row r="1055" spans="2:9" s="580" customFormat="1" ht="14.1" customHeight="1">
      <c r="B1055" s="602"/>
      <c r="C1055" s="758"/>
      <c r="D1055" s="365" t="s">
        <v>10</v>
      </c>
      <c r="E1055" s="351" t="s">
        <v>16</v>
      </c>
      <c r="F1055" s="351" t="s">
        <v>726</v>
      </c>
      <c r="G1055" s="396">
        <v>0.9</v>
      </c>
      <c r="H1055" s="382"/>
      <c r="I1055" s="384"/>
    </row>
    <row r="1056" spans="2:9" s="580" customFormat="1" ht="14.1" customHeight="1">
      <c r="B1056" s="602"/>
      <c r="C1056" s="758"/>
      <c r="D1056" s="365" t="s">
        <v>143</v>
      </c>
      <c r="E1056" s="351" t="s">
        <v>22</v>
      </c>
      <c r="F1056" s="351" t="s">
        <v>726</v>
      </c>
      <c r="G1056" s="396">
        <v>0.45</v>
      </c>
      <c r="H1056" s="382"/>
      <c r="I1056" s="384"/>
    </row>
    <row r="1057" spans="2:9" s="580" customFormat="1" ht="14.1" customHeight="1">
      <c r="B1057" s="602"/>
      <c r="C1057" s="758"/>
      <c r="D1057" s="365" t="s">
        <v>20</v>
      </c>
      <c r="E1057" s="351" t="s">
        <v>21</v>
      </c>
      <c r="F1057" s="351" t="s">
        <v>726</v>
      </c>
      <c r="G1057" s="352">
        <v>4.4999999999999998E-2</v>
      </c>
      <c r="H1057" s="382"/>
      <c r="I1057" s="384"/>
    </row>
    <row r="1058" spans="2:9" s="580" customFormat="1" ht="14.1" customHeight="1">
      <c r="B1058" s="602"/>
      <c r="C1058" s="759"/>
      <c r="D1058" s="387" t="s">
        <v>11</v>
      </c>
      <c r="E1058" s="354" t="s">
        <v>17</v>
      </c>
      <c r="F1058" s="354" t="s">
        <v>726</v>
      </c>
      <c r="G1058" s="355">
        <v>4.4999999999999998E-2</v>
      </c>
      <c r="H1058" s="388"/>
      <c r="I1058" s="389"/>
    </row>
    <row r="1059" spans="2:9" s="580" customFormat="1" ht="14.1" customHeight="1">
      <c r="B1059" s="602"/>
      <c r="C1059" s="760"/>
      <c r="D1059" s="440"/>
      <c r="E1059" s="440"/>
      <c r="F1059" s="440"/>
      <c r="G1059" s="1027" t="s">
        <v>727</v>
      </c>
      <c r="H1059" s="1028"/>
      <c r="I1059" s="435"/>
    </row>
    <row r="1060" spans="2:9" s="580" customFormat="1" ht="14.1" customHeight="1">
      <c r="B1060" s="602"/>
      <c r="C1060" s="457" t="s">
        <v>8</v>
      </c>
      <c r="D1060" s="458" t="s">
        <v>811</v>
      </c>
      <c r="E1060" s="393"/>
      <c r="F1060" s="393"/>
      <c r="G1060" s="393"/>
      <c r="H1060" s="393"/>
      <c r="I1060" s="395"/>
    </row>
    <row r="1061" spans="2:9" s="580" customFormat="1" ht="14.1" customHeight="1">
      <c r="B1061" s="602"/>
      <c r="C1061" s="758"/>
      <c r="D1061" s="365" t="s">
        <v>1191</v>
      </c>
      <c r="E1061" s="382"/>
      <c r="F1061" s="351" t="s">
        <v>825</v>
      </c>
      <c r="G1061" s="396">
        <v>106</v>
      </c>
      <c r="H1061" s="382"/>
      <c r="I1061" s="395"/>
    </row>
    <row r="1062" spans="2:9" s="580" customFormat="1" ht="14.1" customHeight="1">
      <c r="B1062" s="602"/>
      <c r="C1062" s="758"/>
      <c r="D1062" s="365" t="s">
        <v>806</v>
      </c>
      <c r="E1062" s="382"/>
      <c r="F1062" s="351" t="s">
        <v>734</v>
      </c>
      <c r="G1062" s="396">
        <v>9.3000000000000007</v>
      </c>
      <c r="H1062" s="382"/>
      <c r="I1062" s="395"/>
    </row>
    <row r="1063" spans="2:9" s="580" customFormat="1" ht="14.1" customHeight="1">
      <c r="B1063" s="602"/>
      <c r="C1063" s="758"/>
      <c r="D1063" s="365" t="s">
        <v>211</v>
      </c>
      <c r="E1063" s="382"/>
      <c r="F1063" s="383" t="s">
        <v>1201</v>
      </c>
      <c r="G1063" s="352">
        <v>1.7999999999999999E-2</v>
      </c>
      <c r="H1063" s="382"/>
      <c r="I1063" s="395"/>
    </row>
    <row r="1064" spans="2:9" s="580" customFormat="1" ht="14.1" customHeight="1">
      <c r="B1064" s="602"/>
      <c r="C1064" s="759"/>
      <c r="D1064" s="387" t="s">
        <v>406</v>
      </c>
      <c r="E1064" s="388"/>
      <c r="F1064" s="354" t="s">
        <v>734</v>
      </c>
      <c r="G1064" s="397">
        <v>2.9</v>
      </c>
      <c r="H1064" s="388"/>
      <c r="I1064" s="395"/>
    </row>
    <row r="1065" spans="2:9" s="580" customFormat="1" ht="14.1" customHeight="1">
      <c r="B1065" s="602"/>
      <c r="C1065" s="760"/>
      <c r="D1065" s="440"/>
      <c r="E1065" s="440"/>
      <c r="F1065" s="440"/>
      <c r="G1065" s="1043" t="s">
        <v>728</v>
      </c>
      <c r="H1065" s="1043"/>
      <c r="I1065" s="435"/>
    </row>
    <row r="1066" spans="2:9" s="580" customFormat="1" ht="14.1" customHeight="1">
      <c r="B1066" s="602"/>
      <c r="C1066" s="457" t="s">
        <v>9</v>
      </c>
      <c r="D1066" s="458" t="s">
        <v>815</v>
      </c>
      <c r="E1066" s="393"/>
      <c r="F1066" s="393"/>
      <c r="G1066" s="393"/>
      <c r="H1066" s="393"/>
      <c r="I1066" s="395"/>
    </row>
    <row r="1067" spans="2:9" s="580" customFormat="1" ht="14.1" customHeight="1">
      <c r="B1067" s="602"/>
      <c r="C1067" s="759"/>
      <c r="D1067" s="388"/>
      <c r="E1067" s="388"/>
      <c r="F1067" s="388"/>
      <c r="G1067" s="388"/>
      <c r="H1067" s="388"/>
      <c r="I1067" s="395"/>
    </row>
    <row r="1068" spans="2:9" s="580" customFormat="1" ht="14.1" customHeight="1">
      <c r="B1068" s="602"/>
      <c r="C1068" s="760"/>
      <c r="D1068" s="440"/>
      <c r="E1068" s="440"/>
      <c r="F1068" s="440"/>
      <c r="G1068" s="1027" t="s">
        <v>729</v>
      </c>
      <c r="H1068" s="1028"/>
      <c r="I1068" s="435"/>
    </row>
    <row r="1069" spans="2:9" s="580" customFormat="1" ht="14.1" customHeight="1">
      <c r="B1069" s="602"/>
      <c r="C1069" s="377" t="s">
        <v>12</v>
      </c>
      <c r="D1069" s="1039" t="s">
        <v>730</v>
      </c>
      <c r="E1069" s="1035"/>
      <c r="F1069" s="1035"/>
      <c r="G1069" s="1034"/>
      <c r="H1069" s="1023"/>
      <c r="I1069" s="403"/>
    </row>
    <row r="1070" spans="2:9" s="580" customFormat="1" ht="14.1" customHeight="1">
      <c r="B1070" s="602"/>
      <c r="C1070" s="377" t="s">
        <v>13</v>
      </c>
      <c r="D1070" s="1036" t="s">
        <v>816</v>
      </c>
      <c r="E1070" s="1037"/>
      <c r="F1070" s="1038"/>
      <c r="G1070" s="1039" t="s">
        <v>740</v>
      </c>
      <c r="H1070" s="1051"/>
      <c r="I1070" s="403"/>
    </row>
    <row r="1071" spans="2:9" s="580" customFormat="1" ht="14.1" customHeight="1" thickBot="1">
      <c r="B1071" s="602"/>
      <c r="C1071" s="456" t="s">
        <v>14</v>
      </c>
      <c r="D1071" s="1029" t="s">
        <v>817</v>
      </c>
      <c r="E1071" s="1030"/>
      <c r="F1071" s="1030"/>
      <c r="G1071" s="1030"/>
      <c r="H1071" s="1031"/>
      <c r="I1071" s="404"/>
    </row>
    <row r="1072" spans="2:9" s="580" customFormat="1" ht="14.1" customHeight="1">
      <c r="B1072" s="602"/>
      <c r="H1072" s="316"/>
      <c r="I1072" s="316"/>
    </row>
    <row r="1073" spans="2:9" s="567" customFormat="1" ht="17.25" customHeight="1" thickBot="1">
      <c r="B1073" s="598">
        <v>53</v>
      </c>
      <c r="C1073" s="566" t="s">
        <v>1255</v>
      </c>
      <c r="H1073" s="568"/>
      <c r="I1073" s="568"/>
    </row>
    <row r="1074" spans="2:9" s="580" customFormat="1" ht="35.1" customHeight="1" thickBot="1">
      <c r="B1074" s="602"/>
      <c r="C1074" s="334" t="s">
        <v>840</v>
      </c>
      <c r="D1074" s="335" t="s">
        <v>841</v>
      </c>
      <c r="E1074" s="335" t="s">
        <v>842</v>
      </c>
      <c r="F1074" s="335" t="s">
        <v>843</v>
      </c>
      <c r="G1074" s="335" t="s">
        <v>844</v>
      </c>
      <c r="H1074" s="431" t="s">
        <v>845</v>
      </c>
      <c r="I1074" s="337" t="s">
        <v>846</v>
      </c>
    </row>
    <row r="1075" spans="2:9" s="580" customFormat="1" ht="14.1" customHeight="1">
      <c r="B1075" s="602"/>
      <c r="C1075" s="543" t="s">
        <v>7</v>
      </c>
      <c r="D1075" s="289" t="s">
        <v>810</v>
      </c>
      <c r="E1075" s="299"/>
      <c r="F1075" s="299"/>
      <c r="G1075" s="299"/>
      <c r="H1075" s="299"/>
      <c r="I1075" s="300"/>
    </row>
    <row r="1076" spans="2:9" s="580" customFormat="1" ht="14.1" customHeight="1">
      <c r="B1076" s="602"/>
      <c r="C1076" s="753"/>
      <c r="D1076" s="289" t="s">
        <v>10</v>
      </c>
      <c r="E1076" s="285" t="s">
        <v>16</v>
      </c>
      <c r="F1076" s="285" t="s">
        <v>726</v>
      </c>
      <c r="G1076" s="749">
        <v>0.9</v>
      </c>
      <c r="H1076" s="299"/>
      <c r="I1076" s="300"/>
    </row>
    <row r="1077" spans="2:9" s="580" customFormat="1" ht="14.1" customHeight="1">
      <c r="B1077" s="602"/>
      <c r="C1077" s="753"/>
      <c r="D1077" s="289" t="s">
        <v>143</v>
      </c>
      <c r="E1077" s="285" t="s">
        <v>22</v>
      </c>
      <c r="F1077" s="285" t="s">
        <v>726</v>
      </c>
      <c r="G1077" s="749">
        <v>0.45</v>
      </c>
      <c r="H1077" s="299"/>
      <c r="I1077" s="300"/>
    </row>
    <row r="1078" spans="2:9" s="580" customFormat="1" ht="14.1" customHeight="1">
      <c r="B1078" s="602"/>
      <c r="C1078" s="753"/>
      <c r="D1078" s="289" t="s">
        <v>20</v>
      </c>
      <c r="E1078" s="285" t="s">
        <v>21</v>
      </c>
      <c r="F1078" s="285" t="s">
        <v>726</v>
      </c>
      <c r="G1078" s="286">
        <v>4.4999999999999998E-2</v>
      </c>
      <c r="H1078" s="299"/>
      <c r="I1078" s="300"/>
    </row>
    <row r="1079" spans="2:9" s="580" customFormat="1" ht="14.1" customHeight="1">
      <c r="B1079" s="602"/>
      <c r="C1079" s="754"/>
      <c r="D1079" s="177" t="s">
        <v>11</v>
      </c>
      <c r="E1079" s="287" t="s">
        <v>17</v>
      </c>
      <c r="F1079" s="287" t="s">
        <v>726</v>
      </c>
      <c r="G1079" s="288">
        <v>4.4999999999999998E-2</v>
      </c>
      <c r="H1079" s="302"/>
      <c r="I1079" s="303"/>
    </row>
    <row r="1080" spans="2:9" s="580" customFormat="1" ht="14.1" customHeight="1">
      <c r="B1080" s="602"/>
      <c r="C1080" s="755"/>
      <c r="D1080" s="316"/>
      <c r="E1080" s="316"/>
      <c r="F1080" s="316"/>
      <c r="G1080" s="1155" t="s">
        <v>727</v>
      </c>
      <c r="H1080" s="1156"/>
      <c r="I1080" s="631"/>
    </row>
    <row r="1081" spans="2:9" s="580" customFormat="1" ht="14.1" customHeight="1">
      <c r="B1081" s="602"/>
      <c r="C1081" s="292" t="s">
        <v>8</v>
      </c>
      <c r="D1081" s="293" t="s">
        <v>811</v>
      </c>
      <c r="E1081" s="296"/>
      <c r="F1081" s="296"/>
      <c r="G1081" s="296"/>
      <c r="H1081" s="296"/>
      <c r="I1081" s="297"/>
    </row>
    <row r="1082" spans="2:9" s="580" customFormat="1" ht="14.1" customHeight="1">
      <c r="B1082" s="602"/>
      <c r="C1082" s="753"/>
      <c r="D1082" s="289" t="s">
        <v>1191</v>
      </c>
      <c r="E1082" s="299"/>
      <c r="F1082" s="285" t="s">
        <v>825</v>
      </c>
      <c r="G1082" s="749">
        <v>53</v>
      </c>
      <c r="H1082" s="299"/>
      <c r="I1082" s="300"/>
    </row>
    <row r="1083" spans="2:9" s="580" customFormat="1" ht="14.1" customHeight="1">
      <c r="B1083" s="602"/>
      <c r="C1083" s="753"/>
      <c r="D1083" s="289" t="s">
        <v>806</v>
      </c>
      <c r="E1083" s="299"/>
      <c r="F1083" s="285" t="s">
        <v>734</v>
      </c>
      <c r="G1083" s="749">
        <v>9.3000000000000007</v>
      </c>
      <c r="H1083" s="299"/>
      <c r="I1083" s="300"/>
    </row>
    <row r="1084" spans="2:9" s="580" customFormat="1" ht="14.1" customHeight="1">
      <c r="B1084" s="602"/>
      <c r="C1084" s="753"/>
      <c r="D1084" s="289" t="s">
        <v>211</v>
      </c>
      <c r="E1084" s="299"/>
      <c r="F1084" s="581" t="s">
        <v>1201</v>
      </c>
      <c r="G1084" s="286">
        <v>1.7999999999999999E-2</v>
      </c>
      <c r="H1084" s="299"/>
      <c r="I1084" s="300"/>
    </row>
    <row r="1085" spans="2:9" s="580" customFormat="1" ht="14.1" customHeight="1">
      <c r="B1085" s="602"/>
      <c r="C1085" s="754"/>
      <c r="D1085" s="177" t="s">
        <v>406</v>
      </c>
      <c r="E1085" s="302"/>
      <c r="F1085" s="287" t="s">
        <v>734</v>
      </c>
      <c r="G1085" s="617">
        <v>2.75</v>
      </c>
      <c r="H1085" s="302"/>
      <c r="I1085" s="303"/>
    </row>
    <row r="1086" spans="2:9" s="580" customFormat="1" ht="14.1" customHeight="1">
      <c r="B1086" s="602"/>
      <c r="C1086" s="755"/>
      <c r="D1086" s="316"/>
      <c r="E1086" s="316"/>
      <c r="F1086" s="316"/>
      <c r="G1086" s="1155" t="s">
        <v>728</v>
      </c>
      <c r="H1086" s="1156"/>
      <c r="I1086" s="631"/>
    </row>
    <row r="1087" spans="2:9" s="580" customFormat="1" ht="14.1" customHeight="1">
      <c r="B1087" s="602"/>
      <c r="C1087" s="292" t="s">
        <v>9</v>
      </c>
      <c r="D1087" s="293" t="s">
        <v>815</v>
      </c>
      <c r="E1087" s="296"/>
      <c r="F1087" s="296"/>
      <c r="G1087" s="296"/>
      <c r="H1087" s="296"/>
      <c r="I1087" s="297"/>
    </row>
    <row r="1088" spans="2:9" s="580" customFormat="1" ht="14.1" customHeight="1">
      <c r="B1088" s="602"/>
      <c r="C1088" s="754"/>
      <c r="D1088" s="302"/>
      <c r="E1088" s="302"/>
      <c r="F1088" s="302"/>
      <c r="G1088" s="302"/>
      <c r="H1088" s="302"/>
      <c r="I1088" s="303"/>
    </row>
    <row r="1089" spans="2:9" s="580" customFormat="1" ht="14.1" customHeight="1">
      <c r="B1089" s="602"/>
      <c r="C1089" s="755"/>
      <c r="D1089" s="316"/>
      <c r="E1089" s="316"/>
      <c r="F1089" s="316"/>
      <c r="G1089" s="1163" t="s">
        <v>729</v>
      </c>
      <c r="H1089" s="1164"/>
      <c r="I1089" s="631"/>
    </row>
    <row r="1090" spans="2:9" s="580" customFormat="1" ht="14.1" customHeight="1">
      <c r="B1090" s="602"/>
      <c r="C1090" s="290" t="s">
        <v>12</v>
      </c>
      <c r="D1090" s="1113" t="s">
        <v>730</v>
      </c>
      <c r="E1090" s="1114"/>
      <c r="F1090" s="1114"/>
      <c r="G1090" s="1160"/>
      <c r="H1090" s="1160"/>
      <c r="I1090" s="306"/>
    </row>
    <row r="1091" spans="2:9" s="580" customFormat="1" ht="14.1" customHeight="1">
      <c r="B1091" s="602"/>
      <c r="C1091" s="290" t="s">
        <v>13</v>
      </c>
      <c r="D1091" s="1116" t="s">
        <v>816</v>
      </c>
      <c r="E1091" s="1117"/>
      <c r="F1091" s="1118"/>
      <c r="G1091" s="1113" t="s">
        <v>740</v>
      </c>
      <c r="H1091" s="1114"/>
      <c r="I1091" s="306"/>
    </row>
    <row r="1092" spans="2:9" s="580" customFormat="1" ht="14.1" customHeight="1" thickBot="1">
      <c r="B1092" s="602"/>
      <c r="C1092" s="291" t="s">
        <v>14</v>
      </c>
      <c r="D1092" s="1119" t="s">
        <v>817</v>
      </c>
      <c r="E1092" s="1120"/>
      <c r="F1092" s="1120"/>
      <c r="G1092" s="1120"/>
      <c r="H1092" s="1120"/>
      <c r="I1092" s="307"/>
    </row>
    <row r="1093" spans="2:9" s="580" customFormat="1" ht="14.1" customHeight="1">
      <c r="B1093" s="602"/>
      <c r="C1093" s="623"/>
      <c r="D1093" s="576"/>
      <c r="E1093" s="576"/>
      <c r="F1093" s="576"/>
      <c r="G1093" s="576"/>
      <c r="H1093" s="915"/>
      <c r="I1093" s="316"/>
    </row>
    <row r="1094" spans="2:9" s="567" customFormat="1" ht="15.95" customHeight="1" thickBot="1">
      <c r="B1094" s="598">
        <v>54</v>
      </c>
      <c r="C1094" s="566" t="s">
        <v>1256</v>
      </c>
      <c r="H1094" s="568"/>
      <c r="I1094" s="568"/>
    </row>
    <row r="1095" spans="2:9" s="580" customFormat="1" ht="35.1" customHeight="1" thickBot="1">
      <c r="B1095" s="602"/>
      <c r="C1095" s="334" t="s">
        <v>840</v>
      </c>
      <c r="D1095" s="335" t="s">
        <v>841</v>
      </c>
      <c r="E1095" s="335" t="s">
        <v>842</v>
      </c>
      <c r="F1095" s="335" t="s">
        <v>843</v>
      </c>
      <c r="G1095" s="335" t="s">
        <v>844</v>
      </c>
      <c r="H1095" s="431" t="s">
        <v>845</v>
      </c>
      <c r="I1095" s="337" t="s">
        <v>846</v>
      </c>
    </row>
    <row r="1096" spans="2:9" s="580" customFormat="1" ht="14.1" customHeight="1">
      <c r="B1096" s="602"/>
      <c r="C1096" s="543" t="s">
        <v>7</v>
      </c>
      <c r="D1096" s="289" t="s">
        <v>810</v>
      </c>
      <c r="E1096" s="299"/>
      <c r="F1096" s="299"/>
      <c r="G1096" s="299"/>
      <c r="H1096" s="299"/>
      <c r="I1096" s="300"/>
    </row>
    <row r="1097" spans="2:9" s="580" customFormat="1" ht="14.1" customHeight="1">
      <c r="B1097" s="602"/>
      <c r="C1097" s="753"/>
      <c r="D1097" s="289" t="s">
        <v>10</v>
      </c>
      <c r="E1097" s="285" t="s">
        <v>16</v>
      </c>
      <c r="F1097" s="285" t="s">
        <v>726</v>
      </c>
      <c r="G1097" s="749">
        <v>0.9</v>
      </c>
      <c r="H1097" s="299"/>
      <c r="I1097" s="300"/>
    </row>
    <row r="1098" spans="2:9" s="580" customFormat="1" ht="14.1" customHeight="1">
      <c r="B1098" s="602"/>
      <c r="C1098" s="753"/>
      <c r="D1098" s="289" t="s">
        <v>143</v>
      </c>
      <c r="E1098" s="285" t="s">
        <v>22</v>
      </c>
      <c r="F1098" s="285" t="s">
        <v>726</v>
      </c>
      <c r="G1098" s="749">
        <v>0.45</v>
      </c>
      <c r="H1098" s="299"/>
      <c r="I1098" s="300"/>
    </row>
    <row r="1099" spans="2:9" s="580" customFormat="1" ht="14.1" customHeight="1">
      <c r="B1099" s="602"/>
      <c r="C1099" s="753"/>
      <c r="D1099" s="289" t="s">
        <v>20</v>
      </c>
      <c r="E1099" s="285" t="s">
        <v>21</v>
      </c>
      <c r="F1099" s="285" t="s">
        <v>726</v>
      </c>
      <c r="G1099" s="286">
        <v>4.4999999999999998E-2</v>
      </c>
      <c r="H1099" s="299"/>
      <c r="I1099" s="300"/>
    </row>
    <row r="1100" spans="2:9" s="580" customFormat="1" ht="14.1" customHeight="1">
      <c r="B1100" s="602"/>
      <c r="C1100" s="754"/>
      <c r="D1100" s="177" t="s">
        <v>11</v>
      </c>
      <c r="E1100" s="287" t="s">
        <v>17</v>
      </c>
      <c r="F1100" s="287" t="s">
        <v>726</v>
      </c>
      <c r="G1100" s="288">
        <v>4.4999999999999998E-2</v>
      </c>
      <c r="H1100" s="302"/>
      <c r="I1100" s="303"/>
    </row>
    <row r="1101" spans="2:9" s="580" customFormat="1" ht="14.1" customHeight="1">
      <c r="B1101" s="602"/>
      <c r="C1101" s="755"/>
      <c r="D1101" s="316"/>
      <c r="E1101" s="316"/>
      <c r="F1101" s="316"/>
      <c r="G1101" s="1155" t="s">
        <v>727</v>
      </c>
      <c r="H1101" s="1156"/>
      <c r="I1101" s="631"/>
    </row>
    <row r="1102" spans="2:9" s="580" customFormat="1" ht="14.1" customHeight="1">
      <c r="B1102" s="602"/>
      <c r="C1102" s="292" t="s">
        <v>8</v>
      </c>
      <c r="D1102" s="293" t="s">
        <v>811</v>
      </c>
      <c r="E1102" s="296"/>
      <c r="F1102" s="296"/>
      <c r="G1102" s="296"/>
      <c r="H1102" s="296"/>
      <c r="I1102" s="297"/>
    </row>
    <row r="1103" spans="2:9" s="580" customFormat="1" ht="14.1" customHeight="1">
      <c r="B1103" s="602"/>
      <c r="C1103" s="753"/>
      <c r="D1103" s="289" t="s">
        <v>1191</v>
      </c>
      <c r="E1103" s="299"/>
      <c r="F1103" s="285" t="s">
        <v>825</v>
      </c>
      <c r="G1103" s="749">
        <v>26.5</v>
      </c>
      <c r="H1103" s="299"/>
      <c r="I1103" s="300"/>
    </row>
    <row r="1104" spans="2:9" s="580" customFormat="1" ht="14.1" customHeight="1">
      <c r="B1104" s="602"/>
      <c r="C1104" s="753"/>
      <c r="D1104" s="289" t="s">
        <v>806</v>
      </c>
      <c r="E1104" s="299"/>
      <c r="F1104" s="285" t="s">
        <v>734</v>
      </c>
      <c r="G1104" s="749">
        <v>9.3000000000000007</v>
      </c>
      <c r="H1104" s="299"/>
      <c r="I1104" s="300"/>
    </row>
    <row r="1105" spans="2:9" s="580" customFormat="1" ht="14.1" customHeight="1">
      <c r="B1105" s="602"/>
      <c r="C1105" s="753"/>
      <c r="D1105" s="289" t="s">
        <v>211</v>
      </c>
      <c r="E1105" s="299"/>
      <c r="F1105" s="581" t="s">
        <v>1201</v>
      </c>
      <c r="G1105" s="286">
        <v>1.7999999999999999E-2</v>
      </c>
      <c r="H1105" s="299"/>
      <c r="I1105" s="300"/>
    </row>
    <row r="1106" spans="2:9" s="580" customFormat="1" ht="14.1" customHeight="1">
      <c r="B1106" s="602"/>
      <c r="C1106" s="754"/>
      <c r="D1106" s="177" t="s">
        <v>406</v>
      </c>
      <c r="E1106" s="302"/>
      <c r="F1106" s="287" t="s">
        <v>734</v>
      </c>
      <c r="G1106" s="617">
        <v>1.94</v>
      </c>
      <c r="H1106" s="302"/>
      <c r="I1106" s="303"/>
    </row>
    <row r="1107" spans="2:9" s="580" customFormat="1" ht="14.1" customHeight="1">
      <c r="B1107" s="602"/>
      <c r="C1107" s="755"/>
      <c r="D1107" s="316"/>
      <c r="E1107" s="316"/>
      <c r="F1107" s="316"/>
      <c r="G1107" s="1155" t="s">
        <v>728</v>
      </c>
      <c r="H1107" s="1156"/>
      <c r="I1107" s="631"/>
    </row>
    <row r="1108" spans="2:9" s="580" customFormat="1" ht="14.1" customHeight="1">
      <c r="B1108" s="602"/>
      <c r="C1108" s="292" t="s">
        <v>9</v>
      </c>
      <c r="D1108" s="293" t="s">
        <v>815</v>
      </c>
      <c r="E1108" s="296"/>
      <c r="F1108" s="296"/>
      <c r="G1108" s="296"/>
      <c r="H1108" s="296"/>
      <c r="I1108" s="297"/>
    </row>
    <row r="1109" spans="2:9" s="580" customFormat="1" ht="14.1" customHeight="1">
      <c r="B1109" s="602"/>
      <c r="C1109" s="754"/>
      <c r="D1109" s="302"/>
      <c r="E1109" s="302"/>
      <c r="F1109" s="302"/>
      <c r="G1109" s="302"/>
      <c r="H1109" s="302"/>
      <c r="I1109" s="303"/>
    </row>
    <row r="1110" spans="2:9" s="580" customFormat="1" ht="14.1" customHeight="1">
      <c r="B1110" s="602"/>
      <c r="C1110" s="755"/>
      <c r="D1110" s="316"/>
      <c r="E1110" s="316"/>
      <c r="F1110" s="316"/>
      <c r="G1110" s="1163" t="s">
        <v>729</v>
      </c>
      <c r="H1110" s="1164"/>
      <c r="I1110" s="631"/>
    </row>
    <row r="1111" spans="2:9" s="580" customFormat="1" ht="14.1" customHeight="1">
      <c r="B1111" s="602"/>
      <c r="C1111" s="290" t="s">
        <v>12</v>
      </c>
      <c r="D1111" s="1113" t="s">
        <v>730</v>
      </c>
      <c r="E1111" s="1114"/>
      <c r="F1111" s="1114"/>
      <c r="G1111" s="1160"/>
      <c r="H1111" s="1160"/>
      <c r="I1111" s="306"/>
    </row>
    <row r="1112" spans="2:9" s="580" customFormat="1" ht="14.1" customHeight="1">
      <c r="B1112" s="602"/>
      <c r="C1112" s="290" t="s">
        <v>13</v>
      </c>
      <c r="D1112" s="1116" t="s">
        <v>816</v>
      </c>
      <c r="E1112" s="1117"/>
      <c r="F1112" s="1118"/>
      <c r="G1112" s="1113" t="s">
        <v>740</v>
      </c>
      <c r="H1112" s="1114"/>
      <c r="I1112" s="306"/>
    </row>
    <row r="1113" spans="2:9" s="580" customFormat="1" ht="14.1" customHeight="1" thickBot="1">
      <c r="B1113" s="602"/>
      <c r="C1113" s="291" t="s">
        <v>14</v>
      </c>
      <c r="D1113" s="1119" t="s">
        <v>817</v>
      </c>
      <c r="E1113" s="1120"/>
      <c r="F1113" s="1120"/>
      <c r="G1113" s="1120"/>
      <c r="H1113" s="1120"/>
      <c r="I1113" s="307"/>
    </row>
    <row r="1114" spans="2:9" s="567" customFormat="1" ht="15.95" customHeight="1" thickBot="1">
      <c r="B1114" s="598">
        <v>55</v>
      </c>
      <c r="C1114" s="566" t="s">
        <v>1257</v>
      </c>
      <c r="H1114" s="568"/>
      <c r="I1114" s="568"/>
    </row>
    <row r="1115" spans="2:9" s="580" customFormat="1" ht="35.1" customHeight="1" thickBot="1">
      <c r="B1115" s="602"/>
      <c r="C1115" s="334" t="s">
        <v>840</v>
      </c>
      <c r="D1115" s="335" t="s">
        <v>841</v>
      </c>
      <c r="E1115" s="335" t="s">
        <v>842</v>
      </c>
      <c r="F1115" s="335" t="s">
        <v>843</v>
      </c>
      <c r="G1115" s="335" t="s">
        <v>844</v>
      </c>
      <c r="H1115" s="431" t="s">
        <v>845</v>
      </c>
      <c r="I1115" s="337" t="s">
        <v>846</v>
      </c>
    </row>
    <row r="1116" spans="2:9" s="580" customFormat="1" ht="14.1" customHeight="1">
      <c r="B1116" s="602"/>
      <c r="C1116" s="543" t="s">
        <v>7</v>
      </c>
      <c r="D1116" s="289" t="s">
        <v>810</v>
      </c>
      <c r="E1116" s="299"/>
      <c r="F1116" s="299"/>
      <c r="G1116" s="299"/>
      <c r="H1116" s="299"/>
      <c r="I1116" s="300"/>
    </row>
    <row r="1117" spans="2:9" s="580" customFormat="1" ht="14.1" customHeight="1">
      <c r="B1117" s="602"/>
      <c r="C1117" s="753"/>
      <c r="D1117" s="289" t="s">
        <v>10</v>
      </c>
      <c r="E1117" s="285" t="s">
        <v>16</v>
      </c>
      <c r="F1117" s="285" t="s">
        <v>726</v>
      </c>
      <c r="G1117" s="749">
        <v>1.3</v>
      </c>
      <c r="H1117" s="299"/>
      <c r="I1117" s="300"/>
    </row>
    <row r="1118" spans="2:9" s="580" customFormat="1" ht="14.1" customHeight="1">
      <c r="B1118" s="602"/>
      <c r="C1118" s="753"/>
      <c r="D1118" s="289" t="s">
        <v>143</v>
      </c>
      <c r="E1118" s="285" t="s">
        <v>22</v>
      </c>
      <c r="F1118" s="285" t="s">
        <v>726</v>
      </c>
      <c r="G1118" s="749">
        <v>0.65</v>
      </c>
      <c r="H1118" s="299"/>
      <c r="I1118" s="300"/>
    </row>
    <row r="1119" spans="2:9" s="580" customFormat="1" ht="14.1" customHeight="1">
      <c r="B1119" s="602"/>
      <c r="C1119" s="753"/>
      <c r="D1119" s="289" t="s">
        <v>20</v>
      </c>
      <c r="E1119" s="285" t="s">
        <v>21</v>
      </c>
      <c r="F1119" s="285" t="s">
        <v>726</v>
      </c>
      <c r="G1119" s="286">
        <v>6.5000000000000002E-2</v>
      </c>
      <c r="H1119" s="299"/>
      <c r="I1119" s="300"/>
    </row>
    <row r="1120" spans="2:9" s="580" customFormat="1" ht="14.1" customHeight="1">
      <c r="B1120" s="602"/>
      <c r="C1120" s="754"/>
      <c r="D1120" s="177" t="s">
        <v>11</v>
      </c>
      <c r="E1120" s="287" t="s">
        <v>17</v>
      </c>
      <c r="F1120" s="287" t="s">
        <v>726</v>
      </c>
      <c r="G1120" s="288">
        <v>6.5000000000000002E-2</v>
      </c>
      <c r="H1120" s="302"/>
      <c r="I1120" s="303"/>
    </row>
    <row r="1121" spans="2:9" s="580" customFormat="1" ht="14.1" customHeight="1">
      <c r="B1121" s="602"/>
      <c r="C1121" s="755"/>
      <c r="D1121" s="316"/>
      <c r="E1121" s="316"/>
      <c r="F1121" s="316"/>
      <c r="G1121" s="1155" t="s">
        <v>727</v>
      </c>
      <c r="H1121" s="1156"/>
      <c r="I1121" s="631"/>
    </row>
    <row r="1122" spans="2:9" s="580" customFormat="1" ht="14.1" customHeight="1">
      <c r="B1122" s="602"/>
      <c r="C1122" s="292" t="s">
        <v>8</v>
      </c>
      <c r="D1122" s="293" t="s">
        <v>811</v>
      </c>
      <c r="E1122" s="296"/>
      <c r="F1122" s="296"/>
      <c r="G1122" s="296"/>
      <c r="H1122" s="751"/>
      <c r="I1122" s="297"/>
    </row>
    <row r="1123" spans="2:9" s="580" customFormat="1" ht="14.1" customHeight="1">
      <c r="B1123" s="602"/>
      <c r="C1123" s="753"/>
      <c r="D1123" s="289" t="s">
        <v>1184</v>
      </c>
      <c r="E1123" s="299"/>
      <c r="F1123" s="285" t="s">
        <v>825</v>
      </c>
      <c r="G1123" s="749">
        <v>1.06</v>
      </c>
      <c r="H1123" s="675"/>
      <c r="I1123" s="300"/>
    </row>
    <row r="1124" spans="2:9" s="580" customFormat="1" ht="14.1" customHeight="1">
      <c r="B1124" s="602"/>
      <c r="C1124" s="753"/>
      <c r="D1124" s="289" t="s">
        <v>806</v>
      </c>
      <c r="E1124" s="299"/>
      <c r="F1124" s="285" t="s">
        <v>734</v>
      </c>
      <c r="G1124" s="749">
        <v>12.44</v>
      </c>
      <c r="H1124" s="675"/>
      <c r="I1124" s="300"/>
    </row>
    <row r="1125" spans="2:9" s="580" customFormat="1" ht="14.1" customHeight="1">
      <c r="B1125" s="602"/>
      <c r="C1125" s="753"/>
      <c r="D1125" s="289" t="s">
        <v>211</v>
      </c>
      <c r="E1125" s="299"/>
      <c r="F1125" s="581" t="s">
        <v>1201</v>
      </c>
      <c r="G1125" s="286">
        <v>2.5000000000000001E-2</v>
      </c>
      <c r="H1125" s="675"/>
      <c r="I1125" s="300"/>
    </row>
    <row r="1126" spans="2:9" s="580" customFormat="1" ht="14.1" customHeight="1">
      <c r="B1126" s="602"/>
      <c r="C1126" s="753"/>
      <c r="D1126" s="289" t="s">
        <v>406</v>
      </c>
      <c r="E1126" s="299"/>
      <c r="F1126" s="285" t="s">
        <v>734</v>
      </c>
      <c r="G1126" s="749">
        <v>0.65</v>
      </c>
      <c r="H1126" s="675"/>
      <c r="I1126" s="300"/>
    </row>
    <row r="1127" spans="2:9" s="580" customFormat="1" ht="14.1" customHeight="1">
      <c r="B1127" s="602"/>
      <c r="C1127" s="754"/>
      <c r="D1127" s="177" t="s">
        <v>1192</v>
      </c>
      <c r="E1127" s="302"/>
      <c r="F1127" s="287" t="s">
        <v>825</v>
      </c>
      <c r="G1127" s="617">
        <v>3.03</v>
      </c>
      <c r="H1127" s="752"/>
      <c r="I1127" s="303"/>
    </row>
    <row r="1128" spans="2:9" s="580" customFormat="1" ht="14.1" customHeight="1">
      <c r="B1128" s="602"/>
      <c r="C1128" s="755"/>
      <c r="D1128" s="316"/>
      <c r="E1128" s="316"/>
      <c r="F1128" s="316"/>
      <c r="G1128" s="1155" t="s">
        <v>728</v>
      </c>
      <c r="H1128" s="1156"/>
      <c r="I1128" s="584"/>
    </row>
    <row r="1129" spans="2:9" s="580" customFormat="1" ht="14.1" customHeight="1">
      <c r="B1129" s="602"/>
      <c r="C1129" s="292" t="s">
        <v>9</v>
      </c>
      <c r="D1129" s="293" t="s">
        <v>815</v>
      </c>
      <c r="E1129" s="296"/>
      <c r="F1129" s="296"/>
      <c r="G1129" s="296"/>
      <c r="H1129" s="751"/>
      <c r="I1129" s="300"/>
    </row>
    <row r="1130" spans="2:9" s="580" customFormat="1" ht="14.1" customHeight="1">
      <c r="B1130" s="602"/>
      <c r="C1130" s="754"/>
      <c r="D1130" s="302"/>
      <c r="E1130" s="302"/>
      <c r="F1130" s="302"/>
      <c r="G1130" s="302"/>
      <c r="H1130" s="752"/>
      <c r="I1130" s="303"/>
    </row>
    <row r="1131" spans="2:9" s="580" customFormat="1" ht="14.1" customHeight="1">
      <c r="B1131" s="602"/>
      <c r="C1131" s="755"/>
      <c r="D1131" s="316"/>
      <c r="E1131" s="316"/>
      <c r="F1131" s="316"/>
      <c r="G1131" s="1163" t="s">
        <v>729</v>
      </c>
      <c r="H1131" s="1164"/>
      <c r="I1131" s="631"/>
    </row>
    <row r="1132" spans="2:9" s="580" customFormat="1" ht="14.1" customHeight="1">
      <c r="B1132" s="602"/>
      <c r="C1132" s="290" t="s">
        <v>12</v>
      </c>
      <c r="D1132" s="1113" t="s">
        <v>730</v>
      </c>
      <c r="E1132" s="1114"/>
      <c r="F1132" s="1114"/>
      <c r="G1132" s="1160"/>
      <c r="H1132" s="1160"/>
      <c r="I1132" s="306"/>
    </row>
    <row r="1133" spans="2:9" s="580" customFormat="1" ht="14.1" customHeight="1">
      <c r="B1133" s="602"/>
      <c r="C1133" s="290" t="s">
        <v>13</v>
      </c>
      <c r="D1133" s="1116" t="s">
        <v>816</v>
      </c>
      <c r="E1133" s="1117"/>
      <c r="F1133" s="1118"/>
      <c r="G1133" s="1113" t="s">
        <v>740</v>
      </c>
      <c r="H1133" s="1114"/>
      <c r="I1133" s="306"/>
    </row>
    <row r="1134" spans="2:9" s="580" customFormat="1" ht="14.1" customHeight="1" thickBot="1">
      <c r="B1134" s="602"/>
      <c r="C1134" s="291" t="s">
        <v>14</v>
      </c>
      <c r="D1134" s="1119" t="s">
        <v>817</v>
      </c>
      <c r="E1134" s="1120"/>
      <c r="F1134" s="1120"/>
      <c r="G1134" s="1120"/>
      <c r="H1134" s="1120"/>
      <c r="I1134" s="307"/>
    </row>
    <row r="1135" spans="2:9" s="580" customFormat="1" ht="14.1" customHeight="1">
      <c r="B1135" s="602"/>
      <c r="C1135" s="623"/>
      <c r="D1135" s="576"/>
      <c r="E1135" s="576"/>
      <c r="F1135" s="576"/>
      <c r="G1135" s="576"/>
      <c r="H1135" s="915"/>
      <c r="I1135" s="316"/>
    </row>
    <row r="1136" spans="2:9" s="567" customFormat="1" ht="15.95" customHeight="1" thickBot="1">
      <c r="B1136" s="598">
        <v>56</v>
      </c>
      <c r="C1136" s="566" t="s">
        <v>1258</v>
      </c>
      <c r="H1136" s="568"/>
      <c r="I1136" s="568"/>
    </row>
    <row r="1137" spans="2:9" s="580" customFormat="1" ht="35.1" customHeight="1" thickBot="1">
      <c r="B1137" s="602"/>
      <c r="C1137" s="334" t="s">
        <v>840</v>
      </c>
      <c r="D1137" s="335" t="s">
        <v>841</v>
      </c>
      <c r="E1137" s="335" t="s">
        <v>842</v>
      </c>
      <c r="F1137" s="335" t="s">
        <v>843</v>
      </c>
      <c r="G1137" s="335" t="s">
        <v>844</v>
      </c>
      <c r="H1137" s="431" t="s">
        <v>845</v>
      </c>
      <c r="I1137" s="337" t="s">
        <v>846</v>
      </c>
    </row>
    <row r="1138" spans="2:9" s="580" customFormat="1" ht="14.1" customHeight="1">
      <c r="B1138" s="602"/>
      <c r="C1138" s="491" t="s">
        <v>7</v>
      </c>
      <c r="D1138" s="365" t="s">
        <v>810</v>
      </c>
      <c r="E1138" s="382"/>
      <c r="F1138" s="382"/>
      <c r="G1138" s="382"/>
      <c r="H1138" s="382"/>
      <c r="I1138" s="384"/>
    </row>
    <row r="1139" spans="2:9" s="580" customFormat="1" ht="14.1" customHeight="1">
      <c r="B1139" s="602"/>
      <c r="C1139" s="758"/>
      <c r="D1139" s="365" t="s">
        <v>10</v>
      </c>
      <c r="E1139" s="351" t="s">
        <v>16</v>
      </c>
      <c r="F1139" s="351" t="s">
        <v>726</v>
      </c>
      <c r="G1139" s="396">
        <v>1</v>
      </c>
      <c r="H1139" s="382"/>
      <c r="I1139" s="384"/>
    </row>
    <row r="1140" spans="2:9" s="580" customFormat="1" ht="14.1" customHeight="1">
      <c r="B1140" s="602"/>
      <c r="C1140" s="758"/>
      <c r="D1140" s="365" t="s">
        <v>143</v>
      </c>
      <c r="E1140" s="351" t="s">
        <v>22</v>
      </c>
      <c r="F1140" s="351" t="s">
        <v>726</v>
      </c>
      <c r="G1140" s="396">
        <v>0.5</v>
      </c>
      <c r="H1140" s="382"/>
      <c r="I1140" s="384"/>
    </row>
    <row r="1141" spans="2:9" s="580" customFormat="1" ht="14.1" customHeight="1">
      <c r="B1141" s="602"/>
      <c r="C1141" s="758"/>
      <c r="D1141" s="365" t="s">
        <v>20</v>
      </c>
      <c r="E1141" s="351" t="s">
        <v>21</v>
      </c>
      <c r="F1141" s="351" t="s">
        <v>726</v>
      </c>
      <c r="G1141" s="396">
        <v>0.05</v>
      </c>
      <c r="H1141" s="382"/>
      <c r="I1141" s="384"/>
    </row>
    <row r="1142" spans="2:9" s="580" customFormat="1" ht="14.1" customHeight="1">
      <c r="B1142" s="602"/>
      <c r="C1142" s="759"/>
      <c r="D1142" s="387" t="s">
        <v>11</v>
      </c>
      <c r="E1142" s="354" t="s">
        <v>17</v>
      </c>
      <c r="F1142" s="354" t="s">
        <v>726</v>
      </c>
      <c r="G1142" s="397">
        <v>0.05</v>
      </c>
      <c r="H1142" s="388"/>
      <c r="I1142" s="389"/>
    </row>
    <row r="1143" spans="2:9" s="580" customFormat="1" ht="14.1" customHeight="1">
      <c r="B1143" s="602"/>
      <c r="C1143" s="760"/>
      <c r="D1143" s="440"/>
      <c r="E1143" s="440"/>
      <c r="F1143" s="440"/>
      <c r="G1143" s="1027" t="s">
        <v>727</v>
      </c>
      <c r="H1143" s="1028"/>
      <c r="I1143" s="395"/>
    </row>
    <row r="1144" spans="2:9" s="580" customFormat="1" ht="14.1" customHeight="1">
      <c r="B1144" s="602"/>
      <c r="C1144" s="457" t="s">
        <v>8</v>
      </c>
      <c r="D1144" s="458" t="s">
        <v>811</v>
      </c>
      <c r="E1144" s="393"/>
      <c r="F1144" s="393"/>
      <c r="G1144" s="393"/>
      <c r="H1144" s="393"/>
      <c r="I1144" s="436"/>
    </row>
    <row r="1145" spans="2:9" s="580" customFormat="1" ht="14.1" customHeight="1">
      <c r="B1145" s="602"/>
      <c r="C1145" s="758"/>
      <c r="D1145" s="365" t="s">
        <v>1193</v>
      </c>
      <c r="E1145" s="382"/>
      <c r="F1145" s="351" t="s">
        <v>825</v>
      </c>
      <c r="G1145" s="396">
        <v>63</v>
      </c>
      <c r="H1145" s="382"/>
      <c r="I1145" s="384"/>
    </row>
    <row r="1146" spans="2:9" s="580" customFormat="1" ht="14.1" customHeight="1">
      <c r="B1146" s="602"/>
      <c r="C1146" s="758"/>
      <c r="D1146" s="365" t="s">
        <v>806</v>
      </c>
      <c r="E1146" s="382"/>
      <c r="F1146" s="351" t="s">
        <v>734</v>
      </c>
      <c r="G1146" s="396">
        <v>12.44</v>
      </c>
      <c r="H1146" s="382"/>
      <c r="I1146" s="384"/>
    </row>
    <row r="1147" spans="2:9" s="580" customFormat="1" ht="14.1" customHeight="1">
      <c r="B1147" s="602"/>
      <c r="C1147" s="758"/>
      <c r="D1147" s="365" t="s">
        <v>211</v>
      </c>
      <c r="E1147" s="382"/>
      <c r="F1147" s="383" t="s">
        <v>1201</v>
      </c>
      <c r="G1147" s="352">
        <v>2.5000000000000001E-2</v>
      </c>
      <c r="H1147" s="382"/>
      <c r="I1147" s="384"/>
    </row>
    <row r="1148" spans="2:9" s="580" customFormat="1" ht="14.1" customHeight="1">
      <c r="B1148" s="602"/>
      <c r="C1148" s="759"/>
      <c r="D1148" s="387" t="s">
        <v>406</v>
      </c>
      <c r="E1148" s="388"/>
      <c r="F1148" s="354" t="s">
        <v>734</v>
      </c>
      <c r="G1148" s="397">
        <v>2.75</v>
      </c>
      <c r="H1148" s="388"/>
      <c r="I1148" s="389"/>
    </row>
    <row r="1149" spans="2:9" s="580" customFormat="1" ht="14.1" customHeight="1">
      <c r="B1149" s="602"/>
      <c r="C1149" s="760"/>
      <c r="D1149" s="440"/>
      <c r="E1149" s="440"/>
      <c r="F1149" s="440"/>
      <c r="G1149" s="1027" t="s">
        <v>728</v>
      </c>
      <c r="H1149" s="1028"/>
      <c r="I1149" s="395"/>
    </row>
    <row r="1150" spans="2:9" s="580" customFormat="1" ht="14.1" customHeight="1">
      <c r="B1150" s="602"/>
      <c r="C1150" s="457" t="s">
        <v>9</v>
      </c>
      <c r="D1150" s="458" t="s">
        <v>815</v>
      </c>
      <c r="E1150" s="393"/>
      <c r="F1150" s="393"/>
      <c r="G1150" s="393"/>
      <c r="H1150" s="393"/>
      <c r="I1150" s="436"/>
    </row>
    <row r="1151" spans="2:9" s="580" customFormat="1" ht="14.1" customHeight="1">
      <c r="B1151" s="602"/>
      <c r="C1151" s="759"/>
      <c r="D1151" s="388"/>
      <c r="E1151" s="388"/>
      <c r="F1151" s="388"/>
      <c r="G1151" s="388"/>
      <c r="H1151" s="388"/>
      <c r="I1151" s="389"/>
    </row>
    <row r="1152" spans="2:9" s="580" customFormat="1" ht="14.1" customHeight="1">
      <c r="B1152" s="602"/>
      <c r="C1152" s="760"/>
      <c r="D1152" s="440"/>
      <c r="E1152" s="440"/>
      <c r="F1152" s="440"/>
      <c r="G1152" s="1027" t="s">
        <v>729</v>
      </c>
      <c r="H1152" s="1028"/>
      <c r="I1152" s="395"/>
    </row>
    <row r="1153" spans="2:9" s="580" customFormat="1" ht="14.1" customHeight="1">
      <c r="B1153" s="602"/>
      <c r="C1153" s="377" t="s">
        <v>12</v>
      </c>
      <c r="D1153" s="1039" t="s">
        <v>730</v>
      </c>
      <c r="E1153" s="1035"/>
      <c r="F1153" s="1035"/>
      <c r="G1153" s="1034"/>
      <c r="H1153" s="1034"/>
      <c r="I1153" s="403"/>
    </row>
    <row r="1154" spans="2:9" s="580" customFormat="1" ht="14.1" customHeight="1">
      <c r="B1154" s="602"/>
      <c r="C1154" s="377" t="s">
        <v>13</v>
      </c>
      <c r="D1154" s="1036" t="s">
        <v>816</v>
      </c>
      <c r="E1154" s="1037"/>
      <c r="F1154" s="1038"/>
      <c r="G1154" s="1039" t="s">
        <v>740</v>
      </c>
      <c r="H1154" s="1035"/>
      <c r="I1154" s="403"/>
    </row>
    <row r="1155" spans="2:9" s="580" customFormat="1" ht="14.1" customHeight="1" thickBot="1">
      <c r="B1155" s="602"/>
      <c r="C1155" s="456" t="s">
        <v>14</v>
      </c>
      <c r="D1155" s="1029" t="s">
        <v>817</v>
      </c>
      <c r="E1155" s="1030"/>
      <c r="F1155" s="1030"/>
      <c r="G1155" s="1030"/>
      <c r="H1155" s="1030"/>
      <c r="I1155" s="404"/>
    </row>
    <row r="1156" spans="2:9" s="580" customFormat="1" ht="14.1" customHeight="1">
      <c r="B1156" s="602"/>
      <c r="H1156" s="316"/>
      <c r="I1156" s="316"/>
    </row>
    <row r="1157" spans="2:9" s="567" customFormat="1" ht="15.95" customHeight="1" thickBot="1">
      <c r="B1157" s="598">
        <v>57</v>
      </c>
      <c r="C1157" s="566" t="s">
        <v>1259</v>
      </c>
      <c r="H1157" s="568"/>
      <c r="I1157" s="568"/>
    </row>
    <row r="1158" spans="2:9" s="580" customFormat="1" ht="35.1" customHeight="1" thickBot="1">
      <c r="B1158" s="602"/>
      <c r="C1158" s="334" t="s">
        <v>840</v>
      </c>
      <c r="D1158" s="335" t="s">
        <v>841</v>
      </c>
      <c r="E1158" s="335" t="s">
        <v>842</v>
      </c>
      <c r="F1158" s="335" t="s">
        <v>843</v>
      </c>
      <c r="G1158" s="431" t="s">
        <v>844</v>
      </c>
      <c r="H1158" s="431" t="s">
        <v>845</v>
      </c>
      <c r="I1158" s="337" t="s">
        <v>846</v>
      </c>
    </row>
    <row r="1159" spans="2:9" s="580" customFormat="1" ht="14.1" customHeight="1">
      <c r="B1159" s="602"/>
      <c r="C1159" s="491" t="s">
        <v>7</v>
      </c>
      <c r="D1159" s="365" t="s">
        <v>810</v>
      </c>
      <c r="E1159" s="382"/>
      <c r="F1159" s="382"/>
      <c r="G1159" s="382"/>
      <c r="H1159" s="382"/>
      <c r="I1159" s="384"/>
    </row>
    <row r="1160" spans="2:9" s="580" customFormat="1" ht="14.1" customHeight="1">
      <c r="B1160" s="602"/>
      <c r="C1160" s="758"/>
      <c r="D1160" s="365" t="s">
        <v>10</v>
      </c>
      <c r="E1160" s="351" t="s">
        <v>16</v>
      </c>
      <c r="F1160" s="351" t="s">
        <v>726</v>
      </c>
      <c r="G1160" s="396">
        <v>0.7</v>
      </c>
      <c r="H1160" s="382"/>
      <c r="I1160" s="384"/>
    </row>
    <row r="1161" spans="2:9" s="580" customFormat="1" ht="14.1" customHeight="1">
      <c r="B1161" s="602"/>
      <c r="C1161" s="758"/>
      <c r="D1161" s="365" t="s">
        <v>143</v>
      </c>
      <c r="E1161" s="351" t="s">
        <v>22</v>
      </c>
      <c r="F1161" s="351" t="s">
        <v>726</v>
      </c>
      <c r="G1161" s="396">
        <v>0.35</v>
      </c>
      <c r="H1161" s="382"/>
      <c r="I1161" s="384"/>
    </row>
    <row r="1162" spans="2:9" s="580" customFormat="1" ht="14.1" customHeight="1">
      <c r="B1162" s="602"/>
      <c r="C1162" s="758"/>
      <c r="D1162" s="365" t="s">
        <v>20</v>
      </c>
      <c r="E1162" s="351" t="s">
        <v>21</v>
      </c>
      <c r="F1162" s="351" t="s">
        <v>726</v>
      </c>
      <c r="G1162" s="352">
        <v>3.5000000000000003E-2</v>
      </c>
      <c r="H1162" s="382"/>
      <c r="I1162" s="384"/>
    </row>
    <row r="1163" spans="2:9" s="580" customFormat="1" ht="14.1" customHeight="1">
      <c r="B1163" s="602"/>
      <c r="C1163" s="759"/>
      <c r="D1163" s="387" t="s">
        <v>11</v>
      </c>
      <c r="E1163" s="354" t="s">
        <v>17</v>
      </c>
      <c r="F1163" s="354" t="s">
        <v>726</v>
      </c>
      <c r="G1163" s="355">
        <v>3.5000000000000003E-2</v>
      </c>
      <c r="H1163" s="388"/>
      <c r="I1163" s="389"/>
    </row>
    <row r="1164" spans="2:9" s="580" customFormat="1" ht="14.1" customHeight="1">
      <c r="B1164" s="602"/>
      <c r="C1164" s="760"/>
      <c r="D1164" s="440"/>
      <c r="E1164" s="440"/>
      <c r="F1164" s="440"/>
      <c r="G1164" s="1027" t="s">
        <v>727</v>
      </c>
      <c r="H1164" s="1028"/>
      <c r="I1164" s="395"/>
    </row>
    <row r="1165" spans="2:9" s="580" customFormat="1" ht="14.1" customHeight="1">
      <c r="B1165" s="602"/>
      <c r="C1165" s="457" t="s">
        <v>8</v>
      </c>
      <c r="D1165" s="458" t="s">
        <v>811</v>
      </c>
      <c r="E1165" s="393"/>
      <c r="F1165" s="393"/>
      <c r="G1165" s="393"/>
      <c r="H1165" s="393"/>
      <c r="I1165" s="436"/>
    </row>
    <row r="1166" spans="2:9" s="580" customFormat="1" ht="14.1" customHeight="1">
      <c r="B1166" s="602"/>
      <c r="C1166" s="758"/>
      <c r="D1166" s="365" t="s">
        <v>1194</v>
      </c>
      <c r="E1166" s="382"/>
      <c r="F1166" s="351" t="s">
        <v>825</v>
      </c>
      <c r="G1166" s="396">
        <v>1.1000000000000001</v>
      </c>
      <c r="H1166" s="382"/>
      <c r="I1166" s="384"/>
    </row>
    <row r="1167" spans="2:9" s="580" customFormat="1" ht="14.1" customHeight="1">
      <c r="B1167" s="602"/>
      <c r="C1167" s="758"/>
      <c r="D1167" s="365" t="s">
        <v>806</v>
      </c>
      <c r="E1167" s="382"/>
      <c r="F1167" s="351" t="s">
        <v>734</v>
      </c>
      <c r="G1167" s="396">
        <v>11.75</v>
      </c>
      <c r="H1167" s="382"/>
      <c r="I1167" s="384"/>
    </row>
    <row r="1168" spans="2:9" s="580" customFormat="1" ht="14.1" customHeight="1">
      <c r="B1168" s="602"/>
      <c r="C1168" s="759"/>
      <c r="D1168" s="387" t="s">
        <v>211</v>
      </c>
      <c r="E1168" s="388"/>
      <c r="F1168" s="459" t="s">
        <v>1201</v>
      </c>
      <c r="G1168" s="355">
        <v>3.5000000000000003E-2</v>
      </c>
      <c r="H1168" s="388"/>
      <c r="I1168" s="389"/>
    </row>
    <row r="1169" spans="2:9" s="580" customFormat="1" ht="14.1" customHeight="1">
      <c r="B1169" s="602"/>
      <c r="C1169" s="760"/>
      <c r="D1169" s="440"/>
      <c r="E1169" s="440"/>
      <c r="F1169" s="440"/>
      <c r="G1169" s="1043" t="s">
        <v>728</v>
      </c>
      <c r="H1169" s="1043"/>
      <c r="I1169" s="435"/>
    </row>
    <row r="1170" spans="2:9" s="580" customFormat="1" ht="14.1" customHeight="1">
      <c r="B1170" s="602"/>
      <c r="C1170" s="457" t="s">
        <v>9</v>
      </c>
      <c r="D1170" s="458" t="s">
        <v>815</v>
      </c>
      <c r="E1170" s="393"/>
      <c r="F1170" s="393"/>
      <c r="G1170" s="393"/>
      <c r="H1170" s="393"/>
      <c r="I1170" s="395"/>
    </row>
    <row r="1171" spans="2:9" s="580" customFormat="1" ht="14.1" customHeight="1">
      <c r="B1171" s="602"/>
      <c r="C1171" s="759"/>
      <c r="D1171" s="388"/>
      <c r="E1171" s="388"/>
      <c r="F1171" s="388"/>
      <c r="G1171" s="388"/>
      <c r="H1171" s="388"/>
      <c r="I1171" s="395"/>
    </row>
    <row r="1172" spans="2:9" s="580" customFormat="1" ht="14.1" customHeight="1">
      <c r="B1172" s="602"/>
      <c r="C1172" s="760"/>
      <c r="D1172" s="440"/>
      <c r="E1172" s="440"/>
      <c r="F1172" s="440"/>
      <c r="G1172" s="1027" t="s">
        <v>729</v>
      </c>
      <c r="H1172" s="1028"/>
      <c r="I1172" s="435"/>
    </row>
    <row r="1173" spans="2:9" s="580" customFormat="1" ht="14.1" customHeight="1">
      <c r="B1173" s="602"/>
      <c r="C1173" s="377" t="s">
        <v>12</v>
      </c>
      <c r="D1173" s="1039" t="s">
        <v>730</v>
      </c>
      <c r="E1173" s="1035"/>
      <c r="F1173" s="1035"/>
      <c r="G1173" s="1035"/>
      <c r="H1173" s="1035"/>
      <c r="I1173" s="403"/>
    </row>
    <row r="1174" spans="2:9" s="580" customFormat="1" ht="14.1" customHeight="1">
      <c r="B1174" s="602"/>
      <c r="C1174" s="377" t="s">
        <v>13</v>
      </c>
      <c r="D1174" s="1036" t="s">
        <v>816</v>
      </c>
      <c r="E1174" s="1037"/>
      <c r="F1174" s="1038"/>
      <c r="G1174" s="1039" t="s">
        <v>740</v>
      </c>
      <c r="H1174" s="1035"/>
      <c r="I1174" s="403"/>
    </row>
    <row r="1175" spans="2:9" s="580" customFormat="1" ht="14.1" customHeight="1" thickBot="1">
      <c r="B1175" s="602"/>
      <c r="C1175" s="456" t="s">
        <v>14</v>
      </c>
      <c r="D1175" s="1029" t="s">
        <v>817</v>
      </c>
      <c r="E1175" s="1030"/>
      <c r="F1175" s="1030"/>
      <c r="G1175" s="1030"/>
      <c r="H1175" s="1030"/>
      <c r="I1175" s="404"/>
    </row>
    <row r="1176" spans="2:9" s="567" customFormat="1" ht="15.95" customHeight="1" thickBot="1">
      <c r="B1176" s="598">
        <v>58</v>
      </c>
      <c r="C1176" s="566" t="s">
        <v>1260</v>
      </c>
      <c r="H1176" s="568"/>
      <c r="I1176" s="568"/>
    </row>
    <row r="1177" spans="2:9" s="580" customFormat="1" ht="35.1" customHeight="1" thickBot="1">
      <c r="B1177" s="602"/>
      <c r="C1177" s="334" t="s">
        <v>840</v>
      </c>
      <c r="D1177" s="335" t="s">
        <v>841</v>
      </c>
      <c r="E1177" s="335" t="s">
        <v>842</v>
      </c>
      <c r="F1177" s="335" t="s">
        <v>843</v>
      </c>
      <c r="G1177" s="431" t="s">
        <v>844</v>
      </c>
      <c r="H1177" s="431" t="s">
        <v>845</v>
      </c>
      <c r="I1177" s="337" t="s">
        <v>846</v>
      </c>
    </row>
    <row r="1178" spans="2:9" s="580" customFormat="1" ht="14.1" customHeight="1">
      <c r="B1178" s="602"/>
      <c r="C1178" s="491" t="s">
        <v>7</v>
      </c>
      <c r="D1178" s="365" t="s">
        <v>810</v>
      </c>
      <c r="E1178" s="382"/>
      <c r="F1178" s="382"/>
      <c r="G1178" s="382"/>
      <c r="H1178" s="382"/>
      <c r="I1178" s="384"/>
    </row>
    <row r="1179" spans="2:9" s="580" customFormat="1" ht="14.1" customHeight="1">
      <c r="B1179" s="602"/>
      <c r="C1179" s="758"/>
      <c r="D1179" s="365" t="s">
        <v>10</v>
      </c>
      <c r="E1179" s="351" t="s">
        <v>16</v>
      </c>
      <c r="F1179" s="351" t="s">
        <v>726</v>
      </c>
      <c r="G1179" s="396">
        <v>0.7</v>
      </c>
      <c r="H1179" s="382"/>
      <c r="I1179" s="384"/>
    </row>
    <row r="1180" spans="2:9" s="580" customFormat="1" ht="14.1" customHeight="1">
      <c r="B1180" s="602"/>
      <c r="C1180" s="758"/>
      <c r="D1180" s="365" t="s">
        <v>143</v>
      </c>
      <c r="E1180" s="351" t="s">
        <v>22</v>
      </c>
      <c r="F1180" s="351" t="s">
        <v>726</v>
      </c>
      <c r="G1180" s="396">
        <v>0.35</v>
      </c>
      <c r="H1180" s="382"/>
      <c r="I1180" s="384"/>
    </row>
    <row r="1181" spans="2:9" s="580" customFormat="1" ht="14.1" customHeight="1">
      <c r="B1181" s="602"/>
      <c r="C1181" s="758"/>
      <c r="D1181" s="365" t="s">
        <v>20</v>
      </c>
      <c r="E1181" s="351" t="s">
        <v>21</v>
      </c>
      <c r="F1181" s="351" t="s">
        <v>726</v>
      </c>
      <c r="G1181" s="352">
        <v>3.5000000000000003E-2</v>
      </c>
      <c r="H1181" s="382"/>
      <c r="I1181" s="384"/>
    </row>
    <row r="1182" spans="2:9" s="580" customFormat="1" ht="14.1" customHeight="1">
      <c r="B1182" s="602"/>
      <c r="C1182" s="759"/>
      <c r="D1182" s="387" t="s">
        <v>11</v>
      </c>
      <c r="E1182" s="354" t="s">
        <v>17</v>
      </c>
      <c r="F1182" s="354" t="s">
        <v>726</v>
      </c>
      <c r="G1182" s="355">
        <v>3.5000000000000003E-2</v>
      </c>
      <c r="H1182" s="388"/>
      <c r="I1182" s="389"/>
    </row>
    <row r="1183" spans="2:9" s="580" customFormat="1" ht="14.1" customHeight="1">
      <c r="B1183" s="602"/>
      <c r="C1183" s="760"/>
      <c r="D1183" s="440"/>
      <c r="E1183" s="440"/>
      <c r="F1183" s="440"/>
      <c r="G1183" s="1027" t="s">
        <v>727</v>
      </c>
      <c r="H1183" s="1028"/>
      <c r="I1183" s="395"/>
    </row>
    <row r="1184" spans="2:9" s="580" customFormat="1" ht="14.1" customHeight="1">
      <c r="B1184" s="602"/>
      <c r="C1184" s="457" t="s">
        <v>8</v>
      </c>
      <c r="D1184" s="458" t="s">
        <v>811</v>
      </c>
      <c r="E1184" s="393"/>
      <c r="F1184" s="393"/>
      <c r="G1184" s="393"/>
      <c r="H1184" s="393"/>
      <c r="I1184" s="436"/>
    </row>
    <row r="1185" spans="2:9" s="580" customFormat="1" ht="14.1" customHeight="1">
      <c r="B1185" s="602"/>
      <c r="C1185" s="758"/>
      <c r="D1185" s="365" t="s">
        <v>1195</v>
      </c>
      <c r="E1185" s="382"/>
      <c r="F1185" s="351" t="s">
        <v>215</v>
      </c>
      <c r="G1185" s="396">
        <v>1.1000000000000001</v>
      </c>
      <c r="H1185" s="382"/>
      <c r="I1185" s="384"/>
    </row>
    <row r="1186" spans="2:9" s="580" customFormat="1" ht="14.1" customHeight="1">
      <c r="B1186" s="602"/>
      <c r="C1186" s="758"/>
      <c r="D1186" s="365" t="s">
        <v>806</v>
      </c>
      <c r="E1186" s="382"/>
      <c r="F1186" s="351" t="s">
        <v>734</v>
      </c>
      <c r="G1186" s="396">
        <v>11.75</v>
      </c>
      <c r="H1186" s="382"/>
      <c r="I1186" s="384"/>
    </row>
    <row r="1187" spans="2:9" s="580" customFormat="1" ht="14.1" customHeight="1">
      <c r="B1187" s="602"/>
      <c r="C1187" s="759"/>
      <c r="D1187" s="387" t="s">
        <v>211</v>
      </c>
      <c r="E1187" s="388"/>
      <c r="F1187" s="459" t="s">
        <v>1201</v>
      </c>
      <c r="G1187" s="355">
        <v>3.5000000000000003E-2</v>
      </c>
      <c r="H1187" s="388"/>
      <c r="I1187" s="389"/>
    </row>
    <row r="1188" spans="2:9" s="580" customFormat="1" ht="14.1" customHeight="1">
      <c r="B1188" s="602"/>
      <c r="C1188" s="760"/>
      <c r="D1188" s="440"/>
      <c r="E1188" s="440"/>
      <c r="F1188" s="440"/>
      <c r="G1188" s="1027" t="s">
        <v>728</v>
      </c>
      <c r="H1188" s="1028"/>
      <c r="I1188" s="395"/>
    </row>
    <row r="1189" spans="2:9" s="580" customFormat="1" ht="14.1" customHeight="1">
      <c r="B1189" s="602"/>
      <c r="C1189" s="457" t="s">
        <v>9</v>
      </c>
      <c r="D1189" s="458" t="s">
        <v>815</v>
      </c>
      <c r="E1189" s="393"/>
      <c r="F1189" s="393"/>
      <c r="G1189" s="393"/>
      <c r="H1189" s="393"/>
      <c r="I1189" s="436"/>
    </row>
    <row r="1190" spans="2:9" s="580" customFormat="1" ht="14.1" customHeight="1">
      <c r="B1190" s="602"/>
      <c r="C1190" s="759"/>
      <c r="D1190" s="388"/>
      <c r="E1190" s="388"/>
      <c r="F1190" s="388"/>
      <c r="G1190" s="388"/>
      <c r="H1190" s="388"/>
      <c r="I1190" s="389"/>
    </row>
    <row r="1191" spans="2:9" s="580" customFormat="1" ht="14.1" customHeight="1">
      <c r="B1191" s="602"/>
      <c r="C1191" s="760"/>
      <c r="D1191" s="440"/>
      <c r="E1191" s="440"/>
      <c r="F1191" s="440"/>
      <c r="G1191" s="1027" t="s">
        <v>729</v>
      </c>
      <c r="H1191" s="1028"/>
      <c r="I1191" s="395"/>
    </row>
    <row r="1192" spans="2:9" s="580" customFormat="1" ht="14.1" customHeight="1">
      <c r="B1192" s="602"/>
      <c r="C1192" s="377" t="s">
        <v>12</v>
      </c>
      <c r="D1192" s="1039" t="s">
        <v>730</v>
      </c>
      <c r="E1192" s="1035"/>
      <c r="F1192" s="1035"/>
      <c r="G1192" s="1034"/>
      <c r="H1192" s="1034"/>
      <c r="I1192" s="403"/>
    </row>
    <row r="1193" spans="2:9" s="580" customFormat="1" ht="14.1" customHeight="1">
      <c r="B1193" s="602"/>
      <c r="C1193" s="377" t="s">
        <v>13</v>
      </c>
      <c r="D1193" s="1036" t="s">
        <v>816</v>
      </c>
      <c r="E1193" s="1037"/>
      <c r="F1193" s="1038"/>
      <c r="G1193" s="1039" t="s">
        <v>740</v>
      </c>
      <c r="H1193" s="1035"/>
      <c r="I1193" s="403"/>
    </row>
    <row r="1194" spans="2:9" s="580" customFormat="1" ht="14.1" customHeight="1" thickBot="1">
      <c r="B1194" s="602"/>
      <c r="C1194" s="456" t="s">
        <v>14</v>
      </c>
      <c r="D1194" s="1029" t="s">
        <v>817</v>
      </c>
      <c r="E1194" s="1030"/>
      <c r="F1194" s="1030"/>
      <c r="G1194" s="1030"/>
      <c r="H1194" s="1030"/>
      <c r="I1194" s="404"/>
    </row>
    <row r="1195" spans="2:9" s="580" customFormat="1" ht="14.1" customHeight="1">
      <c r="B1195" s="602"/>
      <c r="H1195" s="316"/>
      <c r="I1195" s="316"/>
    </row>
    <row r="1196" spans="2:9" s="567" customFormat="1" ht="15.95" customHeight="1" thickBot="1">
      <c r="B1196" s="598">
        <v>59</v>
      </c>
      <c r="C1196" s="566" t="s">
        <v>1261</v>
      </c>
      <c r="H1196" s="568"/>
      <c r="I1196" s="568"/>
    </row>
    <row r="1197" spans="2:9" s="580" customFormat="1" ht="35.1" customHeight="1" thickBot="1">
      <c r="B1197" s="602"/>
      <c r="C1197" s="334" t="s">
        <v>840</v>
      </c>
      <c r="D1197" s="335" t="s">
        <v>841</v>
      </c>
      <c r="E1197" s="335" t="s">
        <v>842</v>
      </c>
      <c r="F1197" s="335" t="s">
        <v>843</v>
      </c>
      <c r="G1197" s="431" t="s">
        <v>844</v>
      </c>
      <c r="H1197" s="431" t="s">
        <v>845</v>
      </c>
      <c r="I1197" s="337" t="s">
        <v>846</v>
      </c>
    </row>
    <row r="1198" spans="2:9" s="580" customFormat="1" ht="14.1" customHeight="1">
      <c r="B1198" s="602"/>
      <c r="C1198" s="491" t="s">
        <v>7</v>
      </c>
      <c r="D1198" s="365" t="s">
        <v>810</v>
      </c>
      <c r="E1198" s="382"/>
      <c r="F1198" s="382"/>
      <c r="G1198" s="382"/>
      <c r="H1198" s="382"/>
      <c r="I1198" s="384"/>
    </row>
    <row r="1199" spans="2:9" s="580" customFormat="1" ht="14.1" customHeight="1">
      <c r="B1199" s="602"/>
      <c r="C1199" s="758"/>
      <c r="D1199" s="365" t="s">
        <v>10</v>
      </c>
      <c r="E1199" s="351" t="s">
        <v>16</v>
      </c>
      <c r="F1199" s="351" t="s">
        <v>726</v>
      </c>
      <c r="G1199" s="396">
        <v>0.15</v>
      </c>
      <c r="H1199" s="382"/>
      <c r="I1199" s="384"/>
    </row>
    <row r="1200" spans="2:9" s="580" customFormat="1" ht="14.1" customHeight="1">
      <c r="B1200" s="602"/>
      <c r="C1200" s="758"/>
      <c r="D1200" s="365" t="s">
        <v>143</v>
      </c>
      <c r="E1200" s="351" t="s">
        <v>22</v>
      </c>
      <c r="F1200" s="351" t="s">
        <v>726</v>
      </c>
      <c r="G1200" s="396">
        <v>0.15</v>
      </c>
      <c r="H1200" s="382"/>
      <c r="I1200" s="384"/>
    </row>
    <row r="1201" spans="2:9" s="580" customFormat="1" ht="14.1" customHeight="1">
      <c r="B1201" s="602"/>
      <c r="C1201" s="758"/>
      <c r="D1201" s="365" t="s">
        <v>20</v>
      </c>
      <c r="E1201" s="351" t="s">
        <v>21</v>
      </c>
      <c r="F1201" s="351" t="s">
        <v>726</v>
      </c>
      <c r="G1201" s="352">
        <v>1.4999999999999999E-2</v>
      </c>
      <c r="H1201" s="382"/>
      <c r="I1201" s="384"/>
    </row>
    <row r="1202" spans="2:9" s="580" customFormat="1" ht="14.1" customHeight="1">
      <c r="B1202" s="602"/>
      <c r="C1202" s="759"/>
      <c r="D1202" s="387" t="s">
        <v>11</v>
      </c>
      <c r="E1202" s="354" t="s">
        <v>17</v>
      </c>
      <c r="F1202" s="354" t="s">
        <v>726</v>
      </c>
      <c r="G1202" s="355">
        <v>8.0000000000000002E-3</v>
      </c>
      <c r="H1202" s="388"/>
      <c r="I1202" s="389"/>
    </row>
    <row r="1203" spans="2:9" s="580" customFormat="1" ht="14.1" customHeight="1">
      <c r="B1203" s="602"/>
      <c r="C1203" s="760"/>
      <c r="D1203" s="440"/>
      <c r="E1203" s="440"/>
      <c r="F1203" s="440"/>
      <c r="G1203" s="1027" t="s">
        <v>727</v>
      </c>
      <c r="H1203" s="1028"/>
      <c r="I1203" s="395"/>
    </row>
    <row r="1204" spans="2:9" s="580" customFormat="1" ht="14.1" customHeight="1">
      <c r="B1204" s="602"/>
      <c r="C1204" s="457" t="s">
        <v>8</v>
      </c>
      <c r="D1204" s="458" t="s">
        <v>811</v>
      </c>
      <c r="E1204" s="393"/>
      <c r="F1204" s="393"/>
      <c r="G1204" s="393"/>
      <c r="H1204" s="393"/>
      <c r="I1204" s="436"/>
    </row>
    <row r="1205" spans="2:9" s="580" customFormat="1" ht="14.1" customHeight="1">
      <c r="B1205" s="602"/>
      <c r="C1205" s="758"/>
      <c r="D1205" s="365" t="s">
        <v>1196</v>
      </c>
      <c r="E1205" s="382"/>
      <c r="F1205" s="351" t="s">
        <v>825</v>
      </c>
      <c r="G1205" s="396">
        <v>11.87</v>
      </c>
      <c r="H1205" s="382"/>
      <c r="I1205" s="384"/>
    </row>
    <row r="1206" spans="2:9" s="580" customFormat="1" ht="14.1" customHeight="1">
      <c r="B1206" s="602"/>
      <c r="C1206" s="759"/>
      <c r="D1206" s="387" t="s">
        <v>1186</v>
      </c>
      <c r="E1206" s="388"/>
      <c r="F1206" s="354" t="s">
        <v>734</v>
      </c>
      <c r="G1206" s="397">
        <v>0.35</v>
      </c>
      <c r="H1206" s="388"/>
      <c r="I1206" s="389"/>
    </row>
    <row r="1207" spans="2:9" s="580" customFormat="1" ht="14.1" customHeight="1">
      <c r="B1207" s="602"/>
      <c r="C1207" s="760"/>
      <c r="D1207" s="440"/>
      <c r="E1207" s="440"/>
      <c r="F1207" s="440"/>
      <c r="G1207" s="1027" t="s">
        <v>728</v>
      </c>
      <c r="H1207" s="1028"/>
      <c r="I1207" s="395"/>
    </row>
    <row r="1208" spans="2:9" s="580" customFormat="1" ht="14.1" customHeight="1">
      <c r="B1208" s="602"/>
      <c r="C1208" s="457" t="s">
        <v>9</v>
      </c>
      <c r="D1208" s="458" t="s">
        <v>815</v>
      </c>
      <c r="E1208" s="393"/>
      <c r="F1208" s="393"/>
      <c r="G1208" s="393"/>
      <c r="H1208" s="393"/>
      <c r="I1208" s="436"/>
    </row>
    <row r="1209" spans="2:9" s="580" customFormat="1" ht="14.1" customHeight="1">
      <c r="B1209" s="602"/>
      <c r="C1209" s="759"/>
      <c r="D1209" s="388"/>
      <c r="E1209" s="388"/>
      <c r="F1209" s="388"/>
      <c r="G1209" s="388"/>
      <c r="H1209" s="388"/>
      <c r="I1209" s="389"/>
    </row>
    <row r="1210" spans="2:9" s="580" customFormat="1" ht="14.1" customHeight="1">
      <c r="B1210" s="602"/>
      <c r="C1210" s="760"/>
      <c r="D1210" s="440"/>
      <c r="E1210" s="440"/>
      <c r="F1210" s="440"/>
      <c r="G1210" s="1027" t="s">
        <v>729</v>
      </c>
      <c r="H1210" s="1028"/>
      <c r="I1210" s="395"/>
    </row>
    <row r="1211" spans="2:9" s="580" customFormat="1" ht="14.1" customHeight="1">
      <c r="B1211" s="602"/>
      <c r="C1211" s="377" t="s">
        <v>12</v>
      </c>
      <c r="D1211" s="1039" t="s">
        <v>730</v>
      </c>
      <c r="E1211" s="1035"/>
      <c r="F1211" s="1035"/>
      <c r="G1211" s="1034"/>
      <c r="H1211" s="1034"/>
      <c r="I1211" s="403"/>
    </row>
    <row r="1212" spans="2:9" s="580" customFormat="1" ht="14.1" customHeight="1">
      <c r="B1212" s="602"/>
      <c r="C1212" s="377" t="s">
        <v>13</v>
      </c>
      <c r="D1212" s="1036" t="s">
        <v>816</v>
      </c>
      <c r="E1212" s="1037"/>
      <c r="F1212" s="1038"/>
      <c r="G1212" s="1039" t="s">
        <v>740</v>
      </c>
      <c r="H1212" s="1035"/>
      <c r="I1212" s="403"/>
    </row>
    <row r="1213" spans="2:9" s="580" customFormat="1" ht="14.1" customHeight="1" thickBot="1">
      <c r="B1213" s="602"/>
      <c r="C1213" s="456" t="s">
        <v>14</v>
      </c>
      <c r="D1213" s="1029" t="s">
        <v>817</v>
      </c>
      <c r="E1213" s="1030"/>
      <c r="F1213" s="1030"/>
      <c r="G1213" s="1030"/>
      <c r="H1213" s="1030"/>
      <c r="I1213" s="404"/>
    </row>
    <row r="1214" spans="2:9" s="580" customFormat="1" ht="14.1" customHeight="1">
      <c r="B1214" s="602"/>
      <c r="C1214" s="623"/>
      <c r="D1214" s="576"/>
      <c r="E1214" s="576"/>
      <c r="F1214" s="576"/>
      <c r="G1214" s="576"/>
      <c r="H1214" s="915"/>
      <c r="I1214" s="316"/>
    </row>
    <row r="1215" spans="2:9" s="567" customFormat="1" ht="15.95" customHeight="1" thickBot="1">
      <c r="B1215" s="598">
        <v>60</v>
      </c>
      <c r="C1215" s="566" t="s">
        <v>1262</v>
      </c>
      <c r="H1215" s="568"/>
      <c r="I1215" s="568"/>
    </row>
    <row r="1216" spans="2:9" s="580" customFormat="1" ht="35.1" customHeight="1" thickBot="1">
      <c r="B1216" s="602"/>
      <c r="C1216" s="334" t="s">
        <v>840</v>
      </c>
      <c r="D1216" s="335" t="s">
        <v>841</v>
      </c>
      <c r="E1216" s="335" t="s">
        <v>842</v>
      </c>
      <c r="F1216" s="335" t="s">
        <v>843</v>
      </c>
      <c r="G1216" s="431" t="s">
        <v>844</v>
      </c>
      <c r="H1216" s="431" t="s">
        <v>845</v>
      </c>
      <c r="I1216" s="337" t="s">
        <v>846</v>
      </c>
    </row>
    <row r="1217" spans="2:9" s="580" customFormat="1" ht="14.1" customHeight="1">
      <c r="B1217" s="602"/>
      <c r="C1217" s="491" t="s">
        <v>7</v>
      </c>
      <c r="D1217" s="365" t="s">
        <v>810</v>
      </c>
      <c r="E1217" s="382"/>
      <c r="F1217" s="382"/>
      <c r="G1217" s="382"/>
      <c r="H1217" s="382"/>
      <c r="I1217" s="384"/>
    </row>
    <row r="1218" spans="2:9" s="580" customFormat="1" ht="14.1" customHeight="1">
      <c r="B1218" s="602"/>
      <c r="C1218" s="758"/>
      <c r="D1218" s="365" t="s">
        <v>10</v>
      </c>
      <c r="E1218" s="351" t="s">
        <v>16</v>
      </c>
      <c r="F1218" s="351" t="s">
        <v>726</v>
      </c>
      <c r="G1218" s="396">
        <v>0.35</v>
      </c>
      <c r="H1218" s="382"/>
      <c r="I1218" s="384"/>
    </row>
    <row r="1219" spans="2:9" s="580" customFormat="1" ht="14.1" customHeight="1">
      <c r="B1219" s="602"/>
      <c r="C1219" s="758"/>
      <c r="D1219" s="365" t="s">
        <v>143</v>
      </c>
      <c r="E1219" s="351" t="s">
        <v>22</v>
      </c>
      <c r="F1219" s="351" t="s">
        <v>726</v>
      </c>
      <c r="G1219" s="352">
        <v>0.17499999999999999</v>
      </c>
      <c r="H1219" s="382"/>
      <c r="I1219" s="384"/>
    </row>
    <row r="1220" spans="2:9" s="580" customFormat="1" ht="14.1" customHeight="1">
      <c r="B1220" s="602"/>
      <c r="C1220" s="758"/>
      <c r="D1220" s="365" t="s">
        <v>20</v>
      </c>
      <c r="E1220" s="351" t="s">
        <v>21</v>
      </c>
      <c r="F1220" s="351" t="s">
        <v>726</v>
      </c>
      <c r="G1220" s="352">
        <v>1.7000000000000001E-2</v>
      </c>
      <c r="H1220" s="382"/>
      <c r="I1220" s="384"/>
    </row>
    <row r="1221" spans="2:9" s="580" customFormat="1" ht="14.1" customHeight="1">
      <c r="B1221" s="602"/>
      <c r="C1221" s="759"/>
      <c r="D1221" s="387" t="s">
        <v>11</v>
      </c>
      <c r="E1221" s="354" t="s">
        <v>17</v>
      </c>
      <c r="F1221" s="354" t="s">
        <v>726</v>
      </c>
      <c r="G1221" s="355">
        <v>2E-3</v>
      </c>
      <c r="H1221" s="388"/>
      <c r="I1221" s="389"/>
    </row>
    <row r="1222" spans="2:9" s="580" customFormat="1" ht="14.1" customHeight="1">
      <c r="B1222" s="602"/>
      <c r="C1222" s="760"/>
      <c r="D1222" s="440"/>
      <c r="E1222" s="440"/>
      <c r="F1222" s="440"/>
      <c r="G1222" s="1027" t="s">
        <v>727</v>
      </c>
      <c r="H1222" s="1028"/>
      <c r="I1222" s="395"/>
    </row>
    <row r="1223" spans="2:9" s="580" customFormat="1" ht="14.1" customHeight="1">
      <c r="B1223" s="602"/>
      <c r="C1223" s="457" t="s">
        <v>8</v>
      </c>
      <c r="D1223" s="458" t="s">
        <v>811</v>
      </c>
      <c r="E1223" s="393"/>
      <c r="F1223" s="393"/>
      <c r="G1223" s="393"/>
      <c r="H1223" s="393"/>
      <c r="I1223" s="436"/>
    </row>
    <row r="1224" spans="2:9" s="580" customFormat="1" ht="14.1" customHeight="1">
      <c r="B1224" s="602"/>
      <c r="C1224" s="758"/>
      <c r="D1224" s="763" t="s">
        <v>1197</v>
      </c>
      <c r="E1224" s="382"/>
      <c r="F1224" s="351" t="s">
        <v>1050</v>
      </c>
      <c r="G1224" s="396">
        <v>2.2000000000000002</v>
      </c>
      <c r="H1224" s="382"/>
      <c r="I1224" s="384"/>
    </row>
    <row r="1225" spans="2:9" s="580" customFormat="1" ht="14.1" customHeight="1">
      <c r="B1225" s="602"/>
      <c r="C1225" s="759"/>
      <c r="D1225" s="387" t="s">
        <v>1186</v>
      </c>
      <c r="E1225" s="388"/>
      <c r="F1225" s="354" t="s">
        <v>734</v>
      </c>
      <c r="G1225" s="397">
        <v>0.25</v>
      </c>
      <c r="H1225" s="388"/>
      <c r="I1225" s="389"/>
    </row>
    <row r="1226" spans="2:9" s="580" customFormat="1" ht="14.1" customHeight="1">
      <c r="B1226" s="602"/>
      <c r="C1226" s="760"/>
      <c r="D1226" s="440"/>
      <c r="E1226" s="440"/>
      <c r="F1226" s="440"/>
      <c r="G1226" s="1027" t="s">
        <v>728</v>
      </c>
      <c r="H1226" s="1028"/>
      <c r="I1226" s="395"/>
    </row>
    <row r="1227" spans="2:9" s="580" customFormat="1" ht="14.1" customHeight="1">
      <c r="B1227" s="602"/>
      <c r="C1227" s="457" t="s">
        <v>9</v>
      </c>
      <c r="D1227" s="458" t="s">
        <v>815</v>
      </c>
      <c r="E1227" s="393"/>
      <c r="F1227" s="393"/>
      <c r="G1227" s="393"/>
      <c r="H1227" s="393"/>
      <c r="I1227" s="436"/>
    </row>
    <row r="1228" spans="2:9" s="580" customFormat="1" ht="14.1" customHeight="1">
      <c r="B1228" s="602"/>
      <c r="C1228" s="759"/>
      <c r="D1228" s="388"/>
      <c r="E1228" s="388"/>
      <c r="F1228" s="388"/>
      <c r="G1228" s="388"/>
      <c r="H1228" s="388"/>
      <c r="I1228" s="389"/>
    </row>
    <row r="1229" spans="2:9" s="580" customFormat="1" ht="14.1" customHeight="1">
      <c r="B1229" s="602"/>
      <c r="C1229" s="760"/>
      <c r="D1229" s="440"/>
      <c r="E1229" s="440"/>
      <c r="F1229" s="440"/>
      <c r="G1229" s="1027" t="s">
        <v>729</v>
      </c>
      <c r="H1229" s="1028"/>
      <c r="I1229" s="395"/>
    </row>
    <row r="1230" spans="2:9" s="580" customFormat="1" ht="14.1" customHeight="1">
      <c r="B1230" s="602"/>
      <c r="C1230" s="377" t="s">
        <v>12</v>
      </c>
      <c r="D1230" s="1039" t="s">
        <v>730</v>
      </c>
      <c r="E1230" s="1035"/>
      <c r="F1230" s="1035"/>
      <c r="G1230" s="1034"/>
      <c r="H1230" s="1034"/>
      <c r="I1230" s="403"/>
    </row>
    <row r="1231" spans="2:9" s="580" customFormat="1" ht="14.1" customHeight="1">
      <c r="B1231" s="602"/>
      <c r="C1231" s="377" t="s">
        <v>13</v>
      </c>
      <c r="D1231" s="1036" t="s">
        <v>816</v>
      </c>
      <c r="E1231" s="1037"/>
      <c r="F1231" s="1038"/>
      <c r="G1231" s="1039" t="s">
        <v>740</v>
      </c>
      <c r="H1231" s="1035"/>
      <c r="I1231" s="403"/>
    </row>
    <row r="1232" spans="2:9" s="580" customFormat="1" ht="14.1" customHeight="1" thickBot="1">
      <c r="B1232" s="602"/>
      <c r="C1232" s="456" t="s">
        <v>14</v>
      </c>
      <c r="D1232" s="1029" t="s">
        <v>817</v>
      </c>
      <c r="E1232" s="1030"/>
      <c r="F1232" s="1030"/>
      <c r="G1232" s="1030"/>
      <c r="H1232" s="1030"/>
      <c r="I1232" s="404"/>
    </row>
    <row r="1233" spans="2:9" s="580" customFormat="1" ht="14.1" customHeight="1">
      <c r="B1233" s="602"/>
      <c r="H1233" s="316"/>
      <c r="I1233" s="316"/>
    </row>
    <row r="1234" spans="2:9" s="567" customFormat="1" ht="15.95" customHeight="1" thickBot="1">
      <c r="B1234" s="598">
        <v>61</v>
      </c>
      <c r="C1234" s="566" t="s">
        <v>1263</v>
      </c>
      <c r="H1234" s="568"/>
      <c r="I1234" s="568"/>
    </row>
    <row r="1235" spans="2:9" s="580" customFormat="1" ht="35.1" customHeight="1" thickBot="1">
      <c r="B1235" s="602"/>
      <c r="C1235" s="334" t="s">
        <v>840</v>
      </c>
      <c r="D1235" s="335" t="s">
        <v>841</v>
      </c>
      <c r="E1235" s="335" t="s">
        <v>842</v>
      </c>
      <c r="F1235" s="335" t="s">
        <v>843</v>
      </c>
      <c r="G1235" s="431" t="s">
        <v>844</v>
      </c>
      <c r="H1235" s="335" t="s">
        <v>845</v>
      </c>
      <c r="I1235" s="337" t="s">
        <v>846</v>
      </c>
    </row>
    <row r="1236" spans="2:9" s="580" customFormat="1" ht="14.1" customHeight="1">
      <c r="B1236" s="602"/>
      <c r="C1236" s="491" t="s">
        <v>7</v>
      </c>
      <c r="D1236" s="365" t="s">
        <v>810</v>
      </c>
      <c r="E1236" s="382"/>
      <c r="F1236" s="382"/>
      <c r="G1236" s="382"/>
      <c r="H1236" s="382"/>
      <c r="I1236" s="384"/>
    </row>
    <row r="1237" spans="2:9" s="580" customFormat="1" ht="14.1" customHeight="1">
      <c r="B1237" s="602"/>
      <c r="C1237" s="758"/>
      <c r="D1237" s="365" t="s">
        <v>10</v>
      </c>
      <c r="E1237" s="351" t="s">
        <v>16</v>
      </c>
      <c r="F1237" s="351" t="s">
        <v>726</v>
      </c>
      <c r="G1237" s="396">
        <v>0.12</v>
      </c>
      <c r="H1237" s="382"/>
      <c r="I1237" s="384"/>
    </row>
    <row r="1238" spans="2:9" s="580" customFormat="1" ht="14.1" customHeight="1">
      <c r="B1238" s="602"/>
      <c r="C1238" s="758"/>
      <c r="D1238" s="365" t="s">
        <v>143</v>
      </c>
      <c r="E1238" s="351" t="s">
        <v>22</v>
      </c>
      <c r="F1238" s="351" t="s">
        <v>726</v>
      </c>
      <c r="G1238" s="396">
        <v>0.12</v>
      </c>
      <c r="H1238" s="382"/>
      <c r="I1238" s="384"/>
    </row>
    <row r="1239" spans="2:9" s="580" customFormat="1" ht="14.1" customHeight="1">
      <c r="B1239" s="602"/>
      <c r="C1239" s="758"/>
      <c r="D1239" s="365" t="s">
        <v>20</v>
      </c>
      <c r="E1239" s="351" t="s">
        <v>21</v>
      </c>
      <c r="F1239" s="351" t="s">
        <v>726</v>
      </c>
      <c r="G1239" s="352">
        <v>1.2E-2</v>
      </c>
      <c r="H1239" s="382"/>
      <c r="I1239" s="384"/>
    </row>
    <row r="1240" spans="2:9" s="580" customFormat="1" ht="14.1" customHeight="1">
      <c r="B1240" s="602"/>
      <c r="C1240" s="759"/>
      <c r="D1240" s="387" t="s">
        <v>11</v>
      </c>
      <c r="E1240" s="354" t="s">
        <v>17</v>
      </c>
      <c r="F1240" s="354" t="s">
        <v>726</v>
      </c>
      <c r="G1240" s="355">
        <v>6.0000000000000001E-3</v>
      </c>
      <c r="H1240" s="388"/>
      <c r="I1240" s="389"/>
    </row>
    <row r="1241" spans="2:9" s="580" customFormat="1" ht="14.1" customHeight="1">
      <c r="B1241" s="602"/>
      <c r="C1241" s="760"/>
      <c r="D1241" s="440"/>
      <c r="E1241" s="440"/>
      <c r="F1241" s="440"/>
      <c r="G1241" s="1027" t="s">
        <v>727</v>
      </c>
      <c r="H1241" s="1028"/>
      <c r="I1241" s="395"/>
    </row>
    <row r="1242" spans="2:9" s="580" customFormat="1" ht="14.1" customHeight="1">
      <c r="B1242" s="602"/>
      <c r="C1242" s="457" t="s">
        <v>8</v>
      </c>
      <c r="D1242" s="458" t="s">
        <v>811</v>
      </c>
      <c r="E1242" s="393"/>
      <c r="F1242" s="393"/>
      <c r="G1242" s="393"/>
      <c r="H1242" s="393"/>
      <c r="I1242" s="436"/>
    </row>
    <row r="1243" spans="2:9" s="580" customFormat="1" ht="14.1" customHeight="1">
      <c r="B1243" s="602"/>
      <c r="C1243" s="759"/>
      <c r="D1243" s="764" t="s">
        <v>1198</v>
      </c>
      <c r="E1243" s="388"/>
      <c r="F1243" s="354" t="s">
        <v>734</v>
      </c>
      <c r="G1243" s="397">
        <v>5</v>
      </c>
      <c r="H1243" s="388"/>
      <c r="I1243" s="389"/>
    </row>
    <row r="1244" spans="2:9" s="580" customFormat="1" ht="14.1" customHeight="1">
      <c r="B1244" s="602"/>
      <c r="C1244" s="760"/>
      <c r="D1244" s="440"/>
      <c r="E1244" s="440"/>
      <c r="F1244" s="440"/>
      <c r="G1244" s="1027" t="s">
        <v>728</v>
      </c>
      <c r="H1244" s="1028"/>
      <c r="I1244" s="395"/>
    </row>
    <row r="1245" spans="2:9" s="580" customFormat="1" ht="14.1" customHeight="1">
      <c r="B1245" s="602"/>
      <c r="C1245" s="457" t="s">
        <v>9</v>
      </c>
      <c r="D1245" s="458" t="s">
        <v>815</v>
      </c>
      <c r="E1245" s="393"/>
      <c r="F1245" s="393"/>
      <c r="G1245" s="393"/>
      <c r="H1245" s="393"/>
      <c r="I1245" s="436"/>
    </row>
    <row r="1246" spans="2:9" s="580" customFormat="1" ht="14.1" customHeight="1">
      <c r="B1246" s="602"/>
      <c r="C1246" s="759"/>
      <c r="D1246" s="388"/>
      <c r="E1246" s="388"/>
      <c r="F1246" s="388"/>
      <c r="G1246" s="388"/>
      <c r="H1246" s="388"/>
      <c r="I1246" s="389"/>
    </row>
    <row r="1247" spans="2:9" s="580" customFormat="1" ht="14.1" customHeight="1">
      <c r="B1247" s="602"/>
      <c r="C1247" s="760"/>
      <c r="D1247" s="440"/>
      <c r="E1247" s="440"/>
      <c r="F1247" s="440"/>
      <c r="G1247" s="1027" t="s">
        <v>729</v>
      </c>
      <c r="H1247" s="1028"/>
      <c r="I1247" s="395"/>
    </row>
    <row r="1248" spans="2:9" s="580" customFormat="1" ht="14.1" customHeight="1">
      <c r="B1248" s="602"/>
      <c r="C1248" s="377" t="s">
        <v>12</v>
      </c>
      <c r="D1248" s="1039" t="s">
        <v>730</v>
      </c>
      <c r="E1248" s="1035"/>
      <c r="F1248" s="1035"/>
      <c r="G1248" s="1034"/>
      <c r="H1248" s="1023"/>
      <c r="I1248" s="403"/>
    </row>
    <row r="1249" spans="2:9" s="580" customFormat="1" ht="14.1" customHeight="1">
      <c r="B1249" s="602"/>
      <c r="C1249" s="377" t="s">
        <v>13</v>
      </c>
      <c r="D1249" s="1036" t="s">
        <v>816</v>
      </c>
      <c r="E1249" s="1037"/>
      <c r="F1249" s="1038"/>
      <c r="G1249" s="1039" t="s">
        <v>740</v>
      </c>
      <c r="H1249" s="1051"/>
      <c r="I1249" s="403"/>
    </row>
    <row r="1250" spans="2:9" s="580" customFormat="1" ht="14.1" customHeight="1" thickBot="1">
      <c r="B1250" s="602"/>
      <c r="C1250" s="456" t="s">
        <v>14</v>
      </c>
      <c r="D1250" s="1029" t="s">
        <v>817</v>
      </c>
      <c r="E1250" s="1030"/>
      <c r="F1250" s="1030"/>
      <c r="G1250" s="1030"/>
      <c r="H1250" s="1031"/>
      <c r="I1250" s="404"/>
    </row>
    <row r="1251" spans="2:9" s="580" customFormat="1" ht="14.1" customHeight="1">
      <c r="B1251" s="602"/>
      <c r="C1251" s="623"/>
      <c r="D1251" s="576"/>
      <c r="E1251" s="576"/>
      <c r="F1251" s="576"/>
      <c r="G1251" s="576"/>
      <c r="H1251" s="915"/>
      <c r="I1251" s="316"/>
    </row>
    <row r="1252" spans="2:9" s="597" customFormat="1" ht="15.95" customHeight="1" thickBot="1">
      <c r="B1252" s="598">
        <v>62</v>
      </c>
      <c r="C1252" s="572" t="s">
        <v>1220</v>
      </c>
      <c r="H1252" s="599"/>
      <c r="I1252" s="599"/>
    </row>
    <row r="1253" spans="2:9" s="580" customFormat="1" ht="35.1" customHeight="1" thickBot="1">
      <c r="B1253" s="602"/>
      <c r="C1253" s="334" t="s">
        <v>840</v>
      </c>
      <c r="D1253" s="335" t="s">
        <v>841</v>
      </c>
      <c r="E1253" s="335" t="s">
        <v>842</v>
      </c>
      <c r="F1253" s="335" t="s">
        <v>843</v>
      </c>
      <c r="G1253" s="431" t="s">
        <v>844</v>
      </c>
      <c r="H1253" s="335" t="s">
        <v>845</v>
      </c>
      <c r="I1253" s="337" t="s">
        <v>846</v>
      </c>
    </row>
    <row r="1254" spans="2:9" s="580" customFormat="1" ht="14.1" customHeight="1">
      <c r="B1254" s="602"/>
      <c r="C1254" s="543" t="s">
        <v>7</v>
      </c>
      <c r="D1254" s="289" t="s">
        <v>810</v>
      </c>
      <c r="E1254" s="299"/>
      <c r="F1254" s="299"/>
      <c r="G1254" s="299"/>
      <c r="H1254" s="299"/>
      <c r="I1254" s="300"/>
    </row>
    <row r="1255" spans="2:9" s="580" customFormat="1" ht="14.1" customHeight="1">
      <c r="B1255" s="602"/>
      <c r="C1255" s="753"/>
      <c r="D1255" s="289" t="s">
        <v>10</v>
      </c>
      <c r="E1255" s="285" t="s">
        <v>16</v>
      </c>
      <c r="F1255" s="285" t="s">
        <v>726</v>
      </c>
      <c r="G1255" s="749">
        <v>0.08</v>
      </c>
      <c r="H1255" s="299"/>
      <c r="I1255" s="300"/>
    </row>
    <row r="1256" spans="2:9" s="580" customFormat="1" ht="14.1" customHeight="1">
      <c r="B1256" s="602"/>
      <c r="C1256" s="753"/>
      <c r="D1256" s="289" t="s">
        <v>143</v>
      </c>
      <c r="E1256" s="285" t="s">
        <v>22</v>
      </c>
      <c r="F1256" s="285" t="s">
        <v>726</v>
      </c>
      <c r="G1256" s="749">
        <v>0.08</v>
      </c>
      <c r="H1256" s="299"/>
      <c r="I1256" s="300"/>
    </row>
    <row r="1257" spans="2:9" s="580" customFormat="1" ht="14.1" customHeight="1">
      <c r="B1257" s="602"/>
      <c r="C1257" s="753"/>
      <c r="D1257" s="289" t="s">
        <v>20</v>
      </c>
      <c r="E1257" s="285" t="s">
        <v>21</v>
      </c>
      <c r="F1257" s="285" t="s">
        <v>726</v>
      </c>
      <c r="G1257" s="286">
        <v>8.0000000000000002E-3</v>
      </c>
      <c r="H1257" s="299"/>
      <c r="I1257" s="300"/>
    </row>
    <row r="1258" spans="2:9" s="580" customFormat="1" ht="14.1" customHeight="1">
      <c r="B1258" s="602"/>
      <c r="C1258" s="754"/>
      <c r="D1258" s="177" t="s">
        <v>11</v>
      </c>
      <c r="E1258" s="287" t="s">
        <v>17</v>
      </c>
      <c r="F1258" s="287" t="s">
        <v>726</v>
      </c>
      <c r="G1258" s="288">
        <v>4.0000000000000001E-3</v>
      </c>
      <c r="H1258" s="302"/>
      <c r="I1258" s="303"/>
    </row>
    <row r="1259" spans="2:9" s="580" customFormat="1" ht="14.1" customHeight="1">
      <c r="B1259" s="602"/>
      <c r="C1259" s="755"/>
      <c r="D1259" s="316"/>
      <c r="E1259" s="316"/>
      <c r="F1259" s="316"/>
      <c r="G1259" s="1155" t="s">
        <v>727</v>
      </c>
      <c r="H1259" s="1156"/>
      <c r="I1259" s="631"/>
    </row>
    <row r="1260" spans="2:9" s="580" customFormat="1" ht="14.1" customHeight="1">
      <c r="B1260" s="602"/>
      <c r="C1260" s="292" t="s">
        <v>8</v>
      </c>
      <c r="D1260" s="293" t="s">
        <v>811</v>
      </c>
      <c r="E1260" s="296"/>
      <c r="F1260" s="296"/>
      <c r="G1260" s="296"/>
      <c r="H1260" s="296"/>
      <c r="I1260" s="297"/>
    </row>
    <row r="1261" spans="2:9" s="580" customFormat="1" ht="14.1" customHeight="1">
      <c r="B1261" s="602"/>
      <c r="C1261" s="753"/>
      <c r="D1261" s="289" t="s">
        <v>1196</v>
      </c>
      <c r="E1261" s="299"/>
      <c r="F1261" s="285" t="s">
        <v>825</v>
      </c>
      <c r="G1261" s="749">
        <v>1.76</v>
      </c>
      <c r="H1261" s="299"/>
      <c r="I1261" s="300"/>
    </row>
    <row r="1262" spans="2:9" s="580" customFormat="1" ht="14.1" customHeight="1">
      <c r="B1262" s="602"/>
      <c r="C1262" s="754"/>
      <c r="D1262" s="177" t="s">
        <v>1186</v>
      </c>
      <c r="E1262" s="302"/>
      <c r="F1262" s="287" t="s">
        <v>734</v>
      </c>
      <c r="G1262" s="617">
        <v>0.08</v>
      </c>
      <c r="H1262" s="302"/>
      <c r="I1262" s="303"/>
    </row>
    <row r="1263" spans="2:9" s="580" customFormat="1" ht="14.1" customHeight="1">
      <c r="B1263" s="602"/>
      <c r="C1263" s="755"/>
      <c r="D1263" s="316"/>
      <c r="E1263" s="316"/>
      <c r="F1263" s="316"/>
      <c r="G1263" s="1155" t="s">
        <v>728</v>
      </c>
      <c r="H1263" s="1156"/>
      <c r="I1263" s="631"/>
    </row>
    <row r="1264" spans="2:9" s="580" customFormat="1" ht="14.1" customHeight="1">
      <c r="B1264" s="602"/>
      <c r="C1264" s="292" t="s">
        <v>9</v>
      </c>
      <c r="D1264" s="293" t="s">
        <v>815</v>
      </c>
      <c r="E1264" s="296"/>
      <c r="F1264" s="296"/>
      <c r="G1264" s="296"/>
      <c r="H1264" s="296"/>
      <c r="I1264" s="297"/>
    </row>
    <row r="1265" spans="2:9" s="580" customFormat="1" ht="14.1" customHeight="1">
      <c r="B1265" s="602"/>
      <c r="C1265" s="754"/>
      <c r="D1265" s="302"/>
      <c r="E1265" s="302"/>
      <c r="F1265" s="302"/>
      <c r="G1265" s="302"/>
      <c r="H1265" s="302"/>
      <c r="I1265" s="303"/>
    </row>
    <row r="1266" spans="2:9" s="580" customFormat="1" ht="14.1" customHeight="1">
      <c r="B1266" s="602"/>
      <c r="C1266" s="755"/>
      <c r="D1266" s="316"/>
      <c r="E1266" s="316"/>
      <c r="F1266" s="316"/>
      <c r="G1266" s="1163" t="s">
        <v>729</v>
      </c>
      <c r="H1266" s="1164"/>
      <c r="I1266" s="631"/>
    </row>
    <row r="1267" spans="2:9" s="580" customFormat="1" ht="14.1" customHeight="1">
      <c r="B1267" s="602"/>
      <c r="C1267" s="290" t="s">
        <v>12</v>
      </c>
      <c r="D1267" s="1113" t="s">
        <v>730</v>
      </c>
      <c r="E1267" s="1114"/>
      <c r="F1267" s="1114"/>
      <c r="G1267" s="1160"/>
      <c r="H1267" s="1126"/>
      <c r="I1267" s="306"/>
    </row>
    <row r="1268" spans="2:9" s="580" customFormat="1" ht="14.1" customHeight="1">
      <c r="B1268" s="602"/>
      <c r="C1268" s="290" t="s">
        <v>13</v>
      </c>
      <c r="D1268" s="1116" t="s">
        <v>816</v>
      </c>
      <c r="E1268" s="1117"/>
      <c r="F1268" s="1118"/>
      <c r="G1268" s="1113" t="s">
        <v>740</v>
      </c>
      <c r="H1268" s="1115"/>
      <c r="I1268" s="306"/>
    </row>
    <row r="1269" spans="2:9" s="580" customFormat="1" ht="14.1" customHeight="1" thickBot="1">
      <c r="B1269" s="602"/>
      <c r="C1269" s="291" t="s">
        <v>14</v>
      </c>
      <c r="D1269" s="1119" t="s">
        <v>817</v>
      </c>
      <c r="E1269" s="1120"/>
      <c r="F1269" s="1120"/>
      <c r="G1269" s="1120"/>
      <c r="H1269" s="1121"/>
      <c r="I1269" s="307"/>
    </row>
    <row r="1270" spans="2:9" s="580" customFormat="1" ht="14.1" customHeight="1">
      <c r="B1270" s="602"/>
      <c r="H1270" s="316"/>
      <c r="I1270" s="316"/>
    </row>
    <row r="1271" spans="2:9" s="597" customFormat="1" ht="15.95" customHeight="1" thickBot="1">
      <c r="B1271" s="598">
        <v>63</v>
      </c>
      <c r="C1271" s="572" t="s">
        <v>1221</v>
      </c>
      <c r="H1271" s="599"/>
      <c r="I1271" s="599"/>
    </row>
    <row r="1272" spans="2:9" s="580" customFormat="1" ht="35.1" customHeight="1" thickBot="1">
      <c r="B1272" s="602"/>
      <c r="C1272" s="334" t="s">
        <v>840</v>
      </c>
      <c r="D1272" s="335" t="s">
        <v>841</v>
      </c>
      <c r="E1272" s="335" t="s">
        <v>842</v>
      </c>
      <c r="F1272" s="335" t="s">
        <v>843</v>
      </c>
      <c r="G1272" s="335" t="s">
        <v>844</v>
      </c>
      <c r="H1272" s="431" t="s">
        <v>845</v>
      </c>
      <c r="I1272" s="337" t="s">
        <v>846</v>
      </c>
    </row>
    <row r="1273" spans="2:9" s="580" customFormat="1" ht="14.1" customHeight="1">
      <c r="B1273" s="602"/>
      <c r="C1273" s="543" t="s">
        <v>7</v>
      </c>
      <c r="D1273" s="289" t="s">
        <v>810</v>
      </c>
      <c r="E1273" s="299"/>
      <c r="F1273" s="299"/>
      <c r="G1273" s="299"/>
      <c r="H1273" s="299"/>
      <c r="I1273" s="300"/>
    </row>
    <row r="1274" spans="2:9" s="580" customFormat="1" ht="14.1" customHeight="1">
      <c r="B1274" s="602"/>
      <c r="C1274" s="753"/>
      <c r="D1274" s="289" t="s">
        <v>10</v>
      </c>
      <c r="E1274" s="285" t="s">
        <v>16</v>
      </c>
      <c r="F1274" s="285" t="s">
        <v>726</v>
      </c>
      <c r="G1274" s="749">
        <v>0.12</v>
      </c>
      <c r="H1274" s="299"/>
      <c r="I1274" s="300"/>
    </row>
    <row r="1275" spans="2:9" s="580" customFormat="1" ht="14.1" customHeight="1">
      <c r="B1275" s="602"/>
      <c r="C1275" s="753"/>
      <c r="D1275" s="289" t="s">
        <v>143</v>
      </c>
      <c r="E1275" s="285" t="s">
        <v>22</v>
      </c>
      <c r="F1275" s="285" t="s">
        <v>726</v>
      </c>
      <c r="G1275" s="749">
        <v>0.12</v>
      </c>
      <c r="H1275" s="299"/>
      <c r="I1275" s="300"/>
    </row>
    <row r="1276" spans="2:9" s="580" customFormat="1" ht="14.1" customHeight="1">
      <c r="B1276" s="602"/>
      <c r="C1276" s="753"/>
      <c r="D1276" s="289" t="s">
        <v>20</v>
      </c>
      <c r="E1276" s="285" t="s">
        <v>21</v>
      </c>
      <c r="F1276" s="285" t="s">
        <v>726</v>
      </c>
      <c r="G1276" s="286">
        <v>1.2E-2</v>
      </c>
      <c r="H1276" s="299"/>
      <c r="I1276" s="300"/>
    </row>
    <row r="1277" spans="2:9" s="580" customFormat="1" ht="14.1" customHeight="1">
      <c r="B1277" s="602"/>
      <c r="C1277" s="754"/>
      <c r="D1277" s="177" t="s">
        <v>11</v>
      </c>
      <c r="E1277" s="287" t="s">
        <v>17</v>
      </c>
      <c r="F1277" s="287" t="s">
        <v>726</v>
      </c>
      <c r="G1277" s="288">
        <v>6.0000000000000001E-3</v>
      </c>
      <c r="H1277" s="302"/>
      <c r="I1277" s="303"/>
    </row>
    <row r="1278" spans="2:9" s="580" customFormat="1" ht="14.1" customHeight="1">
      <c r="B1278" s="602"/>
      <c r="C1278" s="755"/>
      <c r="D1278" s="316"/>
      <c r="E1278" s="316"/>
      <c r="F1278" s="316"/>
      <c r="G1278" s="1155" t="s">
        <v>727</v>
      </c>
      <c r="H1278" s="1156"/>
      <c r="I1278" s="631"/>
    </row>
    <row r="1279" spans="2:9" s="580" customFormat="1" ht="14.1" customHeight="1">
      <c r="B1279" s="602"/>
      <c r="C1279" s="292" t="s">
        <v>8</v>
      </c>
      <c r="D1279" s="293" t="s">
        <v>811</v>
      </c>
      <c r="E1279" s="296"/>
      <c r="F1279" s="296"/>
      <c r="G1279" s="296"/>
      <c r="H1279" s="296"/>
      <c r="I1279" s="297"/>
    </row>
    <row r="1280" spans="2:9" s="580" customFormat="1" ht="14.1" customHeight="1">
      <c r="B1280" s="602"/>
      <c r="C1280" s="753"/>
      <c r="D1280" s="289" t="s">
        <v>1199</v>
      </c>
      <c r="E1280" s="299"/>
      <c r="F1280" s="581" t="s">
        <v>1201</v>
      </c>
      <c r="G1280" s="286">
        <v>3.0000000000000001E-3</v>
      </c>
      <c r="H1280" s="299"/>
      <c r="I1280" s="300"/>
    </row>
    <row r="1281" spans="2:9" s="580" customFormat="1" ht="14.1" customHeight="1">
      <c r="B1281" s="602"/>
      <c r="C1281" s="754"/>
      <c r="D1281" s="177" t="s">
        <v>1200</v>
      </c>
      <c r="E1281" s="302"/>
      <c r="F1281" s="287" t="s">
        <v>734</v>
      </c>
      <c r="G1281" s="617">
        <v>0.05</v>
      </c>
      <c r="H1281" s="302"/>
      <c r="I1281" s="303"/>
    </row>
    <row r="1282" spans="2:9" s="580" customFormat="1" ht="14.1" customHeight="1">
      <c r="B1282" s="602"/>
      <c r="C1282" s="755"/>
      <c r="D1282" s="316"/>
      <c r="E1282" s="316"/>
      <c r="F1282" s="316"/>
      <c r="G1282" s="1155" t="s">
        <v>728</v>
      </c>
      <c r="H1282" s="1156"/>
      <c r="I1282" s="631"/>
    </row>
    <row r="1283" spans="2:9" s="580" customFormat="1" ht="14.1" customHeight="1">
      <c r="B1283" s="602"/>
      <c r="C1283" s="292" t="s">
        <v>9</v>
      </c>
      <c r="D1283" s="293" t="s">
        <v>815</v>
      </c>
      <c r="E1283" s="296"/>
      <c r="F1283" s="296"/>
      <c r="G1283" s="296"/>
      <c r="H1283" s="296"/>
      <c r="I1283" s="297"/>
    </row>
    <row r="1284" spans="2:9" s="580" customFormat="1" ht="14.1" customHeight="1">
      <c r="B1284" s="602"/>
      <c r="C1284" s="754"/>
      <c r="D1284" s="302"/>
      <c r="E1284" s="302"/>
      <c r="F1284" s="302"/>
      <c r="G1284" s="302"/>
      <c r="H1284" s="302"/>
      <c r="I1284" s="303"/>
    </row>
    <row r="1285" spans="2:9" s="580" customFormat="1" ht="14.1" customHeight="1">
      <c r="B1285" s="602"/>
      <c r="C1285" s="755"/>
      <c r="D1285" s="316"/>
      <c r="E1285" s="316"/>
      <c r="F1285" s="316"/>
      <c r="G1285" s="1201" t="s">
        <v>729</v>
      </c>
      <c r="H1285" s="1202"/>
      <c r="I1285" s="631"/>
    </row>
    <row r="1286" spans="2:9" s="580" customFormat="1" ht="14.1" customHeight="1">
      <c r="B1286" s="602"/>
      <c r="C1286" s="603" t="s">
        <v>12</v>
      </c>
      <c r="D1286" s="1154" t="s">
        <v>730</v>
      </c>
      <c r="E1286" s="1154"/>
      <c r="F1286" s="1154"/>
      <c r="G1286" s="1154"/>
      <c r="H1286" s="1154"/>
      <c r="I1286" s="584"/>
    </row>
    <row r="1287" spans="2:9" s="580" customFormat="1" ht="14.1" customHeight="1">
      <c r="B1287" s="602"/>
      <c r="C1287" s="603" t="s">
        <v>13</v>
      </c>
      <c r="D1287" s="1161" t="s">
        <v>816</v>
      </c>
      <c r="E1287" s="1161"/>
      <c r="F1287" s="1161"/>
      <c r="G1287" s="1154" t="s">
        <v>740</v>
      </c>
      <c r="H1287" s="1154"/>
      <c r="I1287" s="584"/>
    </row>
    <row r="1288" spans="2:9" s="580" customFormat="1" ht="14.1" customHeight="1" thickBot="1">
      <c r="B1288" s="602"/>
      <c r="C1288" s="604" t="s">
        <v>14</v>
      </c>
      <c r="D1288" s="1162" t="s">
        <v>817</v>
      </c>
      <c r="E1288" s="1162"/>
      <c r="F1288" s="1162"/>
      <c r="G1288" s="1162"/>
      <c r="H1288" s="1162"/>
      <c r="I1288" s="605"/>
    </row>
    <row r="1289" spans="2:9" s="580" customFormat="1" ht="14.1" customHeight="1">
      <c r="B1289" s="602"/>
      <c r="C1289" s="623"/>
      <c r="D1289" s="576"/>
      <c r="E1289" s="576"/>
      <c r="F1289" s="576"/>
      <c r="G1289" s="576"/>
      <c r="H1289" s="915"/>
      <c r="I1289" s="316"/>
    </row>
    <row r="1290" spans="2:9" s="562" customFormat="1" ht="13.5" thickBot="1">
      <c r="B1290" s="283">
        <v>64</v>
      </c>
      <c r="C1290" s="652" t="str">
        <f>'[1]Lamp_1 (Konstruksi 1-199)'!$F$1879</f>
        <v>Pasang plint ubin PC abu-abu ukuran 10 x 20 cm</v>
      </c>
      <c r="E1290" s="563"/>
      <c r="F1290" s="283"/>
      <c r="G1290" s="283"/>
      <c r="H1290" s="565"/>
      <c r="I1290" s="565"/>
    </row>
    <row r="1291" spans="2:9">
      <c r="C1291" s="1069" t="s">
        <v>0</v>
      </c>
      <c r="D1291" s="1071" t="s">
        <v>1</v>
      </c>
      <c r="E1291" s="1073" t="s">
        <v>2</v>
      </c>
      <c r="F1291" s="1071" t="s">
        <v>3</v>
      </c>
      <c r="G1291" s="1077" t="s">
        <v>4</v>
      </c>
      <c r="H1291" s="550" t="s">
        <v>5</v>
      </c>
      <c r="I1291" s="555" t="s">
        <v>59</v>
      </c>
    </row>
    <row r="1292" spans="2:9" ht="13.5" thickBot="1">
      <c r="C1292" s="1070"/>
      <c r="D1292" s="1072"/>
      <c r="E1292" s="1074"/>
      <c r="F1292" s="1072"/>
      <c r="G1292" s="1078"/>
      <c r="H1292" s="551" t="s">
        <v>6</v>
      </c>
      <c r="I1292" s="556" t="s">
        <v>6</v>
      </c>
    </row>
    <row r="1293" spans="2:9">
      <c r="C1293" s="16" t="s">
        <v>7</v>
      </c>
      <c r="D1293" s="17" t="s">
        <v>74</v>
      </c>
      <c r="E1293" s="18"/>
      <c r="F1293" s="19"/>
      <c r="G1293" s="19"/>
      <c r="H1293" s="529"/>
      <c r="I1293" s="557"/>
    </row>
    <row r="1294" spans="2:9" ht="14.1" customHeight="1">
      <c r="C1294" s="16">
        <v>1</v>
      </c>
      <c r="D1294" s="17" t="s">
        <v>10</v>
      </c>
      <c r="E1294" s="18"/>
      <c r="F1294" s="19" t="s">
        <v>66</v>
      </c>
      <c r="G1294" s="31">
        <v>0.09</v>
      </c>
      <c r="H1294" s="529"/>
      <c r="I1294" s="917"/>
    </row>
    <row r="1295" spans="2:9" ht="14.1" customHeight="1">
      <c r="C1295" s="16">
        <v>2</v>
      </c>
      <c r="D1295" s="17" t="s">
        <v>143</v>
      </c>
      <c r="E1295" s="18"/>
      <c r="F1295" s="19" t="s">
        <v>66</v>
      </c>
      <c r="G1295" s="31">
        <v>0.09</v>
      </c>
      <c r="H1295" s="529"/>
      <c r="I1295" s="917"/>
    </row>
    <row r="1296" spans="2:9" ht="14.1" customHeight="1">
      <c r="C1296" s="16">
        <v>3</v>
      </c>
      <c r="D1296" s="17" t="s">
        <v>210</v>
      </c>
      <c r="E1296" s="26"/>
      <c r="F1296" s="19" t="s">
        <v>66</v>
      </c>
      <c r="G1296" s="31">
        <v>8.9999999999999993E-3</v>
      </c>
      <c r="H1296" s="529"/>
      <c r="I1296" s="918">
        <f>G1296*H1296</f>
        <v>0</v>
      </c>
    </row>
    <row r="1297" spans="2:9" ht="14.1" customHeight="1">
      <c r="C1297" s="16">
        <v>4</v>
      </c>
      <c r="D1297" s="17" t="s">
        <v>11</v>
      </c>
      <c r="E1297" s="26"/>
      <c r="F1297" s="19" t="s">
        <v>66</v>
      </c>
      <c r="G1297" s="31">
        <v>5.0000000000000001E-3</v>
      </c>
      <c r="H1297" s="529"/>
      <c r="I1297" s="918">
        <f>G1297*H1297</f>
        <v>0</v>
      </c>
    </row>
    <row r="1298" spans="2:9" ht="14.1" customHeight="1">
      <c r="C1298" s="1099" t="s">
        <v>60</v>
      </c>
      <c r="D1298" s="1100"/>
      <c r="E1298" s="1100"/>
      <c r="F1298" s="1100"/>
      <c r="G1298" s="1100"/>
      <c r="H1298" s="1101"/>
      <c r="I1298" s="919">
        <f>SUM(I1293:I1297)</f>
        <v>0</v>
      </c>
    </row>
    <row r="1299" spans="2:9" ht="14.1" customHeight="1">
      <c r="C1299" s="16" t="s">
        <v>8</v>
      </c>
      <c r="D1299" s="17" t="s">
        <v>61</v>
      </c>
      <c r="E1299" s="18"/>
      <c r="F1299" s="22"/>
      <c r="G1299" s="27"/>
      <c r="H1299" s="552"/>
      <c r="I1299" s="917"/>
    </row>
    <row r="1300" spans="2:9" ht="14.1" customHeight="1">
      <c r="C1300" s="16">
        <v>1</v>
      </c>
      <c r="D1300" s="65" t="s">
        <v>407</v>
      </c>
      <c r="E1300" s="18"/>
      <c r="F1300" s="69" t="s">
        <v>15</v>
      </c>
      <c r="G1300" s="31">
        <v>5.3</v>
      </c>
      <c r="H1300" s="552"/>
      <c r="I1300" s="918">
        <f>G1300*H1300</f>
        <v>0</v>
      </c>
    </row>
    <row r="1301" spans="2:9" ht="14.1" customHeight="1">
      <c r="C1301" s="16">
        <v>2</v>
      </c>
      <c r="D1301" s="65" t="s">
        <v>156</v>
      </c>
      <c r="E1301" s="18"/>
      <c r="F1301" s="69" t="s">
        <v>56</v>
      </c>
      <c r="G1301" s="31">
        <v>1.56</v>
      </c>
      <c r="H1301" s="552"/>
      <c r="I1301" s="918"/>
    </row>
    <row r="1302" spans="2:9" ht="14.1" customHeight="1">
      <c r="C1302" s="16">
        <v>3</v>
      </c>
      <c r="D1302" s="66" t="s">
        <v>211</v>
      </c>
      <c r="E1302" s="18"/>
      <c r="F1302" s="69" t="s">
        <v>19</v>
      </c>
      <c r="G1302" s="31">
        <v>3.0000000000000001E-3</v>
      </c>
      <c r="H1302" s="552"/>
      <c r="I1302" s="918">
        <f>G1302*H1302</f>
        <v>0</v>
      </c>
    </row>
    <row r="1303" spans="2:9" ht="14.1" customHeight="1">
      <c r="C1303" s="1099" t="s">
        <v>18</v>
      </c>
      <c r="D1303" s="1100"/>
      <c r="E1303" s="1100"/>
      <c r="F1303" s="1100"/>
      <c r="G1303" s="1100"/>
      <c r="H1303" s="1101"/>
      <c r="I1303" s="919">
        <f>SUM(I1299:I1302)</f>
        <v>0</v>
      </c>
    </row>
    <row r="1304" spans="2:9" ht="14.1" customHeight="1">
      <c r="C1304" s="16" t="s">
        <v>9</v>
      </c>
      <c r="D1304" s="17" t="s">
        <v>62</v>
      </c>
      <c r="E1304" s="28"/>
      <c r="F1304" s="15"/>
      <c r="G1304" s="74"/>
      <c r="H1304" s="553"/>
      <c r="I1304" s="917"/>
    </row>
    <row r="1305" spans="2:9" ht="14.1" customHeight="1">
      <c r="C1305" s="16"/>
      <c r="D1305" s="17"/>
      <c r="E1305" s="18"/>
      <c r="F1305" s="22"/>
      <c r="G1305" s="31"/>
      <c r="H1305" s="529"/>
      <c r="I1305" s="918">
        <f>G1305*H1305</f>
        <v>0</v>
      </c>
    </row>
    <row r="1306" spans="2:9" ht="14.1" customHeight="1">
      <c r="C1306" s="1099" t="s">
        <v>63</v>
      </c>
      <c r="D1306" s="1100"/>
      <c r="E1306" s="1100"/>
      <c r="F1306" s="1100"/>
      <c r="G1306" s="1100"/>
      <c r="H1306" s="1101"/>
      <c r="I1306" s="919">
        <f>SUM(I1304:I1305)</f>
        <v>0</v>
      </c>
    </row>
    <row r="1307" spans="2:9" ht="14.1" customHeight="1">
      <c r="C1307" s="310" t="s">
        <v>12</v>
      </c>
      <c r="D1307" s="1102" t="s">
        <v>64</v>
      </c>
      <c r="E1307" s="1103"/>
      <c r="F1307" s="1103"/>
      <c r="G1307" s="1103"/>
      <c r="H1307" s="1104"/>
      <c r="I1307" s="919">
        <f>I1298+I1303+I1306</f>
        <v>0</v>
      </c>
    </row>
    <row r="1308" spans="2:9" ht="14.1" customHeight="1">
      <c r="C1308" s="312" t="s">
        <v>13</v>
      </c>
      <c r="D1308" s="1105" t="s">
        <v>65</v>
      </c>
      <c r="E1308" s="1106"/>
      <c r="F1308" s="1107"/>
      <c r="G1308" s="75"/>
      <c r="H1308" s="554">
        <f>I1307</f>
        <v>0</v>
      </c>
      <c r="I1308" s="920">
        <f>G1308*H1308</f>
        <v>0</v>
      </c>
    </row>
    <row r="1309" spans="2:9" ht="14.1" customHeight="1" thickBot="1">
      <c r="C1309" s="311" t="s">
        <v>14</v>
      </c>
      <c r="D1309" s="1096" t="s">
        <v>73</v>
      </c>
      <c r="E1309" s="1097"/>
      <c r="F1309" s="1097"/>
      <c r="G1309" s="1097"/>
      <c r="H1309" s="1098"/>
      <c r="I1309" s="921">
        <f>I1307+I1308</f>
        <v>0</v>
      </c>
    </row>
    <row r="1310" spans="2:9" ht="14.1" customHeight="1"/>
    <row r="1311" spans="2:9" s="277" customFormat="1" ht="13.5" thickBot="1">
      <c r="B1311" s="283">
        <v>65</v>
      </c>
      <c r="C1311" s="562" t="s">
        <v>365</v>
      </c>
      <c r="E1311" s="280"/>
      <c r="F1311" s="281"/>
      <c r="G1311" s="281"/>
      <c r="H1311" s="549"/>
      <c r="I1311" s="549"/>
    </row>
    <row r="1312" spans="2:9">
      <c r="C1312" s="1069" t="s">
        <v>0</v>
      </c>
      <c r="D1312" s="1071" t="s">
        <v>1</v>
      </c>
      <c r="E1312" s="1073" t="s">
        <v>2</v>
      </c>
      <c r="F1312" s="1071" t="s">
        <v>3</v>
      </c>
      <c r="G1312" s="1077" t="s">
        <v>4</v>
      </c>
      <c r="H1312" s="550" t="s">
        <v>5</v>
      </c>
      <c r="I1312" s="555" t="s">
        <v>59</v>
      </c>
    </row>
    <row r="1313" spans="3:9" ht="13.5" thickBot="1">
      <c r="C1313" s="1070"/>
      <c r="D1313" s="1072"/>
      <c r="E1313" s="1074"/>
      <c r="F1313" s="1072"/>
      <c r="G1313" s="1078"/>
      <c r="H1313" s="551" t="s">
        <v>6</v>
      </c>
      <c r="I1313" s="556" t="s">
        <v>6</v>
      </c>
    </row>
    <row r="1314" spans="3:9" ht="14.1" customHeight="1">
      <c r="C1314" s="16" t="s">
        <v>7</v>
      </c>
      <c r="D1314" s="17" t="s">
        <v>74</v>
      </c>
      <c r="E1314" s="18"/>
      <c r="F1314" s="19"/>
      <c r="G1314" s="19"/>
      <c r="H1314" s="529"/>
      <c r="I1314" s="557"/>
    </row>
    <row r="1315" spans="3:9" ht="14.1" customHeight="1">
      <c r="C1315" s="16">
        <v>1</v>
      </c>
      <c r="D1315" s="17" t="s">
        <v>10</v>
      </c>
      <c r="E1315" s="18"/>
      <c r="F1315" s="19" t="s">
        <v>66</v>
      </c>
      <c r="G1315" s="31">
        <v>0.7</v>
      </c>
      <c r="H1315" s="529"/>
      <c r="I1315" s="917"/>
    </row>
    <row r="1316" spans="3:9" ht="14.1" customHeight="1">
      <c r="C1316" s="16">
        <v>2</v>
      </c>
      <c r="D1316" s="17" t="s">
        <v>143</v>
      </c>
      <c r="E1316" s="18"/>
      <c r="F1316" s="19" t="s">
        <v>66</v>
      </c>
      <c r="G1316" s="31">
        <v>0.35</v>
      </c>
      <c r="H1316" s="529"/>
      <c r="I1316" s="917"/>
    </row>
    <row r="1317" spans="3:9" ht="14.1" customHeight="1">
      <c r="C1317" s="16">
        <v>3</v>
      </c>
      <c r="D1317" s="17" t="s">
        <v>20</v>
      </c>
      <c r="E1317" s="26"/>
      <c r="F1317" s="19" t="s">
        <v>66</v>
      </c>
      <c r="G1317" s="31">
        <v>3.5000000000000003E-2</v>
      </c>
      <c r="H1317" s="529"/>
      <c r="I1317" s="918">
        <f>G1317*H1317</f>
        <v>0</v>
      </c>
    </row>
    <row r="1318" spans="3:9" ht="14.1" customHeight="1">
      <c r="C1318" s="16">
        <v>4</v>
      </c>
      <c r="D1318" s="17" t="s">
        <v>11</v>
      </c>
      <c r="E1318" s="26"/>
      <c r="F1318" s="19" t="s">
        <v>66</v>
      </c>
      <c r="G1318" s="31">
        <v>3.5000000000000003E-2</v>
      </c>
      <c r="H1318" s="529"/>
      <c r="I1318" s="918">
        <f>G1318*H1318</f>
        <v>0</v>
      </c>
    </row>
    <row r="1319" spans="3:9" ht="14.1" customHeight="1">
      <c r="C1319" s="1099" t="s">
        <v>60</v>
      </c>
      <c r="D1319" s="1100"/>
      <c r="E1319" s="1100"/>
      <c r="F1319" s="1100"/>
      <c r="G1319" s="1100"/>
      <c r="H1319" s="1101"/>
      <c r="I1319" s="919">
        <f>SUM(I1314:I1318)</f>
        <v>0</v>
      </c>
    </row>
    <row r="1320" spans="3:9" ht="14.1" customHeight="1">
      <c r="C1320" s="16" t="s">
        <v>8</v>
      </c>
      <c r="D1320" s="17" t="s">
        <v>61</v>
      </c>
      <c r="E1320" s="18"/>
      <c r="F1320" s="22"/>
      <c r="G1320" s="27"/>
      <c r="H1320" s="552"/>
      <c r="I1320" s="917"/>
    </row>
    <row r="1321" spans="3:9" ht="14.1" customHeight="1">
      <c r="C1321" s="16">
        <v>1</v>
      </c>
      <c r="D1321" s="65" t="s">
        <v>408</v>
      </c>
      <c r="E1321" s="18"/>
      <c r="F1321" s="69" t="s">
        <v>71</v>
      </c>
      <c r="G1321" s="31">
        <v>1.089</v>
      </c>
      <c r="H1321" s="552"/>
      <c r="I1321" s="918">
        <f>G1321*H1321</f>
        <v>0</v>
      </c>
    </row>
    <row r="1322" spans="3:9" ht="14.1" customHeight="1">
      <c r="C1322" s="16">
        <v>2</v>
      </c>
      <c r="D1322" s="65" t="s">
        <v>212</v>
      </c>
      <c r="E1322" s="18"/>
      <c r="F1322" s="69" t="s">
        <v>56</v>
      </c>
      <c r="G1322" s="31">
        <v>8.19</v>
      </c>
      <c r="H1322" s="552"/>
      <c r="I1322" s="918"/>
    </row>
    <row r="1323" spans="3:9" ht="14.1" customHeight="1">
      <c r="C1323" s="16">
        <v>3</v>
      </c>
      <c r="D1323" s="66" t="s">
        <v>141</v>
      </c>
      <c r="E1323" s="18"/>
      <c r="F1323" s="69" t="s">
        <v>19</v>
      </c>
      <c r="G1323" s="31">
        <v>4.4999999999999998E-2</v>
      </c>
      <c r="H1323" s="552"/>
      <c r="I1323" s="918">
        <f>G1323*H1323</f>
        <v>0</v>
      </c>
    </row>
    <row r="1324" spans="3:9" ht="14.1" customHeight="1">
      <c r="C1324" s="16">
        <v>4</v>
      </c>
      <c r="D1324" s="70" t="s">
        <v>406</v>
      </c>
      <c r="E1324" s="18"/>
      <c r="F1324" s="71" t="s">
        <v>56</v>
      </c>
      <c r="G1324" s="31">
        <v>1.62</v>
      </c>
      <c r="H1324" s="552"/>
      <c r="I1324" s="918">
        <f>G1324*H1324</f>
        <v>0</v>
      </c>
    </row>
    <row r="1325" spans="3:9" ht="14.1" customHeight="1">
      <c r="C1325" s="1099" t="s">
        <v>18</v>
      </c>
      <c r="D1325" s="1100"/>
      <c r="E1325" s="1100"/>
      <c r="F1325" s="1100"/>
      <c r="G1325" s="1100"/>
      <c r="H1325" s="1101"/>
      <c r="I1325" s="919">
        <f>SUM(I1320:I1324)</f>
        <v>0</v>
      </c>
    </row>
    <row r="1326" spans="3:9" ht="14.1" customHeight="1">
      <c r="C1326" s="16" t="s">
        <v>9</v>
      </c>
      <c r="D1326" s="17" t="s">
        <v>62</v>
      </c>
      <c r="E1326" s="28"/>
      <c r="F1326" s="15"/>
      <c r="G1326" s="74"/>
      <c r="H1326" s="553"/>
      <c r="I1326" s="917"/>
    </row>
    <row r="1327" spans="3:9" ht="14.1" customHeight="1">
      <c r="C1327" s="16"/>
      <c r="D1327" s="17"/>
      <c r="E1327" s="18"/>
      <c r="F1327" s="22"/>
      <c r="G1327" s="31"/>
      <c r="H1327" s="529"/>
      <c r="I1327" s="918">
        <f>G1327*H1327</f>
        <v>0</v>
      </c>
    </row>
    <row r="1328" spans="3:9" ht="14.1" customHeight="1">
      <c r="C1328" s="1099" t="s">
        <v>63</v>
      </c>
      <c r="D1328" s="1100"/>
      <c r="E1328" s="1100"/>
      <c r="F1328" s="1100"/>
      <c r="G1328" s="1100"/>
      <c r="H1328" s="1101"/>
      <c r="I1328" s="919">
        <f>SUM(I1326:I1327)</f>
        <v>0</v>
      </c>
    </row>
    <row r="1329" spans="2:9" ht="14.1" customHeight="1">
      <c r="C1329" s="310" t="s">
        <v>12</v>
      </c>
      <c r="D1329" s="1102" t="s">
        <v>64</v>
      </c>
      <c r="E1329" s="1103"/>
      <c r="F1329" s="1103"/>
      <c r="G1329" s="1103"/>
      <c r="H1329" s="1104"/>
      <c r="I1329" s="919">
        <f>I1319+I1325+I1328</f>
        <v>0</v>
      </c>
    </row>
    <row r="1330" spans="2:9" ht="14.1" customHeight="1">
      <c r="C1330" s="312" t="s">
        <v>13</v>
      </c>
      <c r="D1330" s="1105" t="s">
        <v>65</v>
      </c>
      <c r="E1330" s="1106"/>
      <c r="F1330" s="1107"/>
      <c r="G1330" s="75"/>
      <c r="H1330" s="554">
        <f>I1329</f>
        <v>0</v>
      </c>
      <c r="I1330" s="920">
        <f>G1330*H1330</f>
        <v>0</v>
      </c>
    </row>
    <row r="1331" spans="2:9" ht="14.1" customHeight="1" thickBot="1">
      <c r="C1331" s="311" t="s">
        <v>14</v>
      </c>
      <c r="D1331" s="1096" t="s">
        <v>73</v>
      </c>
      <c r="E1331" s="1097"/>
      <c r="F1331" s="1097"/>
      <c r="G1331" s="1097"/>
      <c r="H1331" s="1098"/>
      <c r="I1331" s="921">
        <f>I1329+I1330</f>
        <v>0</v>
      </c>
    </row>
    <row r="1332" spans="2:9" ht="14.1" customHeight="1"/>
    <row r="1333" spans="2:9" s="277" customFormat="1" ht="13.5" thickBot="1">
      <c r="B1333" s="283">
        <v>66</v>
      </c>
      <c r="C1333" s="652" t="str">
        <f>'[1]Lamp_1 (Konstruksi 1-199)'!$F$2076</f>
        <v>Pasang Batu Candi (30 x 30) Trotoar</v>
      </c>
      <c r="E1333" s="280"/>
      <c r="F1333" s="281"/>
      <c r="G1333" s="281"/>
      <c r="H1333" s="549"/>
      <c r="I1333" s="549"/>
    </row>
    <row r="1334" spans="2:9">
      <c r="C1334" s="1069" t="s">
        <v>0</v>
      </c>
      <c r="D1334" s="1071" t="s">
        <v>1</v>
      </c>
      <c r="E1334" s="1073" t="s">
        <v>2</v>
      </c>
      <c r="F1334" s="1071" t="s">
        <v>3</v>
      </c>
      <c r="G1334" s="1077" t="s">
        <v>4</v>
      </c>
      <c r="H1334" s="550" t="s">
        <v>5</v>
      </c>
      <c r="I1334" s="555" t="s">
        <v>59</v>
      </c>
    </row>
    <row r="1335" spans="2:9" ht="13.5" thickBot="1">
      <c r="C1335" s="1070"/>
      <c r="D1335" s="1072"/>
      <c r="E1335" s="1074"/>
      <c r="F1335" s="1072"/>
      <c r="G1335" s="1078"/>
      <c r="H1335" s="551" t="s">
        <v>6</v>
      </c>
      <c r="I1335" s="556" t="s">
        <v>6</v>
      </c>
    </row>
    <row r="1336" spans="2:9" ht="14.1" customHeight="1">
      <c r="C1336" s="16" t="s">
        <v>7</v>
      </c>
      <c r="D1336" s="17" t="s">
        <v>74</v>
      </c>
      <c r="E1336" s="18"/>
      <c r="F1336" s="19"/>
      <c r="G1336" s="19"/>
      <c r="H1336" s="529"/>
      <c r="I1336" s="917"/>
    </row>
    <row r="1337" spans="2:9" ht="14.1" customHeight="1">
      <c r="C1337" s="16">
        <v>1</v>
      </c>
      <c r="D1337" s="17" t="s">
        <v>10</v>
      </c>
      <c r="E1337" s="18"/>
      <c r="F1337" s="19" t="s">
        <v>66</v>
      </c>
      <c r="G1337" s="31">
        <v>0.7</v>
      </c>
      <c r="H1337" s="529"/>
      <c r="I1337" s="917"/>
    </row>
    <row r="1338" spans="2:9" ht="14.1" customHeight="1">
      <c r="C1338" s="16">
        <v>2</v>
      </c>
      <c r="D1338" s="17" t="s">
        <v>409</v>
      </c>
      <c r="E1338" s="18"/>
      <c r="F1338" s="19" t="s">
        <v>66</v>
      </c>
      <c r="G1338" s="31">
        <v>0.35</v>
      </c>
      <c r="H1338" s="529"/>
      <c r="I1338" s="917"/>
    </row>
    <row r="1339" spans="2:9" ht="14.1" customHeight="1">
      <c r="C1339" s="16">
        <v>3</v>
      </c>
      <c r="D1339" s="17" t="s">
        <v>410</v>
      </c>
      <c r="E1339" s="26"/>
      <c r="F1339" s="19" t="s">
        <v>66</v>
      </c>
      <c r="G1339" s="31">
        <v>3.5000000000000003E-2</v>
      </c>
      <c r="H1339" s="529"/>
      <c r="I1339" s="918">
        <f>G1339*H1339</f>
        <v>0</v>
      </c>
    </row>
    <row r="1340" spans="2:9" ht="14.1" customHeight="1">
      <c r="C1340" s="16">
        <v>4</v>
      </c>
      <c r="D1340" s="17" t="s">
        <v>11</v>
      </c>
      <c r="E1340" s="26"/>
      <c r="F1340" s="19" t="s">
        <v>66</v>
      </c>
      <c r="G1340" s="31">
        <v>3.5000000000000003E-2</v>
      </c>
      <c r="H1340" s="529"/>
      <c r="I1340" s="918">
        <f>G1340*H1340</f>
        <v>0</v>
      </c>
    </row>
    <row r="1341" spans="2:9" ht="14.1" customHeight="1">
      <c r="C1341" s="1099" t="s">
        <v>60</v>
      </c>
      <c r="D1341" s="1100"/>
      <c r="E1341" s="1100"/>
      <c r="F1341" s="1100"/>
      <c r="G1341" s="1100"/>
      <c r="H1341" s="1101"/>
      <c r="I1341" s="919">
        <f>SUM(I1336:I1340)</f>
        <v>0</v>
      </c>
    </row>
    <row r="1342" spans="2:9" ht="14.1" customHeight="1">
      <c r="C1342" s="16" t="s">
        <v>8</v>
      </c>
      <c r="D1342" s="17" t="s">
        <v>61</v>
      </c>
      <c r="E1342" s="18"/>
      <c r="F1342" s="22"/>
      <c r="G1342" s="27"/>
      <c r="H1342" s="552"/>
      <c r="I1342" s="917"/>
    </row>
    <row r="1343" spans="2:9" ht="14.1" customHeight="1">
      <c r="C1343" s="16">
        <v>1</v>
      </c>
      <c r="D1343" s="65" t="s">
        <v>411</v>
      </c>
      <c r="E1343" s="18"/>
      <c r="F1343" s="69" t="s">
        <v>71</v>
      </c>
      <c r="G1343" s="31">
        <v>1.0680000000000001</v>
      </c>
      <c r="H1343" s="552"/>
      <c r="I1343" s="918">
        <f>G1343*H1343</f>
        <v>0</v>
      </c>
    </row>
    <row r="1344" spans="2:9" ht="14.1" customHeight="1">
      <c r="C1344" s="16">
        <v>2</v>
      </c>
      <c r="D1344" s="65" t="s">
        <v>156</v>
      </c>
      <c r="E1344" s="18"/>
      <c r="F1344" s="69" t="s">
        <v>56</v>
      </c>
      <c r="G1344" s="31">
        <v>10</v>
      </c>
      <c r="H1344" s="552"/>
      <c r="I1344" s="918"/>
    </row>
    <row r="1345" spans="2:9" ht="14.1" customHeight="1">
      <c r="C1345" s="16">
        <v>3</v>
      </c>
      <c r="D1345" s="66" t="s">
        <v>412</v>
      </c>
      <c r="E1345" s="18"/>
      <c r="F1345" s="69" t="s">
        <v>19</v>
      </c>
      <c r="G1345" s="31">
        <v>4.4999999999999998E-2</v>
      </c>
      <c r="H1345" s="552"/>
      <c r="I1345" s="918">
        <f>G1345*H1345</f>
        <v>0</v>
      </c>
    </row>
    <row r="1346" spans="2:9" ht="14.1" customHeight="1">
      <c r="C1346" s="1099" t="s">
        <v>18</v>
      </c>
      <c r="D1346" s="1100"/>
      <c r="E1346" s="1100"/>
      <c r="F1346" s="1100"/>
      <c r="G1346" s="1100"/>
      <c r="H1346" s="1101"/>
      <c r="I1346" s="919">
        <f>SUM(I1342:I1345)</f>
        <v>0</v>
      </c>
    </row>
    <row r="1347" spans="2:9" ht="14.1" customHeight="1">
      <c r="C1347" s="16" t="s">
        <v>9</v>
      </c>
      <c r="D1347" s="17" t="s">
        <v>62</v>
      </c>
      <c r="E1347" s="28"/>
      <c r="F1347" s="15"/>
      <c r="G1347" s="74"/>
      <c r="H1347" s="553"/>
      <c r="I1347" s="917"/>
    </row>
    <row r="1348" spans="2:9" ht="14.1" customHeight="1">
      <c r="C1348" s="16"/>
      <c r="D1348" s="17"/>
      <c r="E1348" s="18"/>
      <c r="F1348" s="22"/>
      <c r="G1348" s="31"/>
      <c r="H1348" s="529"/>
      <c r="I1348" s="918">
        <f>G1348*H1348</f>
        <v>0</v>
      </c>
    </row>
    <row r="1349" spans="2:9" ht="14.1" customHeight="1">
      <c r="C1349" s="1099" t="s">
        <v>63</v>
      </c>
      <c r="D1349" s="1100"/>
      <c r="E1349" s="1100"/>
      <c r="F1349" s="1100"/>
      <c r="G1349" s="1100"/>
      <c r="H1349" s="1101"/>
      <c r="I1349" s="919">
        <f>SUM(I1347:I1348)</f>
        <v>0</v>
      </c>
    </row>
    <row r="1350" spans="2:9" ht="14.1" customHeight="1">
      <c r="C1350" s="310" t="s">
        <v>12</v>
      </c>
      <c r="D1350" s="1102" t="s">
        <v>64</v>
      </c>
      <c r="E1350" s="1103"/>
      <c r="F1350" s="1103"/>
      <c r="G1350" s="1103"/>
      <c r="H1350" s="1104"/>
      <c r="I1350" s="919">
        <f>I1341+I1346+I1349</f>
        <v>0</v>
      </c>
    </row>
    <row r="1351" spans="2:9" ht="14.1" customHeight="1">
      <c r="C1351" s="312" t="s">
        <v>13</v>
      </c>
      <c r="D1351" s="1105" t="s">
        <v>65</v>
      </c>
      <c r="E1351" s="1106"/>
      <c r="F1351" s="1107"/>
      <c r="G1351" s="75"/>
      <c r="H1351" s="554">
        <f>I1350</f>
        <v>0</v>
      </c>
      <c r="I1351" s="920">
        <f>G1351*H1351</f>
        <v>0</v>
      </c>
    </row>
    <row r="1352" spans="2:9" ht="14.1" customHeight="1" thickBot="1">
      <c r="C1352" s="311" t="s">
        <v>14</v>
      </c>
      <c r="D1352" s="1096" t="s">
        <v>73</v>
      </c>
      <c r="E1352" s="1097"/>
      <c r="F1352" s="1097"/>
      <c r="G1352" s="1097"/>
      <c r="H1352" s="1098"/>
      <c r="I1352" s="921">
        <f>I1350+I1351</f>
        <v>0</v>
      </c>
    </row>
    <row r="1353" spans="2:9" ht="14.1" customHeight="1"/>
    <row r="1354" spans="2:9" s="277" customFormat="1" ht="13.5" thickBot="1">
      <c r="B1354" s="283">
        <v>67</v>
      </c>
      <c r="C1354" s="652" t="str">
        <f>'[1]Lamp_1 (Konstruksi 1-199)'!$F$2085</f>
        <v>Pasang Batu Candi (20 x 20) Trotoar</v>
      </c>
      <c r="E1354" s="280"/>
      <c r="F1354" s="281"/>
      <c r="G1354" s="281"/>
      <c r="H1354" s="549"/>
      <c r="I1354" s="549"/>
    </row>
    <row r="1355" spans="2:9">
      <c r="C1355" s="1069" t="s">
        <v>0</v>
      </c>
      <c r="D1355" s="1071" t="s">
        <v>1</v>
      </c>
      <c r="E1355" s="1073" t="s">
        <v>2</v>
      </c>
      <c r="F1355" s="1071" t="s">
        <v>3</v>
      </c>
      <c r="G1355" s="1077" t="s">
        <v>4</v>
      </c>
      <c r="H1355" s="550" t="s">
        <v>5</v>
      </c>
      <c r="I1355" s="555" t="s">
        <v>59</v>
      </c>
    </row>
    <row r="1356" spans="2:9" ht="13.5" thickBot="1">
      <c r="C1356" s="1070"/>
      <c r="D1356" s="1072"/>
      <c r="E1356" s="1074"/>
      <c r="F1356" s="1072"/>
      <c r="G1356" s="1078"/>
      <c r="H1356" s="551" t="s">
        <v>6</v>
      </c>
      <c r="I1356" s="556" t="s">
        <v>6</v>
      </c>
    </row>
    <row r="1357" spans="2:9" ht="14.1" customHeight="1">
      <c r="C1357" s="16" t="s">
        <v>7</v>
      </c>
      <c r="D1357" s="17" t="s">
        <v>74</v>
      </c>
      <c r="E1357" s="18"/>
      <c r="F1357" s="19"/>
      <c r="G1357" s="19"/>
      <c r="H1357" s="529"/>
      <c r="I1357" s="557"/>
    </row>
    <row r="1358" spans="2:9" ht="14.1" customHeight="1">
      <c r="C1358" s="16">
        <v>1</v>
      </c>
      <c r="D1358" s="17" t="s">
        <v>10</v>
      </c>
      <c r="E1358" s="18"/>
      <c r="F1358" s="19" t="s">
        <v>66</v>
      </c>
      <c r="G1358" s="31">
        <v>0.7</v>
      </c>
      <c r="H1358" s="529"/>
      <c r="I1358" s="557"/>
    </row>
    <row r="1359" spans="2:9" ht="14.1" customHeight="1">
      <c r="C1359" s="16">
        <v>2</v>
      </c>
      <c r="D1359" s="17" t="s">
        <v>409</v>
      </c>
      <c r="E1359" s="18"/>
      <c r="F1359" s="19" t="s">
        <v>66</v>
      </c>
      <c r="G1359" s="31">
        <v>0.35</v>
      </c>
      <c r="H1359" s="529"/>
      <c r="I1359" s="917"/>
    </row>
    <row r="1360" spans="2:9" ht="14.1" customHeight="1">
      <c r="C1360" s="16">
        <v>3</v>
      </c>
      <c r="D1360" s="17" t="s">
        <v>410</v>
      </c>
      <c r="E1360" s="26"/>
      <c r="F1360" s="19" t="s">
        <v>66</v>
      </c>
      <c r="G1360" s="31">
        <v>3.5000000000000003E-2</v>
      </c>
      <c r="H1360" s="529"/>
      <c r="I1360" s="918">
        <f>G1360*H1360</f>
        <v>0</v>
      </c>
    </row>
    <row r="1361" spans="2:9" ht="14.1" customHeight="1">
      <c r="C1361" s="16">
        <v>4</v>
      </c>
      <c r="D1361" s="17" t="s">
        <v>11</v>
      </c>
      <c r="E1361" s="26"/>
      <c r="F1361" s="19" t="s">
        <v>66</v>
      </c>
      <c r="G1361" s="31">
        <v>3.5000000000000003E-2</v>
      </c>
      <c r="H1361" s="529"/>
      <c r="I1361" s="918">
        <f>G1361*H1361</f>
        <v>0</v>
      </c>
    </row>
    <row r="1362" spans="2:9" ht="14.1" customHeight="1">
      <c r="C1362" s="1099" t="s">
        <v>60</v>
      </c>
      <c r="D1362" s="1100"/>
      <c r="E1362" s="1100"/>
      <c r="F1362" s="1100"/>
      <c r="G1362" s="1100"/>
      <c r="H1362" s="1101"/>
      <c r="I1362" s="919">
        <f>SUM(I1357:I1361)</f>
        <v>0</v>
      </c>
    </row>
    <row r="1363" spans="2:9" ht="14.1" customHeight="1">
      <c r="C1363" s="16" t="s">
        <v>8</v>
      </c>
      <c r="D1363" s="17" t="s">
        <v>61</v>
      </c>
      <c r="E1363" s="18"/>
      <c r="F1363" s="22"/>
      <c r="G1363" s="27"/>
      <c r="H1363" s="552"/>
      <c r="I1363" s="917"/>
    </row>
    <row r="1364" spans="2:9" ht="14.1" customHeight="1">
      <c r="C1364" s="16">
        <v>1</v>
      </c>
      <c r="D1364" s="65" t="s">
        <v>411</v>
      </c>
      <c r="E1364" s="18"/>
      <c r="F1364" s="69" t="s">
        <v>71</v>
      </c>
      <c r="G1364" s="31">
        <v>1.06</v>
      </c>
      <c r="H1364" s="552"/>
      <c r="I1364" s="918">
        <f>G1364*H1364</f>
        <v>0</v>
      </c>
    </row>
    <row r="1365" spans="2:9" ht="14.1" customHeight="1">
      <c r="C1365" s="16">
        <v>2</v>
      </c>
      <c r="D1365" s="65" t="s">
        <v>156</v>
      </c>
      <c r="E1365" s="18"/>
      <c r="F1365" s="69" t="s">
        <v>56</v>
      </c>
      <c r="G1365" s="31">
        <v>10.4</v>
      </c>
      <c r="H1365" s="552"/>
      <c r="I1365" s="918"/>
    </row>
    <row r="1366" spans="2:9" ht="14.1" customHeight="1">
      <c r="C1366" s="16">
        <v>3</v>
      </c>
      <c r="D1366" s="66" t="s">
        <v>412</v>
      </c>
      <c r="E1366" s="18"/>
      <c r="F1366" s="69" t="s">
        <v>19</v>
      </c>
      <c r="G1366" s="31">
        <v>4.4999999999999998E-2</v>
      </c>
      <c r="H1366" s="552"/>
      <c r="I1366" s="918">
        <f>G1366*H1366</f>
        <v>0</v>
      </c>
    </row>
    <row r="1367" spans="2:9" ht="14.1" customHeight="1">
      <c r="C1367" s="1099" t="s">
        <v>18</v>
      </c>
      <c r="D1367" s="1100"/>
      <c r="E1367" s="1100"/>
      <c r="F1367" s="1100"/>
      <c r="G1367" s="1100"/>
      <c r="H1367" s="1101"/>
      <c r="I1367" s="919">
        <f>SUM(I1363:I1366)</f>
        <v>0</v>
      </c>
    </row>
    <row r="1368" spans="2:9" ht="14.1" customHeight="1">
      <c r="C1368" s="16" t="s">
        <v>9</v>
      </c>
      <c r="D1368" s="17" t="s">
        <v>62</v>
      </c>
      <c r="E1368" s="28"/>
      <c r="F1368" s="15"/>
      <c r="G1368" s="74"/>
      <c r="H1368" s="553"/>
      <c r="I1368" s="917"/>
    </row>
    <row r="1369" spans="2:9" ht="14.1" customHeight="1">
      <c r="C1369" s="16"/>
      <c r="D1369" s="17"/>
      <c r="E1369" s="18"/>
      <c r="F1369" s="22"/>
      <c r="G1369" s="31"/>
      <c r="H1369" s="529"/>
      <c r="I1369" s="918">
        <f>G1369*H1369</f>
        <v>0</v>
      </c>
    </row>
    <row r="1370" spans="2:9" ht="14.1" customHeight="1">
      <c r="C1370" s="1099" t="s">
        <v>63</v>
      </c>
      <c r="D1370" s="1100"/>
      <c r="E1370" s="1100"/>
      <c r="F1370" s="1100"/>
      <c r="G1370" s="1100"/>
      <c r="H1370" s="1101"/>
      <c r="I1370" s="919">
        <f>SUM(I1368:I1369)</f>
        <v>0</v>
      </c>
    </row>
    <row r="1371" spans="2:9" ht="14.1" customHeight="1">
      <c r="C1371" s="310" t="s">
        <v>12</v>
      </c>
      <c r="D1371" s="1102" t="s">
        <v>64</v>
      </c>
      <c r="E1371" s="1103"/>
      <c r="F1371" s="1103"/>
      <c r="G1371" s="1103"/>
      <c r="H1371" s="1104"/>
      <c r="I1371" s="919">
        <f>I1362+I1367+I1370</f>
        <v>0</v>
      </c>
    </row>
    <row r="1372" spans="2:9" ht="14.1" customHeight="1">
      <c r="C1372" s="312" t="s">
        <v>13</v>
      </c>
      <c r="D1372" s="1105" t="s">
        <v>65</v>
      </c>
      <c r="E1372" s="1106"/>
      <c r="F1372" s="1107"/>
      <c r="G1372" s="75"/>
      <c r="H1372" s="554">
        <f>I1371</f>
        <v>0</v>
      </c>
      <c r="I1372" s="920">
        <f>G1372*H1372</f>
        <v>0</v>
      </c>
    </row>
    <row r="1373" spans="2:9" ht="14.1" customHeight="1" thickBot="1">
      <c r="C1373" s="311" t="s">
        <v>14</v>
      </c>
      <c r="D1373" s="1096" t="s">
        <v>73</v>
      </c>
      <c r="E1373" s="1097"/>
      <c r="F1373" s="1097"/>
      <c r="G1373" s="1097"/>
      <c r="H1373" s="1098"/>
      <c r="I1373" s="921">
        <f>I1371+I1372</f>
        <v>0</v>
      </c>
    </row>
    <row r="1374" spans="2:9" ht="14.1" customHeight="1"/>
    <row r="1375" spans="2:9" s="277" customFormat="1" ht="13.5" thickBot="1">
      <c r="B1375" s="283">
        <v>68</v>
      </c>
      <c r="C1375" s="652" t="str">
        <f>REKAP!E252</f>
        <v>Pasang plint keramik ukuran 10 x 40 cm</v>
      </c>
      <c r="E1375" s="280"/>
      <c r="F1375" s="281"/>
      <c r="G1375" s="281"/>
      <c r="H1375" s="549"/>
      <c r="I1375" s="549"/>
    </row>
    <row r="1376" spans="2:9">
      <c r="C1376" s="1069" t="s">
        <v>0</v>
      </c>
      <c r="D1376" s="1071" t="s">
        <v>1</v>
      </c>
      <c r="E1376" s="1073" t="s">
        <v>2</v>
      </c>
      <c r="F1376" s="1071" t="s">
        <v>3</v>
      </c>
      <c r="G1376" s="1077" t="s">
        <v>4</v>
      </c>
      <c r="H1376" s="550" t="s">
        <v>5</v>
      </c>
      <c r="I1376" s="555" t="s">
        <v>59</v>
      </c>
    </row>
    <row r="1377" spans="3:9" ht="13.5" thickBot="1">
      <c r="C1377" s="1070"/>
      <c r="D1377" s="1072"/>
      <c r="E1377" s="1074"/>
      <c r="F1377" s="1072"/>
      <c r="G1377" s="1078"/>
      <c r="H1377" s="551" t="s">
        <v>6</v>
      </c>
      <c r="I1377" s="556" t="s">
        <v>6</v>
      </c>
    </row>
    <row r="1378" spans="3:9" ht="14.1" customHeight="1">
      <c r="C1378" s="16" t="s">
        <v>7</v>
      </c>
      <c r="D1378" s="17" t="s">
        <v>74</v>
      </c>
      <c r="E1378" s="18"/>
      <c r="F1378" s="19"/>
      <c r="G1378" s="19"/>
      <c r="H1378" s="529"/>
      <c r="I1378" s="557"/>
    </row>
    <row r="1379" spans="3:9" ht="14.1" customHeight="1">
      <c r="C1379" s="16">
        <v>1</v>
      </c>
      <c r="D1379" s="17" t="s">
        <v>10</v>
      </c>
      <c r="E1379" s="18"/>
      <c r="F1379" s="19" t="s">
        <v>66</v>
      </c>
      <c r="G1379" s="31">
        <v>0.09</v>
      </c>
      <c r="H1379" s="529"/>
      <c r="I1379" s="917"/>
    </row>
    <row r="1380" spans="3:9" ht="14.1" customHeight="1">
      <c r="C1380" s="16">
        <v>2</v>
      </c>
      <c r="D1380" s="17" t="s">
        <v>143</v>
      </c>
      <c r="E1380" s="18"/>
      <c r="F1380" s="19" t="s">
        <v>66</v>
      </c>
      <c r="G1380" s="31">
        <v>0.09</v>
      </c>
      <c r="H1380" s="529"/>
      <c r="I1380" s="917"/>
    </row>
    <row r="1381" spans="3:9" ht="14.1" customHeight="1">
      <c r="C1381" s="16">
        <v>3</v>
      </c>
      <c r="D1381" s="17" t="s">
        <v>210</v>
      </c>
      <c r="E1381" s="26"/>
      <c r="F1381" s="19" t="s">
        <v>66</v>
      </c>
      <c r="G1381" s="31">
        <v>8.9999999999999993E-3</v>
      </c>
      <c r="H1381" s="529"/>
      <c r="I1381" s="918">
        <f>G1381*H1381</f>
        <v>0</v>
      </c>
    </row>
    <row r="1382" spans="3:9" ht="14.1" customHeight="1">
      <c r="C1382" s="16">
        <v>4</v>
      </c>
      <c r="D1382" s="17" t="s">
        <v>11</v>
      </c>
      <c r="E1382" s="26"/>
      <c r="F1382" s="19" t="s">
        <v>66</v>
      </c>
      <c r="G1382" s="31">
        <v>5.0000000000000001E-3</v>
      </c>
      <c r="H1382" s="529"/>
      <c r="I1382" s="918">
        <f>G1382*H1382</f>
        <v>0</v>
      </c>
    </row>
    <row r="1383" spans="3:9" ht="14.1" customHeight="1">
      <c r="C1383" s="1099" t="s">
        <v>60</v>
      </c>
      <c r="D1383" s="1100"/>
      <c r="E1383" s="1100"/>
      <c r="F1383" s="1100"/>
      <c r="G1383" s="1100"/>
      <c r="H1383" s="1101"/>
      <c r="I1383" s="919">
        <f>SUM(I1378:I1382)</f>
        <v>0</v>
      </c>
    </row>
    <row r="1384" spans="3:9" ht="14.1" customHeight="1">
      <c r="C1384" s="16" t="s">
        <v>8</v>
      </c>
      <c r="D1384" s="17" t="s">
        <v>61</v>
      </c>
      <c r="E1384" s="18"/>
      <c r="F1384" s="22"/>
      <c r="G1384" s="27"/>
      <c r="H1384" s="552"/>
      <c r="I1384" s="917"/>
    </row>
    <row r="1385" spans="3:9" ht="14.1" customHeight="1">
      <c r="C1385" s="16">
        <v>1</v>
      </c>
      <c r="D1385" s="65" t="s">
        <v>413</v>
      </c>
      <c r="E1385" s="18"/>
      <c r="F1385" s="69" t="s">
        <v>15</v>
      </c>
      <c r="G1385" s="31">
        <v>2.65</v>
      </c>
      <c r="H1385" s="552"/>
      <c r="I1385" s="918">
        <f>G1385*H1385</f>
        <v>0</v>
      </c>
    </row>
    <row r="1386" spans="3:9" ht="14.1" customHeight="1">
      <c r="C1386" s="16">
        <v>2</v>
      </c>
      <c r="D1386" s="65" t="s">
        <v>156</v>
      </c>
      <c r="E1386" s="18"/>
      <c r="F1386" s="69" t="s">
        <v>56</v>
      </c>
      <c r="G1386" s="31">
        <v>1.2</v>
      </c>
      <c r="H1386" s="552"/>
      <c r="I1386" s="918"/>
    </row>
    <row r="1387" spans="3:9" ht="14.1" customHeight="1">
      <c r="C1387" s="16">
        <v>3</v>
      </c>
      <c r="D1387" s="66" t="s">
        <v>211</v>
      </c>
      <c r="E1387" s="18"/>
      <c r="F1387" s="69" t="s">
        <v>19</v>
      </c>
      <c r="G1387" s="31">
        <v>3.0000000000000001E-3</v>
      </c>
      <c r="H1387" s="552"/>
      <c r="I1387" s="918">
        <f>G1387*H1387</f>
        <v>0</v>
      </c>
    </row>
    <row r="1388" spans="3:9" ht="14.1" customHeight="1">
      <c r="C1388" s="16">
        <v>4</v>
      </c>
      <c r="D1388" s="70" t="s">
        <v>406</v>
      </c>
      <c r="E1388" s="18"/>
      <c r="F1388" s="71" t="s">
        <v>56</v>
      </c>
      <c r="G1388" s="31">
        <v>0.1</v>
      </c>
      <c r="H1388" s="552"/>
      <c r="I1388" s="918">
        <f>G1388*H1388</f>
        <v>0</v>
      </c>
    </row>
    <row r="1389" spans="3:9" ht="14.1" customHeight="1">
      <c r="C1389" s="1099" t="s">
        <v>18</v>
      </c>
      <c r="D1389" s="1100"/>
      <c r="E1389" s="1100"/>
      <c r="F1389" s="1100"/>
      <c r="G1389" s="1100"/>
      <c r="H1389" s="1101"/>
      <c r="I1389" s="919">
        <f>SUM(I1384:I1388)</f>
        <v>0</v>
      </c>
    </row>
    <row r="1390" spans="3:9" ht="14.1" customHeight="1">
      <c r="C1390" s="16" t="s">
        <v>9</v>
      </c>
      <c r="D1390" s="17" t="s">
        <v>62</v>
      </c>
      <c r="E1390" s="28"/>
      <c r="F1390" s="15"/>
      <c r="G1390" s="74"/>
      <c r="H1390" s="553"/>
      <c r="I1390" s="917"/>
    </row>
    <row r="1391" spans="3:9" ht="14.1" customHeight="1">
      <c r="C1391" s="16"/>
      <c r="D1391" s="17"/>
      <c r="E1391" s="18"/>
      <c r="F1391" s="22"/>
      <c r="G1391" s="31"/>
      <c r="H1391" s="529"/>
      <c r="I1391" s="918">
        <f>G1391*H1391</f>
        <v>0</v>
      </c>
    </row>
    <row r="1392" spans="3:9" ht="14.1" customHeight="1">
      <c r="C1392" s="1099" t="s">
        <v>63</v>
      </c>
      <c r="D1392" s="1100"/>
      <c r="E1392" s="1100"/>
      <c r="F1392" s="1100"/>
      <c r="G1392" s="1100"/>
      <c r="H1392" s="1101"/>
      <c r="I1392" s="919">
        <f>SUM(I1390:I1391)</f>
        <v>0</v>
      </c>
    </row>
    <row r="1393" spans="2:9" ht="14.1" customHeight="1">
      <c r="C1393" s="310" t="s">
        <v>12</v>
      </c>
      <c r="D1393" s="1102" t="s">
        <v>64</v>
      </c>
      <c r="E1393" s="1103"/>
      <c r="F1393" s="1103"/>
      <c r="G1393" s="1103"/>
      <c r="H1393" s="1104"/>
      <c r="I1393" s="919">
        <f>I1383+I1389+I1392</f>
        <v>0</v>
      </c>
    </row>
    <row r="1394" spans="2:9" ht="14.1" customHeight="1">
      <c r="C1394" s="312" t="s">
        <v>13</v>
      </c>
      <c r="D1394" s="1105" t="s">
        <v>65</v>
      </c>
      <c r="E1394" s="1106"/>
      <c r="F1394" s="1107"/>
      <c r="G1394" s="75"/>
      <c r="H1394" s="554">
        <f>I1393</f>
        <v>0</v>
      </c>
      <c r="I1394" s="920">
        <f>G1394*H1394</f>
        <v>0</v>
      </c>
    </row>
    <row r="1395" spans="2:9" ht="14.1" customHeight="1" thickBot="1">
      <c r="C1395" s="311" t="s">
        <v>14</v>
      </c>
      <c r="D1395" s="1096" t="s">
        <v>73</v>
      </c>
      <c r="E1395" s="1097"/>
      <c r="F1395" s="1097"/>
      <c r="G1395" s="1097"/>
      <c r="H1395" s="1098"/>
      <c r="I1395" s="921">
        <f>I1393+I1394</f>
        <v>0</v>
      </c>
    </row>
    <row r="1396" spans="2:9" ht="14.1" customHeight="1"/>
    <row r="1397" spans="2:9" s="277" customFormat="1" ht="13.5" thickBot="1">
      <c r="B1397" s="283">
        <v>69</v>
      </c>
      <c r="C1397" s="652" t="str">
        <f>REKAP!E253</f>
        <v>Pasang plint keramik ukuran 10 x 30 cm</v>
      </c>
      <c r="E1397" s="280"/>
      <c r="F1397" s="281"/>
      <c r="G1397" s="281"/>
      <c r="H1397" s="549"/>
      <c r="I1397" s="549"/>
    </row>
    <row r="1398" spans="2:9">
      <c r="C1398" s="1069" t="s">
        <v>0</v>
      </c>
      <c r="D1398" s="1071" t="s">
        <v>1</v>
      </c>
      <c r="E1398" s="1073" t="s">
        <v>2</v>
      </c>
      <c r="F1398" s="1071" t="s">
        <v>3</v>
      </c>
      <c r="G1398" s="1077" t="s">
        <v>4</v>
      </c>
      <c r="H1398" s="550" t="s">
        <v>5</v>
      </c>
      <c r="I1398" s="555" t="s">
        <v>59</v>
      </c>
    </row>
    <row r="1399" spans="2:9" ht="13.5" thickBot="1">
      <c r="C1399" s="1070"/>
      <c r="D1399" s="1072"/>
      <c r="E1399" s="1074"/>
      <c r="F1399" s="1072"/>
      <c r="G1399" s="1078"/>
      <c r="H1399" s="551" t="s">
        <v>6</v>
      </c>
      <c r="I1399" s="556" t="s">
        <v>6</v>
      </c>
    </row>
    <row r="1400" spans="2:9" ht="14.1" customHeight="1">
      <c r="C1400" s="16" t="s">
        <v>7</v>
      </c>
      <c r="D1400" s="17" t="s">
        <v>74</v>
      </c>
      <c r="E1400" s="18"/>
      <c r="F1400" s="19"/>
      <c r="G1400" s="19"/>
      <c r="H1400" s="529"/>
      <c r="I1400" s="557"/>
    </row>
    <row r="1401" spans="2:9" ht="14.1" customHeight="1">
      <c r="C1401" s="16">
        <v>1</v>
      </c>
      <c r="D1401" s="17" t="s">
        <v>10</v>
      </c>
      <c r="E1401" s="18"/>
      <c r="F1401" s="19" t="s">
        <v>66</v>
      </c>
      <c r="G1401" s="31">
        <v>0.09</v>
      </c>
      <c r="H1401" s="529"/>
      <c r="I1401" s="917"/>
    </row>
    <row r="1402" spans="2:9" ht="14.1" customHeight="1">
      <c r="C1402" s="16">
        <v>2</v>
      </c>
      <c r="D1402" s="17" t="s">
        <v>143</v>
      </c>
      <c r="E1402" s="18"/>
      <c r="F1402" s="19" t="s">
        <v>66</v>
      </c>
      <c r="G1402" s="31">
        <v>0.09</v>
      </c>
      <c r="H1402" s="529"/>
      <c r="I1402" s="917"/>
    </row>
    <row r="1403" spans="2:9" ht="14.1" customHeight="1">
      <c r="C1403" s="16">
        <v>3</v>
      </c>
      <c r="D1403" s="17" t="s">
        <v>210</v>
      </c>
      <c r="E1403" s="26"/>
      <c r="F1403" s="19" t="s">
        <v>66</v>
      </c>
      <c r="G1403" s="31">
        <v>8.9999999999999993E-3</v>
      </c>
      <c r="H1403" s="529"/>
      <c r="I1403" s="918">
        <f>G1403*H1403</f>
        <v>0</v>
      </c>
    </row>
    <row r="1404" spans="2:9" ht="14.1" customHeight="1">
      <c r="C1404" s="16">
        <v>4</v>
      </c>
      <c r="D1404" s="17" t="s">
        <v>11</v>
      </c>
      <c r="E1404" s="26"/>
      <c r="F1404" s="19" t="s">
        <v>66</v>
      </c>
      <c r="G1404" s="31">
        <v>5.0000000000000001E-3</v>
      </c>
      <c r="H1404" s="529"/>
      <c r="I1404" s="918">
        <f>G1404*H1404</f>
        <v>0</v>
      </c>
    </row>
    <row r="1405" spans="2:9" ht="14.1" customHeight="1">
      <c r="C1405" s="1099" t="s">
        <v>60</v>
      </c>
      <c r="D1405" s="1100"/>
      <c r="E1405" s="1100"/>
      <c r="F1405" s="1100"/>
      <c r="G1405" s="1100"/>
      <c r="H1405" s="1101"/>
      <c r="I1405" s="919">
        <f>SUM(I1400:I1404)</f>
        <v>0</v>
      </c>
    </row>
    <row r="1406" spans="2:9" ht="14.1" customHeight="1">
      <c r="C1406" s="16" t="s">
        <v>8</v>
      </c>
      <c r="D1406" s="17" t="s">
        <v>61</v>
      </c>
      <c r="E1406" s="18"/>
      <c r="F1406" s="22"/>
      <c r="G1406" s="27"/>
      <c r="H1406" s="552"/>
      <c r="I1406" s="917"/>
    </row>
    <row r="1407" spans="2:9" ht="14.1" customHeight="1">
      <c r="C1407" s="16">
        <v>1</v>
      </c>
      <c r="D1407" s="65" t="s">
        <v>414</v>
      </c>
      <c r="E1407" s="18"/>
      <c r="F1407" s="69" t="s">
        <v>15</v>
      </c>
      <c r="G1407" s="31">
        <v>3.53</v>
      </c>
      <c r="H1407" s="552"/>
      <c r="I1407" s="918">
        <f>G1407*H1407</f>
        <v>0</v>
      </c>
    </row>
    <row r="1408" spans="2:9" ht="14.1" customHeight="1">
      <c r="C1408" s="16">
        <v>2</v>
      </c>
      <c r="D1408" s="65" t="s">
        <v>156</v>
      </c>
      <c r="E1408" s="18"/>
      <c r="F1408" s="69" t="s">
        <v>56</v>
      </c>
      <c r="G1408" s="31">
        <v>1.65</v>
      </c>
      <c r="H1408" s="552"/>
      <c r="I1408" s="918"/>
    </row>
    <row r="1409" spans="2:9" ht="14.1" customHeight="1">
      <c r="C1409" s="16">
        <v>3</v>
      </c>
      <c r="D1409" s="66" t="s">
        <v>211</v>
      </c>
      <c r="E1409" s="18"/>
      <c r="F1409" s="69" t="s">
        <v>19</v>
      </c>
      <c r="G1409" s="31">
        <v>3.2000000000000002E-3</v>
      </c>
      <c r="H1409" s="552"/>
      <c r="I1409" s="918">
        <f>G1409*H1409</f>
        <v>0</v>
      </c>
    </row>
    <row r="1410" spans="2:9" ht="14.1" customHeight="1">
      <c r="C1410" s="16">
        <v>4</v>
      </c>
      <c r="D1410" s="70" t="s">
        <v>406</v>
      </c>
      <c r="E1410" s="18"/>
      <c r="F1410" s="71" t="s">
        <v>56</v>
      </c>
      <c r="G1410" s="31">
        <v>0.1</v>
      </c>
      <c r="H1410" s="552"/>
      <c r="I1410" s="918">
        <f>G1410*H1410</f>
        <v>0</v>
      </c>
    </row>
    <row r="1411" spans="2:9" ht="14.1" customHeight="1">
      <c r="C1411" s="1099" t="s">
        <v>18</v>
      </c>
      <c r="D1411" s="1100"/>
      <c r="E1411" s="1100"/>
      <c r="F1411" s="1100"/>
      <c r="G1411" s="1100"/>
      <c r="H1411" s="1101"/>
      <c r="I1411" s="919">
        <f>SUM(I1406:I1410)</f>
        <v>0</v>
      </c>
    </row>
    <row r="1412" spans="2:9" ht="14.1" customHeight="1">
      <c r="C1412" s="16" t="s">
        <v>9</v>
      </c>
      <c r="D1412" s="17" t="s">
        <v>62</v>
      </c>
      <c r="E1412" s="28"/>
      <c r="F1412" s="15"/>
      <c r="G1412" s="74"/>
      <c r="H1412" s="553"/>
      <c r="I1412" s="917"/>
    </row>
    <row r="1413" spans="2:9" ht="14.1" customHeight="1">
      <c r="C1413" s="16"/>
      <c r="D1413" s="17"/>
      <c r="E1413" s="18"/>
      <c r="F1413" s="22"/>
      <c r="G1413" s="31"/>
      <c r="H1413" s="529"/>
      <c r="I1413" s="918">
        <f>G1413*H1413</f>
        <v>0</v>
      </c>
    </row>
    <row r="1414" spans="2:9" ht="14.1" customHeight="1">
      <c r="C1414" s="1099" t="s">
        <v>63</v>
      </c>
      <c r="D1414" s="1100"/>
      <c r="E1414" s="1100"/>
      <c r="F1414" s="1100"/>
      <c r="G1414" s="1100"/>
      <c r="H1414" s="1101"/>
      <c r="I1414" s="919">
        <f>SUM(I1412:I1413)</f>
        <v>0</v>
      </c>
    </row>
    <row r="1415" spans="2:9" ht="14.1" customHeight="1">
      <c r="C1415" s="310" t="s">
        <v>12</v>
      </c>
      <c r="D1415" s="1102" t="s">
        <v>64</v>
      </c>
      <c r="E1415" s="1103"/>
      <c r="F1415" s="1103"/>
      <c r="G1415" s="1103"/>
      <c r="H1415" s="1104"/>
      <c r="I1415" s="919">
        <f>I1405+I1411+I1414</f>
        <v>0</v>
      </c>
    </row>
    <row r="1416" spans="2:9" ht="14.1" customHeight="1">
      <c r="C1416" s="312" t="s">
        <v>13</v>
      </c>
      <c r="D1416" s="1105" t="s">
        <v>65</v>
      </c>
      <c r="E1416" s="1106"/>
      <c r="F1416" s="1107"/>
      <c r="G1416" s="75"/>
      <c r="H1416" s="554">
        <f>I1415</f>
        <v>0</v>
      </c>
      <c r="I1416" s="920">
        <f>G1416*H1416</f>
        <v>0</v>
      </c>
    </row>
    <row r="1417" spans="2:9" ht="14.1" customHeight="1" thickBot="1">
      <c r="C1417" s="311" t="s">
        <v>14</v>
      </c>
      <c r="D1417" s="1096" t="s">
        <v>73</v>
      </c>
      <c r="E1417" s="1097"/>
      <c r="F1417" s="1097"/>
      <c r="G1417" s="1097"/>
      <c r="H1417" s="1098"/>
      <c r="I1417" s="921">
        <f>I1415+I1416</f>
        <v>0</v>
      </c>
    </row>
    <row r="1418" spans="2:9" ht="14.1" customHeight="1"/>
    <row r="1419" spans="2:9" s="277" customFormat="1" ht="13.5" thickBot="1">
      <c r="B1419" s="283">
        <v>70</v>
      </c>
      <c r="C1419" s="652" t="str">
        <f>REKAP!E267</f>
        <v>Memasang dinding keramik ukuran (20 x 25) cm</v>
      </c>
      <c r="E1419" s="280"/>
      <c r="F1419" s="281"/>
      <c r="G1419" s="281"/>
      <c r="H1419" s="549"/>
      <c r="I1419" s="549"/>
    </row>
    <row r="1420" spans="2:9">
      <c r="C1420" s="1069" t="s">
        <v>0</v>
      </c>
      <c r="D1420" s="1071" t="s">
        <v>1</v>
      </c>
      <c r="E1420" s="1073" t="s">
        <v>2</v>
      </c>
      <c r="F1420" s="1071" t="s">
        <v>3</v>
      </c>
      <c r="G1420" s="1077" t="s">
        <v>4</v>
      </c>
      <c r="H1420" s="550" t="s">
        <v>5</v>
      </c>
      <c r="I1420" s="555" t="s">
        <v>59</v>
      </c>
    </row>
    <row r="1421" spans="2:9" ht="13.5" thickBot="1">
      <c r="C1421" s="1070"/>
      <c r="D1421" s="1072"/>
      <c r="E1421" s="1074"/>
      <c r="F1421" s="1072"/>
      <c r="G1421" s="1078"/>
      <c r="H1421" s="551" t="s">
        <v>6</v>
      </c>
      <c r="I1421" s="556" t="s">
        <v>6</v>
      </c>
    </row>
    <row r="1422" spans="2:9" ht="14.1" customHeight="1">
      <c r="C1422" s="16" t="s">
        <v>7</v>
      </c>
      <c r="D1422" s="17" t="s">
        <v>74</v>
      </c>
      <c r="E1422" s="18"/>
      <c r="F1422" s="19"/>
      <c r="G1422" s="19"/>
      <c r="H1422" s="529"/>
      <c r="I1422" s="557"/>
    </row>
    <row r="1423" spans="2:9" ht="14.1" customHeight="1">
      <c r="C1423" s="16">
        <v>1</v>
      </c>
      <c r="D1423" s="17" t="s">
        <v>10</v>
      </c>
      <c r="E1423" s="18"/>
      <c r="F1423" s="19" t="s">
        <v>66</v>
      </c>
      <c r="G1423" s="31">
        <v>0.9</v>
      </c>
      <c r="H1423" s="529"/>
      <c r="I1423" s="917"/>
    </row>
    <row r="1424" spans="2:9" ht="14.1" customHeight="1">
      <c r="C1424" s="16">
        <v>2</v>
      </c>
      <c r="D1424" s="17" t="s">
        <v>143</v>
      </c>
      <c r="E1424" s="18"/>
      <c r="F1424" s="19" t="s">
        <v>66</v>
      </c>
      <c r="G1424" s="31">
        <v>0.45</v>
      </c>
      <c r="H1424" s="529"/>
      <c r="I1424" s="917"/>
    </row>
    <row r="1425" spans="3:9" ht="14.1" customHeight="1">
      <c r="C1425" s="16">
        <v>3</v>
      </c>
      <c r="D1425" s="17" t="s">
        <v>20</v>
      </c>
      <c r="E1425" s="26"/>
      <c r="F1425" s="19" t="s">
        <v>66</v>
      </c>
      <c r="G1425" s="31">
        <v>4.4999999999999998E-2</v>
      </c>
      <c r="H1425" s="529"/>
      <c r="I1425" s="918">
        <f>G1425*H1425</f>
        <v>0</v>
      </c>
    </row>
    <row r="1426" spans="3:9" ht="14.1" customHeight="1">
      <c r="C1426" s="16">
        <v>4</v>
      </c>
      <c r="D1426" s="17" t="s">
        <v>11</v>
      </c>
      <c r="E1426" s="26"/>
      <c r="F1426" s="19" t="s">
        <v>66</v>
      </c>
      <c r="G1426" s="31">
        <v>4.4999999999999998E-2</v>
      </c>
      <c r="H1426" s="529"/>
      <c r="I1426" s="918">
        <f>G1426*H1426</f>
        <v>0</v>
      </c>
    </row>
    <row r="1427" spans="3:9" ht="14.1" customHeight="1">
      <c r="C1427" s="1099" t="s">
        <v>60</v>
      </c>
      <c r="D1427" s="1100"/>
      <c r="E1427" s="1100"/>
      <c r="F1427" s="1100"/>
      <c r="G1427" s="1100"/>
      <c r="H1427" s="1101"/>
      <c r="I1427" s="919">
        <f>SUM(I1422:I1426)</f>
        <v>0</v>
      </c>
    </row>
    <row r="1428" spans="3:9" ht="14.1" customHeight="1">
      <c r="C1428" s="16" t="s">
        <v>8</v>
      </c>
      <c r="D1428" s="17" t="s">
        <v>61</v>
      </c>
      <c r="E1428" s="18"/>
      <c r="F1428" s="22"/>
      <c r="G1428" s="27"/>
      <c r="H1428" s="552"/>
      <c r="I1428" s="917"/>
    </row>
    <row r="1429" spans="3:9" ht="14.1" customHeight="1">
      <c r="C1429" s="16">
        <v>1</v>
      </c>
      <c r="D1429" s="65" t="s">
        <v>415</v>
      </c>
      <c r="E1429" s="18"/>
      <c r="F1429" s="69" t="s">
        <v>71</v>
      </c>
      <c r="G1429" s="31">
        <v>1.06</v>
      </c>
      <c r="H1429" s="552"/>
      <c r="I1429" s="918">
        <f>G1429*H1429</f>
        <v>0</v>
      </c>
    </row>
    <row r="1430" spans="3:9" ht="14.1" customHeight="1">
      <c r="C1430" s="16">
        <v>2</v>
      </c>
      <c r="D1430" s="65" t="s">
        <v>212</v>
      </c>
      <c r="E1430" s="18"/>
      <c r="F1430" s="69" t="s">
        <v>56</v>
      </c>
      <c r="G1430" s="31">
        <v>9.3000000000000007</v>
      </c>
      <c r="H1430" s="552"/>
      <c r="I1430" s="918"/>
    </row>
    <row r="1431" spans="3:9" ht="14.1" customHeight="1">
      <c r="C1431" s="16">
        <v>3</v>
      </c>
      <c r="D1431" s="66" t="s">
        <v>141</v>
      </c>
      <c r="E1431" s="18"/>
      <c r="F1431" s="69" t="s">
        <v>19</v>
      </c>
      <c r="G1431" s="31">
        <v>1.7999999999999999E-2</v>
      </c>
      <c r="H1431" s="552"/>
      <c r="I1431" s="918">
        <f>G1431*H1431</f>
        <v>0</v>
      </c>
    </row>
    <row r="1432" spans="3:9" ht="14.1" customHeight="1">
      <c r="C1432" s="16">
        <v>4</v>
      </c>
      <c r="D1432" s="70" t="s">
        <v>406</v>
      </c>
      <c r="E1432" s="18"/>
      <c r="F1432" s="71" t="s">
        <v>56</v>
      </c>
      <c r="G1432" s="31">
        <v>1.94</v>
      </c>
      <c r="H1432" s="552"/>
      <c r="I1432" s="918">
        <f>G1432*H1432</f>
        <v>0</v>
      </c>
    </row>
    <row r="1433" spans="3:9" ht="14.1" customHeight="1">
      <c r="C1433" s="1099" t="s">
        <v>18</v>
      </c>
      <c r="D1433" s="1100"/>
      <c r="E1433" s="1100"/>
      <c r="F1433" s="1100"/>
      <c r="G1433" s="1100"/>
      <c r="H1433" s="1101"/>
      <c r="I1433" s="919">
        <f>SUM(I1428:I1432)</f>
        <v>0</v>
      </c>
    </row>
    <row r="1434" spans="3:9" ht="14.1" customHeight="1">
      <c r="C1434" s="16" t="s">
        <v>9</v>
      </c>
      <c r="D1434" s="17" t="s">
        <v>62</v>
      </c>
      <c r="E1434" s="28"/>
      <c r="F1434" s="15"/>
      <c r="G1434" s="74"/>
      <c r="H1434" s="553"/>
      <c r="I1434" s="917"/>
    </row>
    <row r="1435" spans="3:9" ht="14.1" customHeight="1">
      <c r="C1435" s="16"/>
      <c r="D1435" s="17"/>
      <c r="E1435" s="18"/>
      <c r="F1435" s="22"/>
      <c r="G1435" s="31"/>
      <c r="H1435" s="529"/>
      <c r="I1435" s="918">
        <f>G1435*H1435</f>
        <v>0</v>
      </c>
    </row>
    <row r="1436" spans="3:9" ht="14.1" customHeight="1">
      <c r="C1436" s="1099" t="s">
        <v>63</v>
      </c>
      <c r="D1436" s="1100"/>
      <c r="E1436" s="1100"/>
      <c r="F1436" s="1100"/>
      <c r="G1436" s="1100"/>
      <c r="H1436" s="1101"/>
      <c r="I1436" s="919">
        <f>SUM(I1434:I1435)</f>
        <v>0</v>
      </c>
    </row>
    <row r="1437" spans="3:9" ht="14.1" customHeight="1">
      <c r="C1437" s="310" t="s">
        <v>12</v>
      </c>
      <c r="D1437" s="1102" t="s">
        <v>64</v>
      </c>
      <c r="E1437" s="1103"/>
      <c r="F1437" s="1103"/>
      <c r="G1437" s="1103"/>
      <c r="H1437" s="1104"/>
      <c r="I1437" s="919">
        <f>I1427+I1433+I1436</f>
        <v>0</v>
      </c>
    </row>
    <row r="1438" spans="3:9" ht="14.1" customHeight="1">
      <c r="C1438" s="312" t="s">
        <v>13</v>
      </c>
      <c r="D1438" s="1105" t="s">
        <v>65</v>
      </c>
      <c r="E1438" s="1106"/>
      <c r="F1438" s="1107"/>
      <c r="G1438" s="75"/>
      <c r="H1438" s="554">
        <f>I1437</f>
        <v>0</v>
      </c>
      <c r="I1438" s="920">
        <f>G1438*H1438</f>
        <v>0</v>
      </c>
    </row>
    <row r="1439" spans="3:9" ht="14.1" customHeight="1" thickBot="1">
      <c r="C1439" s="311" t="s">
        <v>14</v>
      </c>
      <c r="D1439" s="1096" t="s">
        <v>73</v>
      </c>
      <c r="E1439" s="1097"/>
      <c r="F1439" s="1097"/>
      <c r="G1439" s="1097"/>
      <c r="H1439" s="1098"/>
      <c r="I1439" s="921">
        <f>I1437+I1438</f>
        <v>0</v>
      </c>
    </row>
    <row r="1440" spans="3:9" ht="14.1" customHeight="1"/>
    <row r="1441" spans="2:9" s="277" customFormat="1" ht="14.1" customHeight="1" thickBot="1">
      <c r="B1441" s="283">
        <v>71</v>
      </c>
      <c r="C1441" s="652" t="str">
        <f>REKAP!E272</f>
        <v>Pasang Batu Candi (20 x 20) Dinding</v>
      </c>
      <c r="E1441" s="280"/>
      <c r="F1441" s="281"/>
      <c r="G1441" s="281"/>
      <c r="H1441" s="549"/>
      <c r="I1441" s="549"/>
    </row>
    <row r="1442" spans="2:9" ht="14.1" customHeight="1">
      <c r="C1442" s="1069" t="s">
        <v>0</v>
      </c>
      <c r="D1442" s="1071" t="s">
        <v>1</v>
      </c>
      <c r="E1442" s="1073" t="s">
        <v>2</v>
      </c>
      <c r="F1442" s="1071" t="s">
        <v>3</v>
      </c>
      <c r="G1442" s="1077" t="s">
        <v>4</v>
      </c>
      <c r="H1442" s="550" t="s">
        <v>5</v>
      </c>
      <c r="I1442" s="555" t="s">
        <v>59</v>
      </c>
    </row>
    <row r="1443" spans="2:9" ht="14.1" customHeight="1" thickBot="1">
      <c r="C1443" s="1070"/>
      <c r="D1443" s="1072"/>
      <c r="E1443" s="1074"/>
      <c r="F1443" s="1072"/>
      <c r="G1443" s="1078"/>
      <c r="H1443" s="551" t="s">
        <v>6</v>
      </c>
      <c r="I1443" s="556" t="s">
        <v>6</v>
      </c>
    </row>
    <row r="1444" spans="2:9" ht="14.1" customHeight="1">
      <c r="C1444" s="16" t="s">
        <v>7</v>
      </c>
      <c r="D1444" s="17" t="s">
        <v>74</v>
      </c>
      <c r="E1444" s="18"/>
      <c r="F1444" s="19"/>
      <c r="G1444" s="19"/>
      <c r="H1444" s="529"/>
      <c r="I1444" s="917"/>
    </row>
    <row r="1445" spans="2:9" ht="14.1" customHeight="1">
      <c r="C1445" s="16">
        <v>1</v>
      </c>
      <c r="D1445" s="17" t="s">
        <v>10</v>
      </c>
      <c r="E1445" s="18"/>
      <c r="F1445" s="19" t="s">
        <v>66</v>
      </c>
      <c r="G1445" s="31">
        <v>0.9</v>
      </c>
      <c r="H1445" s="529"/>
      <c r="I1445" s="917"/>
    </row>
    <row r="1446" spans="2:9" ht="14.1" customHeight="1">
      <c r="C1446" s="16">
        <v>2</v>
      </c>
      <c r="D1446" s="17" t="s">
        <v>409</v>
      </c>
      <c r="E1446" s="18"/>
      <c r="F1446" s="19" t="s">
        <v>66</v>
      </c>
      <c r="G1446" s="31">
        <v>0.45</v>
      </c>
      <c r="H1446" s="529"/>
      <c r="I1446" s="917"/>
    </row>
    <row r="1447" spans="2:9" ht="14.1" customHeight="1">
      <c r="C1447" s="16">
        <v>3</v>
      </c>
      <c r="D1447" s="17" t="s">
        <v>410</v>
      </c>
      <c r="E1447" s="26"/>
      <c r="F1447" s="19" t="s">
        <v>66</v>
      </c>
      <c r="G1447" s="31">
        <v>4.4999999999999998E-2</v>
      </c>
      <c r="H1447" s="529"/>
      <c r="I1447" s="918">
        <f>G1447*H1447</f>
        <v>0</v>
      </c>
    </row>
    <row r="1448" spans="2:9" ht="14.1" customHeight="1">
      <c r="C1448" s="16">
        <v>4</v>
      </c>
      <c r="D1448" s="17" t="s">
        <v>11</v>
      </c>
      <c r="E1448" s="26"/>
      <c r="F1448" s="19" t="s">
        <v>66</v>
      </c>
      <c r="G1448" s="31">
        <v>4.4999999999999998E-2</v>
      </c>
      <c r="H1448" s="529"/>
      <c r="I1448" s="918">
        <f>G1448*H1448</f>
        <v>0</v>
      </c>
    </row>
    <row r="1449" spans="2:9" ht="14.1" customHeight="1">
      <c r="C1449" s="1099" t="s">
        <v>60</v>
      </c>
      <c r="D1449" s="1100"/>
      <c r="E1449" s="1100"/>
      <c r="F1449" s="1100"/>
      <c r="G1449" s="1100"/>
      <c r="H1449" s="1101"/>
      <c r="I1449" s="919">
        <f>SUM(I1444:I1448)</f>
        <v>0</v>
      </c>
    </row>
    <row r="1450" spans="2:9" ht="14.1" customHeight="1">
      <c r="C1450" s="16" t="s">
        <v>8</v>
      </c>
      <c r="D1450" s="17" t="s">
        <v>61</v>
      </c>
      <c r="E1450" s="18"/>
      <c r="F1450" s="22"/>
      <c r="G1450" s="27"/>
      <c r="H1450" s="552"/>
      <c r="I1450" s="917"/>
    </row>
    <row r="1451" spans="2:9" ht="14.1" customHeight="1">
      <c r="C1451" s="16">
        <v>1</v>
      </c>
      <c r="D1451" s="65" t="s">
        <v>411</v>
      </c>
      <c r="E1451" s="18"/>
      <c r="F1451" s="69" t="s">
        <v>15</v>
      </c>
      <c r="G1451" s="31">
        <v>26.5</v>
      </c>
      <c r="H1451" s="552"/>
      <c r="I1451" s="918">
        <f>G1451*H1451</f>
        <v>0</v>
      </c>
    </row>
    <row r="1452" spans="2:9" ht="14.1" customHeight="1">
      <c r="C1452" s="16">
        <v>2</v>
      </c>
      <c r="D1452" s="65" t="s">
        <v>156</v>
      </c>
      <c r="E1452" s="18"/>
      <c r="F1452" s="69" t="s">
        <v>56</v>
      </c>
      <c r="G1452" s="31">
        <v>10.4</v>
      </c>
      <c r="H1452" s="552"/>
      <c r="I1452" s="918"/>
    </row>
    <row r="1453" spans="2:9" ht="14.1" customHeight="1">
      <c r="C1453" s="16">
        <v>3</v>
      </c>
      <c r="D1453" s="66" t="s">
        <v>412</v>
      </c>
      <c r="E1453" s="18"/>
      <c r="F1453" s="69" t="s">
        <v>416</v>
      </c>
      <c r="G1453" s="31">
        <v>4.4999999999999998E-2</v>
      </c>
      <c r="H1453" s="552"/>
      <c r="I1453" s="918">
        <f>G1453*H1453</f>
        <v>0</v>
      </c>
    </row>
    <row r="1454" spans="2:9" ht="14.1" customHeight="1">
      <c r="C1454" s="1099" t="s">
        <v>18</v>
      </c>
      <c r="D1454" s="1100"/>
      <c r="E1454" s="1100"/>
      <c r="F1454" s="1100"/>
      <c r="G1454" s="1100"/>
      <c r="H1454" s="1101"/>
      <c r="I1454" s="919">
        <f>SUM(I1450:I1453)</f>
        <v>0</v>
      </c>
    </row>
    <row r="1455" spans="2:9" ht="14.1" customHeight="1">
      <c r="C1455" s="16" t="s">
        <v>9</v>
      </c>
      <c r="D1455" s="17" t="s">
        <v>62</v>
      </c>
      <c r="E1455" s="28"/>
      <c r="F1455" s="15"/>
      <c r="G1455" s="74"/>
      <c r="H1455" s="553"/>
      <c r="I1455" s="917"/>
    </row>
    <row r="1456" spans="2:9" ht="14.1" customHeight="1">
      <c r="C1456" s="16"/>
      <c r="D1456" s="17"/>
      <c r="E1456" s="18"/>
      <c r="F1456" s="22"/>
      <c r="G1456" s="31"/>
      <c r="H1456" s="529"/>
      <c r="I1456" s="918">
        <f>G1456*H1456</f>
        <v>0</v>
      </c>
    </row>
    <row r="1457" spans="2:9" ht="14.1" customHeight="1">
      <c r="C1457" s="1099" t="s">
        <v>63</v>
      </c>
      <c r="D1457" s="1100"/>
      <c r="E1457" s="1100"/>
      <c r="F1457" s="1100"/>
      <c r="G1457" s="1100"/>
      <c r="H1457" s="1101"/>
      <c r="I1457" s="919">
        <f>SUM(I1455:I1456)</f>
        <v>0</v>
      </c>
    </row>
    <row r="1458" spans="2:9" ht="14.1" customHeight="1">
      <c r="C1458" s="310" t="s">
        <v>12</v>
      </c>
      <c r="D1458" s="1102" t="s">
        <v>64</v>
      </c>
      <c r="E1458" s="1103"/>
      <c r="F1458" s="1103"/>
      <c r="G1458" s="1103"/>
      <c r="H1458" s="1104"/>
      <c r="I1458" s="919">
        <f>I1449+I1454+I1457</f>
        <v>0</v>
      </c>
    </row>
    <row r="1459" spans="2:9" ht="14.1" customHeight="1">
      <c r="C1459" s="312" t="s">
        <v>13</v>
      </c>
      <c r="D1459" s="1105" t="s">
        <v>65</v>
      </c>
      <c r="E1459" s="1106"/>
      <c r="F1459" s="1107"/>
      <c r="G1459" s="75"/>
      <c r="H1459" s="554">
        <f>I1458</f>
        <v>0</v>
      </c>
      <c r="I1459" s="920">
        <f>G1459*H1459</f>
        <v>0</v>
      </c>
    </row>
    <row r="1460" spans="2:9" ht="14.1" customHeight="1" thickBot="1">
      <c r="C1460" s="311" t="s">
        <v>14</v>
      </c>
      <c r="D1460" s="1096" t="s">
        <v>73</v>
      </c>
      <c r="E1460" s="1097"/>
      <c r="F1460" s="1097"/>
      <c r="G1460" s="1097"/>
      <c r="H1460" s="1098"/>
      <c r="I1460" s="921">
        <f>I1458+I1459</f>
        <v>0</v>
      </c>
    </row>
    <row r="1461" spans="2:9" ht="14.1" customHeight="1"/>
    <row r="1462" spans="2:9" s="277" customFormat="1" ht="13.5" thickBot="1">
      <c r="B1462" s="283">
        <v>72</v>
      </c>
      <c r="C1462" s="652" t="s">
        <v>1281</v>
      </c>
      <c r="E1462" s="280"/>
      <c r="F1462" s="281"/>
      <c r="G1462" s="281"/>
      <c r="H1462" s="549"/>
      <c r="I1462" s="549"/>
    </row>
    <row r="1463" spans="2:9">
      <c r="C1463" s="1069" t="s">
        <v>0</v>
      </c>
      <c r="D1463" s="1071" t="s">
        <v>1</v>
      </c>
      <c r="E1463" s="1073" t="s">
        <v>2</v>
      </c>
      <c r="F1463" s="1071" t="s">
        <v>3</v>
      </c>
      <c r="G1463" s="1077" t="s">
        <v>4</v>
      </c>
      <c r="H1463" s="550" t="s">
        <v>5</v>
      </c>
      <c r="I1463" s="555" t="s">
        <v>59</v>
      </c>
    </row>
    <row r="1464" spans="2:9" ht="13.5" thickBot="1">
      <c r="C1464" s="1070"/>
      <c r="D1464" s="1072"/>
      <c r="E1464" s="1074"/>
      <c r="F1464" s="1072"/>
      <c r="G1464" s="1078"/>
      <c r="H1464" s="551" t="s">
        <v>6</v>
      </c>
      <c r="I1464" s="556" t="s">
        <v>6</v>
      </c>
    </row>
    <row r="1465" spans="2:9" ht="14.1" customHeight="1">
      <c r="C1465" s="16" t="s">
        <v>7</v>
      </c>
      <c r="D1465" s="17" t="s">
        <v>74</v>
      </c>
      <c r="E1465" s="18"/>
      <c r="F1465" s="19"/>
      <c r="G1465" s="19"/>
      <c r="H1465" s="529"/>
      <c r="I1465" s="557"/>
    </row>
    <row r="1466" spans="2:9" ht="14.1" customHeight="1">
      <c r="C1466" s="16">
        <v>1</v>
      </c>
      <c r="D1466" s="17" t="s">
        <v>10</v>
      </c>
      <c r="E1466" s="18"/>
      <c r="F1466" s="19" t="s">
        <v>66</v>
      </c>
      <c r="G1466" s="31">
        <v>0.1</v>
      </c>
      <c r="H1466" s="529"/>
      <c r="I1466" s="917"/>
    </row>
    <row r="1467" spans="2:9" ht="14.1" customHeight="1">
      <c r="C1467" s="16">
        <v>2</v>
      </c>
      <c r="D1467" s="17" t="s">
        <v>143</v>
      </c>
      <c r="E1467" s="18"/>
      <c r="F1467" s="19" t="s">
        <v>66</v>
      </c>
      <c r="G1467" s="31">
        <v>1.0000000000000002E-2</v>
      </c>
      <c r="H1467" s="529"/>
      <c r="I1467" s="917"/>
    </row>
    <row r="1468" spans="2:9" ht="14.1" customHeight="1">
      <c r="C1468" s="16">
        <v>3</v>
      </c>
      <c r="D1468" s="17" t="s">
        <v>210</v>
      </c>
      <c r="E1468" s="26"/>
      <c r="F1468" s="19" t="s">
        <v>66</v>
      </c>
      <c r="G1468" s="31">
        <v>0.05</v>
      </c>
      <c r="H1468" s="529"/>
      <c r="I1468" s="918">
        <f>G1468*H1468</f>
        <v>0</v>
      </c>
    </row>
    <row r="1469" spans="2:9" ht="14.1" customHeight="1">
      <c r="C1469" s="16">
        <v>4</v>
      </c>
      <c r="D1469" s="17" t="s">
        <v>11</v>
      </c>
      <c r="E1469" s="26"/>
      <c r="F1469" s="19" t="s">
        <v>66</v>
      </c>
      <c r="G1469" s="31">
        <v>2.5000000000000001E-3</v>
      </c>
      <c r="H1469" s="529"/>
      <c r="I1469" s="918">
        <f>G1469*H1469</f>
        <v>0</v>
      </c>
    </row>
    <row r="1470" spans="2:9" ht="14.1" customHeight="1">
      <c r="C1470" s="1099" t="s">
        <v>60</v>
      </c>
      <c r="D1470" s="1100"/>
      <c r="E1470" s="1100"/>
      <c r="F1470" s="1100"/>
      <c r="G1470" s="1100"/>
      <c r="H1470" s="1101"/>
      <c r="I1470" s="919">
        <f>SUM(I1465:I1469)</f>
        <v>0</v>
      </c>
    </row>
    <row r="1471" spans="2:9" ht="14.1" customHeight="1">
      <c r="C1471" s="16" t="s">
        <v>8</v>
      </c>
      <c r="D1471" s="17" t="s">
        <v>61</v>
      </c>
      <c r="E1471" s="18"/>
      <c r="F1471" s="22"/>
      <c r="G1471" s="27"/>
      <c r="H1471" s="552"/>
      <c r="I1471" s="917"/>
    </row>
    <row r="1472" spans="2:9" ht="14.1" customHeight="1">
      <c r="C1472" s="16">
        <v>1</v>
      </c>
      <c r="D1472" s="65" t="s">
        <v>417</v>
      </c>
      <c r="E1472" s="18"/>
      <c r="F1472" s="69" t="s">
        <v>15</v>
      </c>
      <c r="G1472" s="31">
        <v>3.6</v>
      </c>
      <c r="H1472" s="552"/>
      <c r="I1472" s="918">
        <f>G1472*H1472</f>
        <v>0</v>
      </c>
    </row>
    <row r="1473" spans="2:9" ht="14.1" customHeight="1">
      <c r="C1473" s="16">
        <v>2</v>
      </c>
      <c r="D1473" s="65" t="s">
        <v>156</v>
      </c>
      <c r="E1473" s="18"/>
      <c r="F1473" s="69" t="s">
        <v>56</v>
      </c>
      <c r="G1473" s="31">
        <v>0.40799999999999997</v>
      </c>
      <c r="H1473" s="552"/>
      <c r="I1473" s="918"/>
    </row>
    <row r="1474" spans="2:9" ht="14.1" customHeight="1">
      <c r="C1474" s="16">
        <v>3</v>
      </c>
      <c r="D1474" s="66" t="s">
        <v>139</v>
      </c>
      <c r="E1474" s="18"/>
      <c r="F1474" s="69" t="s">
        <v>19</v>
      </c>
      <c r="G1474" s="31">
        <v>8.9999999999999998E-4</v>
      </c>
      <c r="H1474" s="552"/>
      <c r="I1474" s="918">
        <f>G1474*H1474</f>
        <v>0</v>
      </c>
    </row>
    <row r="1475" spans="2:9" ht="14.1" customHeight="1">
      <c r="C1475" s="16">
        <v>4</v>
      </c>
      <c r="D1475" s="70" t="s">
        <v>418</v>
      </c>
      <c r="E1475" s="18"/>
      <c r="F1475" s="71" t="s">
        <v>56</v>
      </c>
      <c r="G1475" s="31">
        <v>0.06</v>
      </c>
      <c r="H1475" s="552"/>
      <c r="I1475" s="918">
        <f>G1475*H1475</f>
        <v>0</v>
      </c>
    </row>
    <row r="1476" spans="2:9" ht="14.1" customHeight="1">
      <c r="C1476" s="1099" t="s">
        <v>18</v>
      </c>
      <c r="D1476" s="1100"/>
      <c r="E1476" s="1100"/>
      <c r="F1476" s="1100"/>
      <c r="G1476" s="1100"/>
      <c r="H1476" s="1101"/>
      <c r="I1476" s="919">
        <f>SUM(I1471:I1475)</f>
        <v>0</v>
      </c>
    </row>
    <row r="1477" spans="2:9" ht="14.1" customHeight="1">
      <c r="C1477" s="16" t="s">
        <v>9</v>
      </c>
      <c r="D1477" s="17" t="s">
        <v>62</v>
      </c>
      <c r="E1477" s="28"/>
      <c r="F1477" s="15"/>
      <c r="G1477" s="74"/>
      <c r="H1477" s="553"/>
      <c r="I1477" s="917"/>
    </row>
    <row r="1478" spans="2:9" ht="14.1" customHeight="1">
      <c r="C1478" s="16"/>
      <c r="D1478" s="17"/>
      <c r="E1478" s="18"/>
      <c r="F1478" s="22"/>
      <c r="G1478" s="31"/>
      <c r="H1478" s="529"/>
      <c r="I1478" s="918">
        <f>G1478*H1478</f>
        <v>0</v>
      </c>
    </row>
    <row r="1479" spans="2:9" ht="14.1" customHeight="1">
      <c r="C1479" s="1099" t="s">
        <v>63</v>
      </c>
      <c r="D1479" s="1100"/>
      <c r="E1479" s="1100"/>
      <c r="F1479" s="1100"/>
      <c r="G1479" s="1100"/>
      <c r="H1479" s="1101"/>
      <c r="I1479" s="919">
        <f>SUM(I1477:I1478)</f>
        <v>0</v>
      </c>
    </row>
    <row r="1480" spans="2:9" ht="14.1" customHeight="1">
      <c r="C1480" s="310" t="s">
        <v>12</v>
      </c>
      <c r="D1480" s="1102" t="s">
        <v>64</v>
      </c>
      <c r="E1480" s="1103"/>
      <c r="F1480" s="1103"/>
      <c r="G1480" s="1103"/>
      <c r="H1480" s="1104"/>
      <c r="I1480" s="919">
        <f>I1470+I1476+I1479</f>
        <v>0</v>
      </c>
    </row>
    <row r="1481" spans="2:9" ht="14.1" customHeight="1">
      <c r="C1481" s="312" t="s">
        <v>13</v>
      </c>
      <c r="D1481" s="1105" t="s">
        <v>65</v>
      </c>
      <c r="E1481" s="1106"/>
      <c r="F1481" s="1107"/>
      <c r="G1481" s="75"/>
      <c r="H1481" s="554">
        <f>I1480</f>
        <v>0</v>
      </c>
      <c r="I1481" s="920">
        <f>G1481*H1481</f>
        <v>0</v>
      </c>
    </row>
    <row r="1482" spans="2:9" ht="14.1" customHeight="1" thickBot="1">
      <c r="C1482" s="311" t="s">
        <v>14</v>
      </c>
      <c r="D1482" s="1096" t="s">
        <v>73</v>
      </c>
      <c r="E1482" s="1097"/>
      <c r="F1482" s="1097"/>
      <c r="G1482" s="1097"/>
      <c r="H1482" s="1098"/>
      <c r="I1482" s="921">
        <f>I1480+I1481</f>
        <v>0</v>
      </c>
    </row>
    <row r="1483" spans="2:9" ht="14.1" customHeight="1"/>
    <row r="1484" spans="2:9" s="277" customFormat="1" ht="13.5" thickBot="1">
      <c r="B1484" s="283">
        <v>73</v>
      </c>
      <c r="C1484" s="652" t="str">
        <f>REKAP!E280</f>
        <v>Memasang hospital plint panjang 20 cm</v>
      </c>
      <c r="E1484" s="280"/>
      <c r="F1484" s="281"/>
      <c r="G1484" s="281"/>
      <c r="H1484" s="549"/>
      <c r="I1484" s="549"/>
    </row>
    <row r="1485" spans="2:9">
      <c r="C1485" s="1069" t="s">
        <v>0</v>
      </c>
      <c r="D1485" s="1071" t="s">
        <v>1</v>
      </c>
      <c r="E1485" s="1073" t="s">
        <v>2</v>
      </c>
      <c r="F1485" s="1071" t="s">
        <v>3</v>
      </c>
      <c r="G1485" s="1077" t="s">
        <v>4</v>
      </c>
      <c r="H1485" s="550" t="s">
        <v>5</v>
      </c>
      <c r="I1485" s="555" t="s">
        <v>59</v>
      </c>
    </row>
    <row r="1486" spans="2:9" ht="13.5" thickBot="1">
      <c r="C1486" s="1070"/>
      <c r="D1486" s="1072"/>
      <c r="E1486" s="1074"/>
      <c r="F1486" s="1072"/>
      <c r="G1486" s="1078"/>
      <c r="H1486" s="551" t="s">
        <v>6</v>
      </c>
      <c r="I1486" s="556" t="s">
        <v>6</v>
      </c>
    </row>
    <row r="1487" spans="2:9">
      <c r="C1487" s="16" t="s">
        <v>7</v>
      </c>
      <c r="D1487" s="17" t="s">
        <v>74</v>
      </c>
      <c r="E1487" s="18"/>
      <c r="F1487" s="19"/>
      <c r="G1487" s="19"/>
      <c r="H1487" s="529"/>
      <c r="I1487" s="557"/>
    </row>
    <row r="1488" spans="2:9">
      <c r="C1488" s="16">
        <v>1</v>
      </c>
      <c r="D1488" s="17" t="s">
        <v>10</v>
      </c>
      <c r="E1488" s="18"/>
      <c r="F1488" s="19" t="s">
        <v>66</v>
      </c>
      <c r="G1488" s="31">
        <v>0.09</v>
      </c>
      <c r="H1488" s="529"/>
      <c r="I1488" s="917"/>
    </row>
    <row r="1489" spans="3:9">
      <c r="C1489" s="16">
        <v>2</v>
      </c>
      <c r="D1489" s="17" t="s">
        <v>143</v>
      </c>
      <c r="E1489" s="18"/>
      <c r="F1489" s="19" t="s">
        <v>66</v>
      </c>
      <c r="G1489" s="31">
        <v>0.09</v>
      </c>
      <c r="H1489" s="529"/>
      <c r="I1489" s="917"/>
    </row>
    <row r="1490" spans="3:9">
      <c r="C1490" s="16">
        <v>3</v>
      </c>
      <c r="D1490" s="17" t="s">
        <v>20</v>
      </c>
      <c r="E1490" s="26"/>
      <c r="F1490" s="19" t="s">
        <v>66</v>
      </c>
      <c r="G1490" s="31">
        <v>8.9999999999999993E-3</v>
      </c>
      <c r="H1490" s="529"/>
      <c r="I1490" s="918">
        <f>G1490*H1490</f>
        <v>0</v>
      </c>
    </row>
    <row r="1491" spans="3:9">
      <c r="C1491" s="16">
        <v>4</v>
      </c>
      <c r="D1491" s="17" t="s">
        <v>11</v>
      </c>
      <c r="E1491" s="26"/>
      <c r="F1491" s="19" t="s">
        <v>66</v>
      </c>
      <c r="G1491" s="31">
        <v>5.0000000000000001E-3</v>
      </c>
      <c r="H1491" s="529"/>
      <c r="I1491" s="918">
        <f>G1491*H1491</f>
        <v>0</v>
      </c>
    </row>
    <row r="1492" spans="3:9">
      <c r="C1492" s="1099" t="s">
        <v>60</v>
      </c>
      <c r="D1492" s="1100"/>
      <c r="E1492" s="1100"/>
      <c r="F1492" s="1100"/>
      <c r="G1492" s="1100"/>
      <c r="H1492" s="1101"/>
      <c r="I1492" s="919">
        <f>SUM(I1487:I1491)</f>
        <v>0</v>
      </c>
    </row>
    <row r="1493" spans="3:9">
      <c r="C1493" s="16" t="s">
        <v>8</v>
      </c>
      <c r="D1493" s="17" t="s">
        <v>61</v>
      </c>
      <c r="E1493" s="18"/>
      <c r="F1493" s="22"/>
      <c r="G1493" s="27"/>
      <c r="H1493" s="552"/>
      <c r="I1493" s="917"/>
    </row>
    <row r="1494" spans="3:9">
      <c r="C1494" s="16">
        <v>1</v>
      </c>
      <c r="D1494" s="65" t="s">
        <v>419</v>
      </c>
      <c r="E1494" s="18"/>
      <c r="F1494" s="69" t="s">
        <v>15</v>
      </c>
      <c r="G1494" s="31">
        <v>5.3</v>
      </c>
      <c r="H1494" s="552"/>
      <c r="I1494" s="918">
        <f>G1494*H1494</f>
        <v>0</v>
      </c>
    </row>
    <row r="1495" spans="3:9">
      <c r="C1495" s="16">
        <v>2</v>
      </c>
      <c r="D1495" s="65" t="s">
        <v>212</v>
      </c>
      <c r="E1495" s="18"/>
      <c r="F1495" s="69" t="s">
        <v>56</v>
      </c>
      <c r="G1495" s="31">
        <v>1.1399999999999999</v>
      </c>
      <c r="H1495" s="552"/>
      <c r="I1495" s="918"/>
    </row>
    <row r="1496" spans="3:9">
      <c r="C1496" s="16">
        <v>3</v>
      </c>
      <c r="D1496" s="66" t="s">
        <v>141</v>
      </c>
      <c r="E1496" s="18"/>
      <c r="F1496" s="69" t="s">
        <v>19</v>
      </c>
      <c r="G1496" s="31">
        <v>3.0000000000000001E-3</v>
      </c>
      <c r="H1496" s="552"/>
      <c r="I1496" s="918">
        <f>G1496*H1496</f>
        <v>0</v>
      </c>
    </row>
    <row r="1497" spans="3:9">
      <c r="C1497" s="16">
        <v>4</v>
      </c>
      <c r="D1497" s="70" t="s">
        <v>406</v>
      </c>
      <c r="E1497" s="18"/>
      <c r="F1497" s="71" t="s">
        <v>56</v>
      </c>
      <c r="G1497" s="31">
        <v>2.5000000000000001E-2</v>
      </c>
      <c r="H1497" s="552"/>
      <c r="I1497" s="918">
        <f>G1497*H1497</f>
        <v>0</v>
      </c>
    </row>
    <row r="1498" spans="3:9">
      <c r="C1498" s="1099" t="s">
        <v>18</v>
      </c>
      <c r="D1498" s="1100"/>
      <c r="E1498" s="1100"/>
      <c r="F1498" s="1100"/>
      <c r="G1498" s="1100"/>
      <c r="H1498" s="1101"/>
      <c r="I1498" s="919">
        <f>SUM(I1493:I1497)</f>
        <v>0</v>
      </c>
    </row>
    <row r="1499" spans="3:9">
      <c r="C1499" s="16" t="s">
        <v>9</v>
      </c>
      <c r="D1499" s="17" t="s">
        <v>62</v>
      </c>
      <c r="E1499" s="28"/>
      <c r="F1499" s="15"/>
      <c r="G1499" s="74"/>
      <c r="H1499" s="553"/>
      <c r="I1499" s="917"/>
    </row>
    <row r="1500" spans="3:9">
      <c r="C1500" s="16"/>
      <c r="D1500" s="17"/>
      <c r="E1500" s="18"/>
      <c r="F1500" s="22"/>
      <c r="G1500" s="31"/>
      <c r="H1500" s="529"/>
      <c r="I1500" s="918">
        <f>G1500*H1500</f>
        <v>0</v>
      </c>
    </row>
    <row r="1501" spans="3:9">
      <c r="C1501" s="1099" t="s">
        <v>63</v>
      </c>
      <c r="D1501" s="1100"/>
      <c r="E1501" s="1100"/>
      <c r="F1501" s="1100"/>
      <c r="G1501" s="1100"/>
      <c r="H1501" s="1101"/>
      <c r="I1501" s="919">
        <f>SUM(I1499:I1500)</f>
        <v>0</v>
      </c>
    </row>
    <row r="1502" spans="3:9">
      <c r="C1502" s="310" t="s">
        <v>12</v>
      </c>
      <c r="D1502" s="1102" t="s">
        <v>64</v>
      </c>
      <c r="E1502" s="1103"/>
      <c r="F1502" s="1103"/>
      <c r="G1502" s="1103"/>
      <c r="H1502" s="1104"/>
      <c r="I1502" s="919">
        <f>I1492+I1498+I1501</f>
        <v>0</v>
      </c>
    </row>
    <row r="1503" spans="3:9">
      <c r="C1503" s="312" t="s">
        <v>13</v>
      </c>
      <c r="D1503" s="1105" t="s">
        <v>65</v>
      </c>
      <c r="E1503" s="1106"/>
      <c r="F1503" s="1107"/>
      <c r="G1503" s="75"/>
      <c r="H1503" s="554">
        <f>I1502</f>
        <v>0</v>
      </c>
      <c r="I1503" s="920">
        <f>G1503*H1503</f>
        <v>0</v>
      </c>
    </row>
    <row r="1504" spans="3:9" ht="13.5" thickBot="1">
      <c r="C1504" s="311" t="s">
        <v>14</v>
      </c>
      <c r="D1504" s="1096" t="s">
        <v>73</v>
      </c>
      <c r="E1504" s="1097"/>
      <c r="F1504" s="1097"/>
      <c r="G1504" s="1097"/>
      <c r="H1504" s="1098"/>
      <c r="I1504" s="921">
        <f>I1502+I1503</f>
        <v>0</v>
      </c>
    </row>
    <row r="1505" spans="2:9" ht="12.75" customHeight="1"/>
    <row r="1506" spans="2:9" s="277" customFormat="1" ht="13.5" thickBot="1">
      <c r="B1506" s="283">
        <v>74</v>
      </c>
      <c r="C1506" s="562" t="s">
        <v>405</v>
      </c>
      <c r="E1506" s="280"/>
      <c r="F1506" s="281"/>
      <c r="G1506" s="281"/>
      <c r="H1506" s="549"/>
      <c r="I1506" s="549"/>
    </row>
    <row r="1507" spans="2:9">
      <c r="C1507" s="1069" t="s">
        <v>0</v>
      </c>
      <c r="D1507" s="1071" t="s">
        <v>1</v>
      </c>
      <c r="E1507" s="1073" t="s">
        <v>2</v>
      </c>
      <c r="F1507" s="1071" t="s">
        <v>3</v>
      </c>
      <c r="G1507" s="1077" t="s">
        <v>4</v>
      </c>
      <c r="H1507" s="550" t="s">
        <v>5</v>
      </c>
      <c r="I1507" s="555" t="s">
        <v>59</v>
      </c>
    </row>
    <row r="1508" spans="2:9" ht="13.5" thickBot="1">
      <c r="C1508" s="1070"/>
      <c r="D1508" s="1072"/>
      <c r="E1508" s="1074"/>
      <c r="F1508" s="1072"/>
      <c r="G1508" s="1078"/>
      <c r="H1508" s="551" t="s">
        <v>6</v>
      </c>
      <c r="I1508" s="556" t="s">
        <v>6</v>
      </c>
    </row>
    <row r="1509" spans="2:9" ht="14.1" customHeight="1">
      <c r="C1509" s="16" t="s">
        <v>7</v>
      </c>
      <c r="D1509" s="17" t="s">
        <v>74</v>
      </c>
      <c r="E1509" s="18"/>
      <c r="F1509" s="19"/>
      <c r="G1509" s="19"/>
      <c r="H1509" s="529"/>
      <c r="I1509" s="557"/>
    </row>
    <row r="1510" spans="2:9" ht="14.1" customHeight="1">
      <c r="C1510" s="16">
        <v>1</v>
      </c>
      <c r="D1510" s="17" t="s">
        <v>10</v>
      </c>
      <c r="E1510" s="18"/>
      <c r="F1510" s="19" t="s">
        <v>66</v>
      </c>
      <c r="G1510" s="31">
        <v>0.09</v>
      </c>
      <c r="H1510" s="529"/>
      <c r="I1510" s="917"/>
    </row>
    <row r="1511" spans="2:9" ht="14.1" customHeight="1">
      <c r="C1511" s="16">
        <v>2</v>
      </c>
      <c r="D1511" s="17" t="s">
        <v>143</v>
      </c>
      <c r="E1511" s="18"/>
      <c r="F1511" s="19" t="s">
        <v>66</v>
      </c>
      <c r="G1511" s="31">
        <v>0.09</v>
      </c>
      <c r="H1511" s="529"/>
      <c r="I1511" s="917"/>
    </row>
    <row r="1512" spans="2:9" ht="14.1" customHeight="1">
      <c r="C1512" s="16">
        <v>3</v>
      </c>
      <c r="D1512" s="17" t="s">
        <v>210</v>
      </c>
      <c r="E1512" s="26"/>
      <c r="F1512" s="19" t="s">
        <v>66</v>
      </c>
      <c r="G1512" s="31">
        <v>8.9999999999999993E-3</v>
      </c>
      <c r="H1512" s="529"/>
      <c r="I1512" s="918">
        <f>G1512*H1512</f>
        <v>0</v>
      </c>
    </row>
    <row r="1513" spans="2:9" ht="14.1" customHeight="1">
      <c r="C1513" s="16">
        <v>4</v>
      </c>
      <c r="D1513" s="17" t="s">
        <v>11</v>
      </c>
      <c r="E1513" s="26"/>
      <c r="F1513" s="19" t="s">
        <v>66</v>
      </c>
      <c r="G1513" s="31">
        <v>5.0000000000000001E-3</v>
      </c>
      <c r="H1513" s="529"/>
      <c r="I1513" s="918">
        <f>G1513*H1513</f>
        <v>0</v>
      </c>
    </row>
    <row r="1514" spans="2:9" ht="14.1" customHeight="1">
      <c r="C1514" s="1099" t="s">
        <v>60</v>
      </c>
      <c r="D1514" s="1100"/>
      <c r="E1514" s="1100"/>
      <c r="F1514" s="1100"/>
      <c r="G1514" s="1100"/>
      <c r="H1514" s="1101"/>
      <c r="I1514" s="919">
        <f>SUM(I1509:I1513)</f>
        <v>0</v>
      </c>
    </row>
    <row r="1515" spans="2:9" ht="14.1" customHeight="1">
      <c r="C1515" s="16" t="s">
        <v>8</v>
      </c>
      <c r="D1515" s="17" t="s">
        <v>61</v>
      </c>
      <c r="E1515" s="18"/>
      <c r="F1515" s="22"/>
      <c r="G1515" s="27"/>
      <c r="H1515" s="552"/>
      <c r="I1515" s="917"/>
    </row>
    <row r="1516" spans="2:9" ht="14.1" customHeight="1">
      <c r="C1516" s="16">
        <v>1</v>
      </c>
      <c r="D1516" s="65" t="s">
        <v>419</v>
      </c>
      <c r="E1516" s="18"/>
      <c r="F1516" s="69" t="s">
        <v>15</v>
      </c>
      <c r="G1516" s="31">
        <v>3.53</v>
      </c>
      <c r="H1516" s="552"/>
      <c r="I1516" s="918">
        <f>G1516*H1516</f>
        <v>0</v>
      </c>
    </row>
    <row r="1517" spans="2:9" ht="14.1" customHeight="1">
      <c r="C1517" s="16">
        <v>2</v>
      </c>
      <c r="D1517" s="65" t="s">
        <v>212</v>
      </c>
      <c r="E1517" s="18"/>
      <c r="F1517" s="69" t="s">
        <v>56</v>
      </c>
      <c r="G1517" s="31">
        <v>1.1399999999999999</v>
      </c>
      <c r="H1517" s="552"/>
      <c r="I1517" s="918"/>
    </row>
    <row r="1518" spans="2:9" ht="14.1" customHeight="1">
      <c r="C1518" s="16">
        <v>3</v>
      </c>
      <c r="D1518" s="66" t="s">
        <v>141</v>
      </c>
      <c r="E1518" s="18"/>
      <c r="F1518" s="69" t="s">
        <v>19</v>
      </c>
      <c r="G1518" s="31">
        <v>3.0000000000000001E-3</v>
      </c>
      <c r="H1518" s="552"/>
      <c r="I1518" s="918">
        <f>G1518*H1518</f>
        <v>0</v>
      </c>
    </row>
    <row r="1519" spans="2:9" ht="14.1" customHeight="1">
      <c r="C1519" s="16">
        <v>4</v>
      </c>
      <c r="D1519" s="70" t="s">
        <v>406</v>
      </c>
      <c r="E1519" s="18"/>
      <c r="F1519" s="71" t="s">
        <v>56</v>
      </c>
      <c r="G1519" s="31">
        <v>2.5000000000000001E-2</v>
      </c>
      <c r="H1519" s="552"/>
      <c r="I1519" s="918">
        <f>G1519*H1519</f>
        <v>0</v>
      </c>
    </row>
    <row r="1520" spans="2:9" ht="14.1" customHeight="1">
      <c r="C1520" s="1099" t="s">
        <v>18</v>
      </c>
      <c r="D1520" s="1100"/>
      <c r="E1520" s="1100"/>
      <c r="F1520" s="1100"/>
      <c r="G1520" s="1100"/>
      <c r="H1520" s="1101"/>
      <c r="I1520" s="919">
        <f>SUM(I1515:I1519)</f>
        <v>0</v>
      </c>
    </row>
    <row r="1521" spans="2:9" ht="14.1" customHeight="1">
      <c r="C1521" s="16" t="s">
        <v>9</v>
      </c>
      <c r="D1521" s="17" t="s">
        <v>62</v>
      </c>
      <c r="E1521" s="28"/>
      <c r="F1521" s="15"/>
      <c r="G1521" s="74"/>
      <c r="H1521" s="553"/>
      <c r="I1521" s="917"/>
    </row>
    <row r="1522" spans="2:9" ht="14.1" customHeight="1">
      <c r="C1522" s="16"/>
      <c r="D1522" s="17"/>
      <c r="E1522" s="18"/>
      <c r="F1522" s="22"/>
      <c r="G1522" s="31"/>
      <c r="H1522" s="529"/>
      <c r="I1522" s="918">
        <f>G1522*H1522</f>
        <v>0</v>
      </c>
    </row>
    <row r="1523" spans="2:9" ht="14.1" customHeight="1">
      <c r="C1523" s="1099" t="s">
        <v>63</v>
      </c>
      <c r="D1523" s="1100"/>
      <c r="E1523" s="1100"/>
      <c r="F1523" s="1100"/>
      <c r="G1523" s="1100"/>
      <c r="H1523" s="1101"/>
      <c r="I1523" s="919">
        <f>SUM(I1521:I1522)</f>
        <v>0</v>
      </c>
    </row>
    <row r="1524" spans="2:9" ht="14.1" customHeight="1">
      <c r="C1524" s="310" t="s">
        <v>12</v>
      </c>
      <c r="D1524" s="1102" t="s">
        <v>64</v>
      </c>
      <c r="E1524" s="1103"/>
      <c r="F1524" s="1103"/>
      <c r="G1524" s="1103"/>
      <c r="H1524" s="1104"/>
      <c r="I1524" s="919">
        <f>I1514+I1520+I1523</f>
        <v>0</v>
      </c>
    </row>
    <row r="1525" spans="2:9" ht="14.1" customHeight="1">
      <c r="C1525" s="312" t="s">
        <v>13</v>
      </c>
      <c r="D1525" s="1105" t="s">
        <v>65</v>
      </c>
      <c r="E1525" s="1106"/>
      <c r="F1525" s="1107"/>
      <c r="G1525" s="75"/>
      <c r="H1525" s="554">
        <f>I1524</f>
        <v>0</v>
      </c>
      <c r="I1525" s="920">
        <f>G1525*H1525</f>
        <v>0</v>
      </c>
    </row>
    <row r="1526" spans="2:9" ht="14.1" customHeight="1" thickBot="1">
      <c r="C1526" s="311" t="s">
        <v>14</v>
      </c>
      <c r="D1526" s="1096" t="s">
        <v>73</v>
      </c>
      <c r="E1526" s="1097"/>
      <c r="F1526" s="1097"/>
      <c r="G1526" s="1097"/>
      <c r="H1526" s="1098"/>
      <c r="I1526" s="921">
        <f>I1524+I1525</f>
        <v>0</v>
      </c>
    </row>
    <row r="1528" spans="2:9" ht="13.5" thickBot="1">
      <c r="B1528" s="283">
        <v>75</v>
      </c>
      <c r="C1528" s="977" t="s">
        <v>1651</v>
      </c>
      <c r="D1528" s="977"/>
      <c r="E1528" s="977"/>
      <c r="F1528" s="977"/>
      <c r="G1528" s="977"/>
      <c r="H1528" s="977"/>
      <c r="I1528" s="977"/>
    </row>
    <row r="1529" spans="2:9" ht="12.6" customHeight="1">
      <c r="C1529" s="1069" t="s">
        <v>0</v>
      </c>
      <c r="D1529" s="1071" t="s">
        <v>1</v>
      </c>
      <c r="E1529" s="1073" t="s">
        <v>2</v>
      </c>
      <c r="F1529" s="1071" t="s">
        <v>3</v>
      </c>
      <c r="G1529" s="1077" t="s">
        <v>4</v>
      </c>
      <c r="H1529" s="550" t="s">
        <v>5</v>
      </c>
      <c r="I1529" s="555" t="s">
        <v>59</v>
      </c>
    </row>
    <row r="1530" spans="2:9" ht="12.6" customHeight="1" thickBot="1">
      <c r="C1530" s="1070"/>
      <c r="D1530" s="1072"/>
      <c r="E1530" s="1074"/>
      <c r="F1530" s="1072"/>
      <c r="G1530" s="1078"/>
      <c r="H1530" s="551" t="s">
        <v>6</v>
      </c>
      <c r="I1530" s="556" t="s">
        <v>6</v>
      </c>
    </row>
    <row r="1531" spans="2:9" ht="14.1" customHeight="1">
      <c r="C1531" s="16" t="s">
        <v>7</v>
      </c>
      <c r="D1531" s="17" t="s">
        <v>74</v>
      </c>
      <c r="E1531" s="18"/>
      <c r="F1531" s="19"/>
      <c r="G1531" s="19"/>
      <c r="H1531" s="529"/>
      <c r="I1531" s="557"/>
    </row>
    <row r="1532" spans="2:9" ht="14.1" customHeight="1">
      <c r="C1532" s="16">
        <v>1</v>
      </c>
      <c r="D1532" s="17" t="s">
        <v>10</v>
      </c>
      <c r="E1532" s="18"/>
      <c r="F1532" s="19" t="s">
        <v>66</v>
      </c>
      <c r="G1532" s="31">
        <v>0.7</v>
      </c>
      <c r="H1532" s="529"/>
      <c r="I1532" s="917"/>
    </row>
    <row r="1533" spans="2:9" ht="14.1" customHeight="1">
      <c r="C1533" s="16">
        <v>2</v>
      </c>
      <c r="D1533" s="17" t="s">
        <v>143</v>
      </c>
      <c r="E1533" s="18"/>
      <c r="F1533" s="19" t="s">
        <v>66</v>
      </c>
      <c r="G1533" s="31">
        <v>0.35</v>
      </c>
      <c r="H1533" s="529"/>
      <c r="I1533" s="917"/>
    </row>
    <row r="1534" spans="2:9" ht="14.1" customHeight="1">
      <c r="C1534" s="16">
        <v>3</v>
      </c>
      <c r="D1534" s="17" t="s">
        <v>20</v>
      </c>
      <c r="E1534" s="26"/>
      <c r="F1534" s="19" t="s">
        <v>66</v>
      </c>
      <c r="G1534" s="31">
        <v>3.5000000000000003E-2</v>
      </c>
      <c r="H1534" s="529"/>
      <c r="I1534" s="918">
        <f>G1534*H1534</f>
        <v>0</v>
      </c>
    </row>
    <row r="1535" spans="2:9" ht="14.1" customHeight="1">
      <c r="C1535" s="16">
        <v>4</v>
      </c>
      <c r="D1535" s="17" t="s">
        <v>11</v>
      </c>
      <c r="E1535" s="26"/>
      <c r="F1535" s="19" t="s">
        <v>66</v>
      </c>
      <c r="G1535" s="31">
        <v>3.5000000000000003E-2</v>
      </c>
      <c r="H1535" s="529"/>
      <c r="I1535" s="918">
        <f>G1535*H1535</f>
        <v>0</v>
      </c>
    </row>
    <row r="1536" spans="2:9" ht="14.1" customHeight="1">
      <c r="C1536" s="1099" t="s">
        <v>60</v>
      </c>
      <c r="D1536" s="1100"/>
      <c r="E1536" s="1100"/>
      <c r="F1536" s="1100"/>
      <c r="G1536" s="1100"/>
      <c r="H1536" s="1101"/>
      <c r="I1536" s="919">
        <f>SUM(I1531:I1535)</f>
        <v>0</v>
      </c>
    </row>
    <row r="1537" spans="3:10" ht="14.1" customHeight="1">
      <c r="C1537" s="16" t="s">
        <v>8</v>
      </c>
      <c r="D1537" s="17" t="s">
        <v>61</v>
      </c>
      <c r="E1537" s="18"/>
      <c r="F1537" s="22"/>
      <c r="G1537" s="27"/>
      <c r="H1537" s="552"/>
      <c r="I1537" s="917"/>
    </row>
    <row r="1538" spans="3:10" ht="14.1" customHeight="1">
      <c r="C1538" s="16">
        <v>1</v>
      </c>
      <c r="D1538" s="65" t="s">
        <v>408</v>
      </c>
      <c r="E1538" s="18"/>
      <c r="F1538" s="351" t="s">
        <v>1163</v>
      </c>
      <c r="G1538" s="396">
        <v>3.1</v>
      </c>
      <c r="H1538" s="552"/>
      <c r="I1538" s="918">
        <f>G1538*H1538</f>
        <v>0</v>
      </c>
      <c r="J1538" s="2" t="s">
        <v>1652</v>
      </c>
    </row>
    <row r="1539" spans="3:10" ht="14.1" customHeight="1">
      <c r="C1539" s="16">
        <v>2</v>
      </c>
      <c r="D1539" s="65" t="s">
        <v>212</v>
      </c>
      <c r="E1539" s="18"/>
      <c r="F1539" s="69" t="s">
        <v>56</v>
      </c>
      <c r="G1539" s="31">
        <v>8</v>
      </c>
      <c r="H1539" s="552"/>
      <c r="I1539" s="918"/>
      <c r="J1539" s="2" t="s">
        <v>1653</v>
      </c>
    </row>
    <row r="1540" spans="3:10" ht="14.1" customHeight="1">
      <c r="C1540" s="16">
        <v>3</v>
      </c>
      <c r="D1540" s="66" t="s">
        <v>141</v>
      </c>
      <c r="E1540" s="18"/>
      <c r="F1540" s="69" t="s">
        <v>19</v>
      </c>
      <c r="G1540" s="31">
        <v>4.4999999999999998E-2</v>
      </c>
      <c r="H1540" s="552"/>
      <c r="I1540" s="918">
        <f>G1540*H1540</f>
        <v>0</v>
      </c>
    </row>
    <row r="1541" spans="3:10" ht="14.1" customHeight="1">
      <c r="C1541" s="16">
        <v>4</v>
      </c>
      <c r="D1541" s="70" t="s">
        <v>406</v>
      </c>
      <c r="E1541" s="18"/>
      <c r="F1541" s="71" t="s">
        <v>56</v>
      </c>
      <c r="G1541" s="31">
        <v>1.62</v>
      </c>
      <c r="H1541" s="552"/>
      <c r="I1541" s="918">
        <f>G1541*H1541</f>
        <v>0</v>
      </c>
    </row>
    <row r="1542" spans="3:10" ht="14.1" customHeight="1">
      <c r="C1542" s="1099" t="s">
        <v>18</v>
      </c>
      <c r="D1542" s="1100"/>
      <c r="E1542" s="1100"/>
      <c r="F1542" s="1100"/>
      <c r="G1542" s="1100"/>
      <c r="H1542" s="1101"/>
      <c r="I1542" s="919">
        <f>SUM(I1537:I1541)</f>
        <v>0</v>
      </c>
    </row>
    <row r="1543" spans="3:10" ht="14.1" customHeight="1">
      <c r="C1543" s="16" t="s">
        <v>9</v>
      </c>
      <c r="D1543" s="17" t="s">
        <v>62</v>
      </c>
      <c r="E1543" s="28"/>
      <c r="F1543" s="15"/>
      <c r="G1543" s="74"/>
      <c r="H1543" s="553"/>
      <c r="I1543" s="917"/>
    </row>
    <row r="1544" spans="3:10" ht="13.5" customHeight="1">
      <c r="C1544" s="16"/>
      <c r="D1544" s="17"/>
      <c r="E1544" s="18"/>
      <c r="F1544" s="22"/>
      <c r="G1544" s="31"/>
      <c r="H1544" s="529"/>
      <c r="I1544" s="918">
        <f>G1544*H1544</f>
        <v>0</v>
      </c>
    </row>
    <row r="1545" spans="3:10" ht="14.1" customHeight="1">
      <c r="C1545" s="1099" t="s">
        <v>63</v>
      </c>
      <c r="D1545" s="1100"/>
      <c r="E1545" s="1100"/>
      <c r="F1545" s="1100"/>
      <c r="G1545" s="1100"/>
      <c r="H1545" s="1101"/>
      <c r="I1545" s="919">
        <f>SUM(I1543:I1544)</f>
        <v>0</v>
      </c>
    </row>
    <row r="1546" spans="3:10" ht="14.1" customHeight="1">
      <c r="C1546" s="310" t="s">
        <v>12</v>
      </c>
      <c r="D1546" s="1102" t="s">
        <v>64</v>
      </c>
      <c r="E1546" s="1103"/>
      <c r="F1546" s="1103"/>
      <c r="G1546" s="1103"/>
      <c r="H1546" s="1104"/>
      <c r="I1546" s="919">
        <f>I1536+I1542+I1545</f>
        <v>0</v>
      </c>
    </row>
    <row r="1547" spans="3:10" ht="14.1" customHeight="1">
      <c r="C1547" s="312" t="s">
        <v>13</v>
      </c>
      <c r="D1547" s="1105" t="s">
        <v>65</v>
      </c>
      <c r="E1547" s="1106"/>
      <c r="F1547" s="1107"/>
      <c r="G1547" s="75"/>
      <c r="H1547" s="554">
        <f>I1546</f>
        <v>0</v>
      </c>
      <c r="I1547" s="920">
        <f>G1547*H1547</f>
        <v>0</v>
      </c>
    </row>
    <row r="1548" spans="3:10" ht="14.1" customHeight="1" thickBot="1">
      <c r="C1548" s="311" t="s">
        <v>14</v>
      </c>
      <c r="D1548" s="1096" t="s">
        <v>73</v>
      </c>
      <c r="E1548" s="1097"/>
      <c r="F1548" s="1097"/>
      <c r="G1548" s="1097"/>
      <c r="H1548" s="1098"/>
      <c r="I1548" s="921">
        <f>I1546+I1547</f>
        <v>0</v>
      </c>
    </row>
  </sheetData>
  <mergeCells count="575">
    <mergeCell ref="D1248:H1248"/>
    <mergeCell ref="D1249:F1249"/>
    <mergeCell ref="G1249:H1249"/>
    <mergeCell ref="D1250:H1250"/>
    <mergeCell ref="G1259:H1259"/>
    <mergeCell ref="G1263:H1263"/>
    <mergeCell ref="G1266:H1266"/>
    <mergeCell ref="D1288:H1288"/>
    <mergeCell ref="D1267:H1267"/>
    <mergeCell ref="D1268:F1268"/>
    <mergeCell ref="G1268:H1268"/>
    <mergeCell ref="D1269:H1269"/>
    <mergeCell ref="G1278:H1278"/>
    <mergeCell ref="G1282:H1282"/>
    <mergeCell ref="G1285:H1285"/>
    <mergeCell ref="D1286:H1286"/>
    <mergeCell ref="D1287:F1287"/>
    <mergeCell ref="G1287:H1287"/>
    <mergeCell ref="G1226:H1226"/>
    <mergeCell ref="G1229:H1229"/>
    <mergeCell ref="D1230:H1230"/>
    <mergeCell ref="D1231:F1231"/>
    <mergeCell ref="G1231:H1231"/>
    <mergeCell ref="D1232:H1232"/>
    <mergeCell ref="G1241:H1241"/>
    <mergeCell ref="G1244:H1244"/>
    <mergeCell ref="G1247:H1247"/>
    <mergeCell ref="D1194:H1194"/>
    <mergeCell ref="G1203:H1203"/>
    <mergeCell ref="G1207:H1207"/>
    <mergeCell ref="G1210:H1210"/>
    <mergeCell ref="D1211:H1211"/>
    <mergeCell ref="D1212:F1212"/>
    <mergeCell ref="G1212:H1212"/>
    <mergeCell ref="D1213:H1213"/>
    <mergeCell ref="G1222:H1222"/>
    <mergeCell ref="D1173:H1173"/>
    <mergeCell ref="D1174:F1174"/>
    <mergeCell ref="G1174:H1174"/>
    <mergeCell ref="D1175:H1175"/>
    <mergeCell ref="G1183:H1183"/>
    <mergeCell ref="G1188:H1188"/>
    <mergeCell ref="G1191:H1191"/>
    <mergeCell ref="D1192:H1192"/>
    <mergeCell ref="D1193:F1193"/>
    <mergeCell ref="G1193:H1193"/>
    <mergeCell ref="G1149:H1149"/>
    <mergeCell ref="G1152:H1152"/>
    <mergeCell ref="D1153:H1153"/>
    <mergeCell ref="D1154:F1154"/>
    <mergeCell ref="G1154:H1154"/>
    <mergeCell ref="D1155:H1155"/>
    <mergeCell ref="G1164:H1164"/>
    <mergeCell ref="G1169:H1169"/>
    <mergeCell ref="G1172:H1172"/>
    <mergeCell ref="D1113:H1113"/>
    <mergeCell ref="G1121:H1121"/>
    <mergeCell ref="G1128:H1128"/>
    <mergeCell ref="G1131:H1131"/>
    <mergeCell ref="D1132:H1132"/>
    <mergeCell ref="D1133:F1133"/>
    <mergeCell ref="G1133:H1133"/>
    <mergeCell ref="D1134:H1134"/>
    <mergeCell ref="G1143:H1143"/>
    <mergeCell ref="D1090:H1090"/>
    <mergeCell ref="D1091:F1091"/>
    <mergeCell ref="G1091:H1091"/>
    <mergeCell ref="D1092:H1092"/>
    <mergeCell ref="G1101:H1101"/>
    <mergeCell ref="G1107:H1107"/>
    <mergeCell ref="G1110:H1110"/>
    <mergeCell ref="D1111:H1111"/>
    <mergeCell ref="D1112:F1112"/>
    <mergeCell ref="G1112:H1112"/>
    <mergeCell ref="G1065:H1065"/>
    <mergeCell ref="G1068:H1068"/>
    <mergeCell ref="D1069:H1069"/>
    <mergeCell ref="D1070:F1070"/>
    <mergeCell ref="G1070:H1070"/>
    <mergeCell ref="D1071:H1071"/>
    <mergeCell ref="G1080:H1080"/>
    <mergeCell ref="G1086:H1086"/>
    <mergeCell ref="G1089:H1089"/>
    <mergeCell ref="D1030:H1030"/>
    <mergeCell ref="G1039:H1039"/>
    <mergeCell ref="G1045:H1045"/>
    <mergeCell ref="G1048:H1048"/>
    <mergeCell ref="D1049:H1049"/>
    <mergeCell ref="D1050:F1050"/>
    <mergeCell ref="G1050:H1050"/>
    <mergeCell ref="D1051:H1051"/>
    <mergeCell ref="G1059:H1059"/>
    <mergeCell ref="D1007:H1007"/>
    <mergeCell ref="D1008:F1008"/>
    <mergeCell ref="G1008:H1008"/>
    <mergeCell ref="D1009:H1009"/>
    <mergeCell ref="G1018:H1018"/>
    <mergeCell ref="G1024:H1024"/>
    <mergeCell ref="G1027:H1027"/>
    <mergeCell ref="D1028:H1028"/>
    <mergeCell ref="D1029:F1029"/>
    <mergeCell ref="G1029:H1029"/>
    <mergeCell ref="G982:H982"/>
    <mergeCell ref="G985:H985"/>
    <mergeCell ref="D986:H986"/>
    <mergeCell ref="D987:F987"/>
    <mergeCell ref="G987:H987"/>
    <mergeCell ref="D988:H988"/>
    <mergeCell ref="G997:H997"/>
    <mergeCell ref="G1003:H1003"/>
    <mergeCell ref="G1006:H1006"/>
    <mergeCell ref="D948:H948"/>
    <mergeCell ref="G957:H957"/>
    <mergeCell ref="G961:H961"/>
    <mergeCell ref="G964:H964"/>
    <mergeCell ref="D965:H965"/>
    <mergeCell ref="D966:F966"/>
    <mergeCell ref="G966:H966"/>
    <mergeCell ref="D967:H967"/>
    <mergeCell ref="G976:H976"/>
    <mergeCell ref="D927:H927"/>
    <mergeCell ref="D928:F928"/>
    <mergeCell ref="G928:H928"/>
    <mergeCell ref="D929:H929"/>
    <mergeCell ref="G938:H938"/>
    <mergeCell ref="G942:H942"/>
    <mergeCell ref="G945:H945"/>
    <mergeCell ref="D946:H946"/>
    <mergeCell ref="D947:F947"/>
    <mergeCell ref="G947:H947"/>
    <mergeCell ref="C945:F945"/>
    <mergeCell ref="G904:H904"/>
    <mergeCell ref="G907:H907"/>
    <mergeCell ref="D908:H908"/>
    <mergeCell ref="D909:F909"/>
    <mergeCell ref="G909:H909"/>
    <mergeCell ref="D910:H910"/>
    <mergeCell ref="G919:H919"/>
    <mergeCell ref="G923:H923"/>
    <mergeCell ref="G926:H926"/>
    <mergeCell ref="D871:H871"/>
    <mergeCell ref="G879:H879"/>
    <mergeCell ref="G885:H885"/>
    <mergeCell ref="G888:H888"/>
    <mergeCell ref="D889:H889"/>
    <mergeCell ref="D890:F890"/>
    <mergeCell ref="G890:H890"/>
    <mergeCell ref="D891:H891"/>
    <mergeCell ref="G900:H900"/>
    <mergeCell ref="D848:H848"/>
    <mergeCell ref="D849:F849"/>
    <mergeCell ref="G849:H849"/>
    <mergeCell ref="D850:H850"/>
    <mergeCell ref="G859:H859"/>
    <mergeCell ref="G865:H865"/>
    <mergeCell ref="G868:H868"/>
    <mergeCell ref="D869:H869"/>
    <mergeCell ref="D870:F870"/>
    <mergeCell ref="G870:H870"/>
    <mergeCell ref="G823:H823"/>
    <mergeCell ref="G826:H826"/>
    <mergeCell ref="D827:H827"/>
    <mergeCell ref="D828:F828"/>
    <mergeCell ref="G828:H828"/>
    <mergeCell ref="D829:H829"/>
    <mergeCell ref="G838:H838"/>
    <mergeCell ref="G844:H844"/>
    <mergeCell ref="G847:H847"/>
    <mergeCell ref="D788:H788"/>
    <mergeCell ref="G797:H797"/>
    <mergeCell ref="G803:H803"/>
    <mergeCell ref="G806:H806"/>
    <mergeCell ref="D807:H807"/>
    <mergeCell ref="D808:F808"/>
    <mergeCell ref="G808:H808"/>
    <mergeCell ref="D809:H809"/>
    <mergeCell ref="G817:H817"/>
    <mergeCell ref="D765:H765"/>
    <mergeCell ref="D766:F766"/>
    <mergeCell ref="G766:H766"/>
    <mergeCell ref="D767:H767"/>
    <mergeCell ref="G776:H776"/>
    <mergeCell ref="G782:H782"/>
    <mergeCell ref="G785:H785"/>
    <mergeCell ref="D786:H786"/>
    <mergeCell ref="D787:F787"/>
    <mergeCell ref="G787:H787"/>
    <mergeCell ref="C1514:H1514"/>
    <mergeCell ref="C1520:H1520"/>
    <mergeCell ref="C1523:H1523"/>
    <mergeCell ref="D1524:H1524"/>
    <mergeCell ref="D1525:F1525"/>
    <mergeCell ref="D1526:H1526"/>
    <mergeCell ref="C1492:H1492"/>
    <mergeCell ref="C1498:H1498"/>
    <mergeCell ref="C1501:H1501"/>
    <mergeCell ref="D1502:H1502"/>
    <mergeCell ref="D1503:F1503"/>
    <mergeCell ref="D1504:H1504"/>
    <mergeCell ref="C1507:C1508"/>
    <mergeCell ref="D1507:D1508"/>
    <mergeCell ref="E1507:E1508"/>
    <mergeCell ref="F1507:F1508"/>
    <mergeCell ref="G1507:G1508"/>
    <mergeCell ref="C1485:C1486"/>
    <mergeCell ref="D1485:D1486"/>
    <mergeCell ref="E1485:E1486"/>
    <mergeCell ref="F1485:F1486"/>
    <mergeCell ref="G1485:G1486"/>
    <mergeCell ref="C1470:H1470"/>
    <mergeCell ref="C1476:H1476"/>
    <mergeCell ref="C1479:H1479"/>
    <mergeCell ref="D1480:H1480"/>
    <mergeCell ref="D1481:F1481"/>
    <mergeCell ref="D1482:H1482"/>
    <mergeCell ref="C1463:C1464"/>
    <mergeCell ref="D1463:D1464"/>
    <mergeCell ref="E1463:E1464"/>
    <mergeCell ref="F1463:F1464"/>
    <mergeCell ref="G1463:G1464"/>
    <mergeCell ref="G217:H217"/>
    <mergeCell ref="G223:H223"/>
    <mergeCell ref="G226:H226"/>
    <mergeCell ref="D227:H227"/>
    <mergeCell ref="D228:F228"/>
    <mergeCell ref="G228:H228"/>
    <mergeCell ref="D229:H229"/>
    <mergeCell ref="G238:H238"/>
    <mergeCell ref="G244:H244"/>
    <mergeCell ref="C247:F247"/>
    <mergeCell ref="G247:H247"/>
    <mergeCell ref="D248:H248"/>
    <mergeCell ref="D249:F249"/>
    <mergeCell ref="G287:H287"/>
    <mergeCell ref="G290:H290"/>
    <mergeCell ref="D291:H291"/>
    <mergeCell ref="D292:F292"/>
    <mergeCell ref="G292:H292"/>
    <mergeCell ref="D293:H293"/>
    <mergeCell ref="D1460:H1460"/>
    <mergeCell ref="C1442:C1443"/>
    <mergeCell ref="D1442:D1443"/>
    <mergeCell ref="E1442:E1443"/>
    <mergeCell ref="F1442:F1443"/>
    <mergeCell ref="G1442:G1443"/>
    <mergeCell ref="G266:H266"/>
    <mergeCell ref="G269:H269"/>
    <mergeCell ref="D270:H270"/>
    <mergeCell ref="D271:F271"/>
    <mergeCell ref="G271:H271"/>
    <mergeCell ref="D272:H272"/>
    <mergeCell ref="C1449:H1449"/>
    <mergeCell ref="G302:H302"/>
    <mergeCell ref="G308:H308"/>
    <mergeCell ref="G311:H311"/>
    <mergeCell ref="D312:H312"/>
    <mergeCell ref="C1427:H1427"/>
    <mergeCell ref="C1433:H1433"/>
    <mergeCell ref="C1436:H1436"/>
    <mergeCell ref="D1437:H1437"/>
    <mergeCell ref="D1438:F1438"/>
    <mergeCell ref="D1439:H1439"/>
    <mergeCell ref="D456:H456"/>
    <mergeCell ref="C1454:H1454"/>
    <mergeCell ref="C1457:H1457"/>
    <mergeCell ref="D1458:H1458"/>
    <mergeCell ref="D1459:F1459"/>
    <mergeCell ref="G249:H249"/>
    <mergeCell ref="D250:H250"/>
    <mergeCell ref="D457:F457"/>
    <mergeCell ref="D458:H458"/>
    <mergeCell ref="C1420:C1421"/>
    <mergeCell ref="D1420:D1421"/>
    <mergeCell ref="G600:H600"/>
    <mergeCell ref="D601:H601"/>
    <mergeCell ref="D602:F602"/>
    <mergeCell ref="G602:H602"/>
    <mergeCell ref="D603:H603"/>
    <mergeCell ref="G612:H612"/>
    <mergeCell ref="G618:H618"/>
    <mergeCell ref="G621:H621"/>
    <mergeCell ref="D622:H622"/>
    <mergeCell ref="G702:H702"/>
    <mergeCell ref="D703:H703"/>
    <mergeCell ref="D704:F704"/>
    <mergeCell ref="G704:H704"/>
    <mergeCell ref="D705:H705"/>
    <mergeCell ref="E1420:E1421"/>
    <mergeCell ref="F1420:F1421"/>
    <mergeCell ref="G1420:G1421"/>
    <mergeCell ref="G175:H175"/>
    <mergeCell ref="G181:H181"/>
    <mergeCell ref="G184:H184"/>
    <mergeCell ref="G186:H186"/>
    <mergeCell ref="D313:F313"/>
    <mergeCell ref="G313:H313"/>
    <mergeCell ref="D314:H314"/>
    <mergeCell ref="G323:H323"/>
    <mergeCell ref="G328:H328"/>
    <mergeCell ref="G331:H331"/>
    <mergeCell ref="D332:H332"/>
    <mergeCell ref="D333:F333"/>
    <mergeCell ref="G333:H333"/>
    <mergeCell ref="G426:H426"/>
    <mergeCell ref="G432:H432"/>
    <mergeCell ref="G435:H435"/>
    <mergeCell ref="D436:H436"/>
    <mergeCell ref="D437:F437"/>
    <mergeCell ref="G437:H437"/>
    <mergeCell ref="D438:H438"/>
    <mergeCell ref="G405:H405"/>
    <mergeCell ref="D1371:H1371"/>
    <mergeCell ref="G411:H411"/>
    <mergeCell ref="G414:H414"/>
    <mergeCell ref="D416:F416"/>
    <mergeCell ref="G416:H416"/>
    <mergeCell ref="D417:H417"/>
    <mergeCell ref="D623:F623"/>
    <mergeCell ref="G623:H623"/>
    <mergeCell ref="D624:H624"/>
    <mergeCell ref="G633:H633"/>
    <mergeCell ref="G637:H637"/>
    <mergeCell ref="G640:H640"/>
    <mergeCell ref="D641:H641"/>
    <mergeCell ref="D642:F642"/>
    <mergeCell ref="G642:H642"/>
    <mergeCell ref="D643:H643"/>
    <mergeCell ref="G652:H652"/>
    <mergeCell ref="G658:H658"/>
    <mergeCell ref="G714:H714"/>
    <mergeCell ref="G720:H720"/>
    <mergeCell ref="G723:H723"/>
    <mergeCell ref="D724:H724"/>
    <mergeCell ref="D725:F725"/>
    <mergeCell ref="G725:H725"/>
    <mergeCell ref="C1405:H1405"/>
    <mergeCell ref="C1411:H1411"/>
    <mergeCell ref="E1398:E1399"/>
    <mergeCell ref="F1398:F1399"/>
    <mergeCell ref="G1398:G1399"/>
    <mergeCell ref="C1383:H1383"/>
    <mergeCell ref="C1389:H1389"/>
    <mergeCell ref="C1392:H1392"/>
    <mergeCell ref="C1376:C1377"/>
    <mergeCell ref="D1376:D1377"/>
    <mergeCell ref="E1376:E1377"/>
    <mergeCell ref="F1376:F1377"/>
    <mergeCell ref="G1376:G1377"/>
    <mergeCell ref="C1414:H1414"/>
    <mergeCell ref="D1415:H1415"/>
    <mergeCell ref="D1416:F1416"/>
    <mergeCell ref="D1417:H1417"/>
    <mergeCell ref="G154:H154"/>
    <mergeCell ref="G160:H160"/>
    <mergeCell ref="G163:H163"/>
    <mergeCell ref="D165:F165"/>
    <mergeCell ref="G165:H165"/>
    <mergeCell ref="D166:H166"/>
    <mergeCell ref="G349:H349"/>
    <mergeCell ref="G352:H352"/>
    <mergeCell ref="D353:H353"/>
    <mergeCell ref="G372:H372"/>
    <mergeCell ref="D373:H373"/>
    <mergeCell ref="D374:F374"/>
    <mergeCell ref="G374:H374"/>
    <mergeCell ref="D375:H375"/>
    <mergeCell ref="D395:F395"/>
    <mergeCell ref="D1393:H1393"/>
    <mergeCell ref="D1394:F1394"/>
    <mergeCell ref="D1395:H1395"/>
    <mergeCell ref="C1398:C1399"/>
    <mergeCell ref="D1398:D1399"/>
    <mergeCell ref="E1355:E1356"/>
    <mergeCell ref="D123:H123"/>
    <mergeCell ref="D124:F124"/>
    <mergeCell ref="G124:H124"/>
    <mergeCell ref="D125:H125"/>
    <mergeCell ref="G133:H133"/>
    <mergeCell ref="G139:H139"/>
    <mergeCell ref="G142:H142"/>
    <mergeCell ref="D143:H143"/>
    <mergeCell ref="D144:F144"/>
    <mergeCell ref="G144:H144"/>
    <mergeCell ref="G467:H467"/>
    <mergeCell ref="G473:H473"/>
    <mergeCell ref="G476:H476"/>
    <mergeCell ref="D477:H477"/>
    <mergeCell ref="D478:F478"/>
    <mergeCell ref="G478:H478"/>
    <mergeCell ref="D207:F207"/>
    <mergeCell ref="G207:H207"/>
    <mergeCell ref="D208:H208"/>
    <mergeCell ref="G260:H260"/>
    <mergeCell ref="G281:H281"/>
    <mergeCell ref="D726:H726"/>
    <mergeCell ref="G735:H735"/>
    <mergeCell ref="D206:H206"/>
    <mergeCell ref="D145:H145"/>
    <mergeCell ref="D164:H164"/>
    <mergeCell ref="D354:F354"/>
    <mergeCell ref="G354:H354"/>
    <mergeCell ref="D355:H355"/>
    <mergeCell ref="D1372:F1372"/>
    <mergeCell ref="D1373:H1373"/>
    <mergeCell ref="C1362:H1362"/>
    <mergeCell ref="C1341:H1341"/>
    <mergeCell ref="C1346:H1346"/>
    <mergeCell ref="C1349:H1349"/>
    <mergeCell ref="D1350:H1350"/>
    <mergeCell ref="D1351:F1351"/>
    <mergeCell ref="D1352:H1352"/>
    <mergeCell ref="C1367:H1367"/>
    <mergeCell ref="C1370:H1370"/>
    <mergeCell ref="C1334:C1335"/>
    <mergeCell ref="D1334:D1335"/>
    <mergeCell ref="E1334:E1335"/>
    <mergeCell ref="F1334:F1335"/>
    <mergeCell ref="G1334:G1335"/>
    <mergeCell ref="C1355:C1356"/>
    <mergeCell ref="D1355:D1356"/>
    <mergeCell ref="F1355:F1356"/>
    <mergeCell ref="G1355:G1356"/>
    <mergeCell ref="D103:F103"/>
    <mergeCell ref="G103:H103"/>
    <mergeCell ref="D104:H104"/>
    <mergeCell ref="G82:H82"/>
    <mergeCell ref="D83:H83"/>
    <mergeCell ref="G56:H56"/>
    <mergeCell ref="G59:H59"/>
    <mergeCell ref="D60:H60"/>
    <mergeCell ref="D61:F61"/>
    <mergeCell ref="G61:H61"/>
    <mergeCell ref="D62:H62"/>
    <mergeCell ref="G71:H71"/>
    <mergeCell ref="G77:H77"/>
    <mergeCell ref="G80:H80"/>
    <mergeCell ref="D1331:H1331"/>
    <mergeCell ref="G497:H497"/>
    <mergeCell ref="D498:H498"/>
    <mergeCell ref="D499:F499"/>
    <mergeCell ref="G499:H499"/>
    <mergeCell ref="D500:H500"/>
    <mergeCell ref="G508:H508"/>
    <mergeCell ref="D1312:D1313"/>
    <mergeCell ref="G39:H39"/>
    <mergeCell ref="D40:H40"/>
    <mergeCell ref="D41:F41"/>
    <mergeCell ref="G41:H41"/>
    <mergeCell ref="D42:H42"/>
    <mergeCell ref="G51:H51"/>
    <mergeCell ref="D479:H479"/>
    <mergeCell ref="G488:H488"/>
    <mergeCell ref="G494:H494"/>
    <mergeCell ref="G113:H113"/>
    <mergeCell ref="G119:H119"/>
    <mergeCell ref="G122:H122"/>
    <mergeCell ref="G395:H395"/>
    <mergeCell ref="D396:H396"/>
    <mergeCell ref="G446:H446"/>
    <mergeCell ref="G452:H452"/>
    <mergeCell ref="G455:H455"/>
    <mergeCell ref="G457:H457"/>
    <mergeCell ref="D185:H185"/>
    <mergeCell ref="D186:F186"/>
    <mergeCell ref="D187:H187"/>
    <mergeCell ref="G364:H364"/>
    <mergeCell ref="G369:H369"/>
    <mergeCell ref="D334:H334"/>
    <mergeCell ref="D81:H81"/>
    <mergeCell ref="D82:F82"/>
    <mergeCell ref="G92:H92"/>
    <mergeCell ref="G98:H98"/>
    <mergeCell ref="G101:H101"/>
    <mergeCell ref="D102:H102"/>
    <mergeCell ref="G556:H556"/>
    <mergeCell ref="G559:H559"/>
    <mergeCell ref="D560:H560"/>
    <mergeCell ref="D539:H539"/>
    <mergeCell ref="D540:F540"/>
    <mergeCell ref="G540:H540"/>
    <mergeCell ref="D541:H541"/>
    <mergeCell ref="G535:H535"/>
    <mergeCell ref="G538:H538"/>
    <mergeCell ref="G550:H550"/>
    <mergeCell ref="G344:H344"/>
    <mergeCell ref="G384:H384"/>
    <mergeCell ref="G390:H390"/>
    <mergeCell ref="G393:H393"/>
    <mergeCell ref="D394:H394"/>
    <mergeCell ref="G196:H196"/>
    <mergeCell ref="G202:H202"/>
    <mergeCell ref="G205:H205"/>
    <mergeCell ref="C1328:H1328"/>
    <mergeCell ref="D1329:H1329"/>
    <mergeCell ref="D1330:F1330"/>
    <mergeCell ref="C1312:C1313"/>
    <mergeCell ref="G661:H661"/>
    <mergeCell ref="D662:H662"/>
    <mergeCell ref="D663:F663"/>
    <mergeCell ref="G663:H663"/>
    <mergeCell ref="D664:H664"/>
    <mergeCell ref="G673:H673"/>
    <mergeCell ref="G679:H679"/>
    <mergeCell ref="G682:H682"/>
    <mergeCell ref="D683:H683"/>
    <mergeCell ref="D684:F684"/>
    <mergeCell ref="G684:H684"/>
    <mergeCell ref="D685:H685"/>
    <mergeCell ref="G693:H693"/>
    <mergeCell ref="G699:H699"/>
    <mergeCell ref="F1312:F1313"/>
    <mergeCell ref="G1312:G1313"/>
    <mergeCell ref="C1298:H1298"/>
    <mergeCell ref="C1303:H1303"/>
    <mergeCell ref="E1312:E1313"/>
    <mergeCell ref="C1306:H1306"/>
    <mergeCell ref="G517:H517"/>
    <mergeCell ref="D518:H518"/>
    <mergeCell ref="D519:F519"/>
    <mergeCell ref="G519:H519"/>
    <mergeCell ref="D520:H520"/>
    <mergeCell ref="G529:H529"/>
    <mergeCell ref="D415:H415"/>
    <mergeCell ref="C1319:H1319"/>
    <mergeCell ref="C1325:H1325"/>
    <mergeCell ref="D561:F561"/>
    <mergeCell ref="D1307:H1307"/>
    <mergeCell ref="D1308:F1308"/>
    <mergeCell ref="D1309:H1309"/>
    <mergeCell ref="G561:H561"/>
    <mergeCell ref="C1291:C1292"/>
    <mergeCell ref="G741:H741"/>
    <mergeCell ref="G744:H744"/>
    <mergeCell ref="D745:H745"/>
    <mergeCell ref="D746:F746"/>
    <mergeCell ref="G746:H746"/>
    <mergeCell ref="D747:H747"/>
    <mergeCell ref="G755:H755"/>
    <mergeCell ref="G761:H761"/>
    <mergeCell ref="G764:H764"/>
    <mergeCell ref="D1291:D1292"/>
    <mergeCell ref="E1291:E1292"/>
    <mergeCell ref="F1291:F1292"/>
    <mergeCell ref="G1291:G1292"/>
    <mergeCell ref="G11:H11"/>
    <mergeCell ref="D562:H562"/>
    <mergeCell ref="G570:H570"/>
    <mergeCell ref="G576:H576"/>
    <mergeCell ref="G579:H579"/>
    <mergeCell ref="D580:H580"/>
    <mergeCell ref="D581:F581"/>
    <mergeCell ref="G581:H581"/>
    <mergeCell ref="D582:H582"/>
    <mergeCell ref="G591:H591"/>
    <mergeCell ref="G597:H597"/>
    <mergeCell ref="D22:H22"/>
    <mergeCell ref="G16:H16"/>
    <mergeCell ref="G19:H19"/>
    <mergeCell ref="D20:H20"/>
    <mergeCell ref="D21:F21"/>
    <mergeCell ref="G21:H21"/>
    <mergeCell ref="G31:H31"/>
    <mergeCell ref="G36:H36"/>
    <mergeCell ref="G514:H514"/>
    <mergeCell ref="D1547:F1547"/>
    <mergeCell ref="D1548:H1548"/>
    <mergeCell ref="C1529:C1530"/>
    <mergeCell ref="D1529:D1530"/>
    <mergeCell ref="E1529:E1530"/>
    <mergeCell ref="F1529:F1530"/>
    <mergeCell ref="G1529:G1530"/>
    <mergeCell ref="C1536:H1536"/>
    <mergeCell ref="C1542:H1542"/>
    <mergeCell ref="C1545:H1545"/>
    <mergeCell ref="D1546:H1546"/>
  </mergeCells>
  <printOptions horizontalCentered="1"/>
  <pageMargins left="0.78740157480314965" right="0.31496062992125984" top="0.74803149606299213" bottom="0.74803149606299213" header="0.31496062992125984" footer="0.31496062992125984"/>
  <pageSetup paperSize="258" scale="90" firstPageNumber="75" fitToHeight="0" orientation="portrait" useFirstPageNumber="1" horizontalDpi="4294967293" r:id="rId1"/>
  <headerFooter>
    <oddFooter>&amp;R&amp;P</oddFooter>
  </headerFooter>
  <rowBreaks count="24" manualBreakCount="24">
    <brk id="62" max="16383" man="1"/>
    <brk id="125" max="16383" man="1"/>
    <brk id="187" max="16383" man="1"/>
    <brk id="251" max="16383" man="1"/>
    <brk id="315" max="16383" man="1"/>
    <brk id="376" max="16383" man="1"/>
    <brk id="438" max="16383" man="1"/>
    <brk id="500" max="16383" man="1"/>
    <brk id="562" max="16383" man="1"/>
    <brk id="624" max="16383" man="1"/>
    <brk id="685" max="16383" man="1"/>
    <brk id="747" max="16383" man="1"/>
    <brk id="809" max="16383" man="1"/>
    <brk id="871" max="16383" man="1"/>
    <brk id="930" max="16383" man="1"/>
    <brk id="989" max="16383" man="1"/>
    <brk id="1051" max="16383" man="1"/>
    <brk id="1113" max="16383" man="1"/>
    <brk id="1175" max="16383" man="1"/>
    <brk id="1233" min="1" max="8" man="1"/>
    <brk id="1289" max="16383" man="1"/>
    <brk id="1353" max="16383" man="1"/>
    <brk id="1418" max="16383" man="1"/>
    <brk id="1483" max="16383" man="1"/>
  </rowBreaks>
  <colBreaks count="1" manualBreakCount="1">
    <brk id="9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theme="4" tint="0.59999389629810485"/>
  </sheetPr>
  <dimension ref="B2:I114"/>
  <sheetViews>
    <sheetView showGridLines="0" view="pageBreakPreview" zoomScaleNormal="70" zoomScaleSheetLayoutView="100" workbookViewId="0">
      <selection activeCell="E5" sqref="E5"/>
    </sheetView>
  </sheetViews>
  <sheetFormatPr defaultRowHeight="12.75"/>
  <cols>
    <col min="1" max="1" width="9.140625" style="2"/>
    <col min="2" max="2" width="6.7109375" style="55" customWidth="1"/>
    <col min="3" max="3" width="4.5703125" style="4" customWidth="1"/>
    <col min="4" max="4" width="29.5703125" style="2" customWidth="1"/>
    <col min="5" max="5" width="9.140625" style="3" customWidth="1"/>
    <col min="6" max="6" width="7.5703125" style="4" customWidth="1"/>
    <col min="7" max="7" width="11" style="4" bestFit="1" customWidth="1"/>
    <col min="8" max="8" width="15" style="6" customWidth="1"/>
    <col min="9" max="9" width="11.85546875" style="6" customWidth="1"/>
    <col min="10" max="16384" width="9.140625" style="2"/>
  </cols>
  <sheetData>
    <row r="2" spans="2:9">
      <c r="B2" s="965" t="s">
        <v>1628</v>
      </c>
      <c r="C2" s="63" t="str">
        <f>REKAP!C283</f>
        <v>PEKERJAAN CONBLOCK</v>
      </c>
    </row>
    <row r="3" spans="2:9" s="597" customFormat="1" ht="15.95" customHeight="1" thickBot="1">
      <c r="B3" s="771">
        <v>1</v>
      </c>
      <c r="C3" s="572" t="s">
        <v>1270</v>
      </c>
    </row>
    <row r="4" spans="2:9" s="580" customFormat="1" ht="35.1" customHeight="1" thickBot="1">
      <c r="B4" s="966"/>
      <c r="C4" s="334" t="s">
        <v>840</v>
      </c>
      <c r="D4" s="335" t="s">
        <v>841</v>
      </c>
      <c r="E4" s="335" t="s">
        <v>842</v>
      </c>
      <c r="F4" s="335" t="s">
        <v>843</v>
      </c>
      <c r="G4" s="335" t="s">
        <v>844</v>
      </c>
      <c r="H4" s="431" t="s">
        <v>845</v>
      </c>
      <c r="I4" s="337" t="s">
        <v>846</v>
      </c>
    </row>
    <row r="5" spans="2:9" s="580" customFormat="1" ht="14.1" customHeight="1">
      <c r="B5" s="966"/>
      <c r="C5" s="543" t="s">
        <v>7</v>
      </c>
      <c r="D5" s="289" t="s">
        <v>810</v>
      </c>
      <c r="E5" s="299"/>
      <c r="F5" s="299"/>
      <c r="G5" s="299"/>
      <c r="H5" s="299"/>
      <c r="I5" s="300"/>
    </row>
    <row r="6" spans="2:9" s="580" customFormat="1" ht="14.1" customHeight="1">
      <c r="B6" s="966"/>
      <c r="C6" s="753"/>
      <c r="D6" s="289" t="s">
        <v>10</v>
      </c>
      <c r="E6" s="285" t="s">
        <v>16</v>
      </c>
      <c r="F6" s="285" t="s">
        <v>726</v>
      </c>
      <c r="G6" s="749">
        <v>0.25</v>
      </c>
      <c r="H6" s="299"/>
      <c r="I6" s="300"/>
    </row>
    <row r="7" spans="2:9" s="580" customFormat="1" ht="14.1" customHeight="1">
      <c r="B7" s="966"/>
      <c r="C7" s="753"/>
      <c r="D7" s="289" t="s">
        <v>143</v>
      </c>
      <c r="E7" s="285" t="s">
        <v>22</v>
      </c>
      <c r="F7" s="285" t="s">
        <v>726</v>
      </c>
      <c r="G7" s="749">
        <v>0.5</v>
      </c>
      <c r="H7" s="299"/>
      <c r="I7" s="300"/>
    </row>
    <row r="8" spans="2:9" s="580" customFormat="1" ht="14.1" customHeight="1">
      <c r="B8" s="966"/>
      <c r="C8" s="753"/>
      <c r="D8" s="289" t="s">
        <v>20</v>
      </c>
      <c r="E8" s="285" t="s">
        <v>21</v>
      </c>
      <c r="F8" s="285" t="s">
        <v>726</v>
      </c>
      <c r="G8" s="749">
        <v>0.05</v>
      </c>
      <c r="H8" s="299"/>
      <c r="I8" s="300"/>
    </row>
    <row r="9" spans="2:9" s="580" customFormat="1" ht="14.1" customHeight="1">
      <c r="B9" s="966"/>
      <c r="C9" s="754"/>
      <c r="D9" s="177" t="s">
        <v>11</v>
      </c>
      <c r="E9" s="287" t="s">
        <v>17</v>
      </c>
      <c r="F9" s="287" t="s">
        <v>726</v>
      </c>
      <c r="G9" s="622">
        <v>1.2999999999999999E-3</v>
      </c>
      <c r="H9" s="302"/>
      <c r="I9" s="303"/>
    </row>
    <row r="10" spans="2:9" s="580" customFormat="1" ht="14.1" customHeight="1">
      <c r="B10" s="966"/>
      <c r="C10" s="755"/>
      <c r="D10" s="316"/>
      <c r="E10" s="316"/>
      <c r="F10" s="316"/>
      <c r="G10" s="1155" t="s">
        <v>727</v>
      </c>
      <c r="H10" s="1156"/>
      <c r="I10" s="631"/>
    </row>
    <row r="11" spans="2:9" s="580" customFormat="1" ht="14.1" customHeight="1">
      <c r="B11" s="966"/>
      <c r="C11" s="292" t="s">
        <v>8</v>
      </c>
      <c r="D11" s="293" t="s">
        <v>811</v>
      </c>
      <c r="E11" s="296"/>
      <c r="F11" s="296"/>
      <c r="G11" s="296"/>
      <c r="H11" s="296"/>
      <c r="I11" s="297"/>
    </row>
    <row r="12" spans="2:9" s="580" customFormat="1" ht="14.1" customHeight="1">
      <c r="B12" s="966"/>
      <c r="C12" s="753"/>
      <c r="D12" s="299" t="s">
        <v>1264</v>
      </c>
      <c r="E12" s="299"/>
      <c r="F12" s="780" t="s">
        <v>1271</v>
      </c>
      <c r="G12" s="749">
        <v>1.01</v>
      </c>
      <c r="H12" s="299"/>
      <c r="I12" s="300"/>
    </row>
    <row r="13" spans="2:9" s="580" customFormat="1" ht="14.1" customHeight="1">
      <c r="B13" s="966"/>
      <c r="C13" s="754"/>
      <c r="D13" s="177" t="s">
        <v>144</v>
      </c>
      <c r="E13" s="302"/>
      <c r="F13" s="781" t="s">
        <v>1201</v>
      </c>
      <c r="G13" s="617">
        <v>0.05</v>
      </c>
      <c r="H13" s="302"/>
      <c r="I13" s="303"/>
    </row>
    <row r="14" spans="2:9" s="580" customFormat="1" ht="14.1" customHeight="1">
      <c r="B14" s="966"/>
      <c r="C14" s="755"/>
      <c r="D14" s="316"/>
      <c r="E14" s="316"/>
      <c r="F14" s="316"/>
      <c r="G14" s="1155" t="s">
        <v>728</v>
      </c>
      <c r="H14" s="1156"/>
      <c r="I14" s="631"/>
    </row>
    <row r="15" spans="2:9" s="580" customFormat="1" ht="14.1" customHeight="1">
      <c r="B15" s="966"/>
      <c r="C15" s="292" t="s">
        <v>9</v>
      </c>
      <c r="D15" s="293" t="s">
        <v>815</v>
      </c>
      <c r="E15" s="296"/>
      <c r="F15" s="296"/>
      <c r="G15" s="296"/>
      <c r="H15" s="296"/>
      <c r="I15" s="297"/>
    </row>
    <row r="16" spans="2:9" s="580" customFormat="1" ht="14.1" customHeight="1">
      <c r="B16" s="966"/>
      <c r="C16" s="754"/>
      <c r="D16" s="177" t="s">
        <v>62</v>
      </c>
      <c r="E16" s="302"/>
      <c r="F16" s="287" t="s">
        <v>1012</v>
      </c>
      <c r="G16" s="626">
        <v>10</v>
      </c>
      <c r="H16" s="302"/>
      <c r="I16" s="303"/>
    </row>
    <row r="17" spans="2:9" s="580" customFormat="1" ht="14.1" customHeight="1">
      <c r="B17" s="966"/>
      <c r="C17" s="1132"/>
      <c r="D17" s="1133"/>
      <c r="E17" s="1133"/>
      <c r="F17" s="1165"/>
      <c r="G17" s="1254" t="s">
        <v>729</v>
      </c>
      <c r="H17" s="1254"/>
      <c r="I17" s="584"/>
    </row>
    <row r="18" spans="2:9" s="580" customFormat="1" ht="14.1" customHeight="1">
      <c r="B18" s="966"/>
      <c r="C18" s="290" t="s">
        <v>12</v>
      </c>
      <c r="D18" s="1113" t="s">
        <v>730</v>
      </c>
      <c r="E18" s="1114"/>
      <c r="F18" s="1114"/>
      <c r="G18" s="1114"/>
      <c r="H18" s="1114"/>
      <c r="I18" s="306"/>
    </row>
    <row r="19" spans="2:9" s="580" customFormat="1" ht="14.1" customHeight="1" thickBot="1">
      <c r="B19" s="966"/>
      <c r="C19" s="291" t="s">
        <v>13</v>
      </c>
      <c r="D19" s="1263" t="s">
        <v>816</v>
      </c>
      <c r="E19" s="1264"/>
      <c r="F19" s="1265"/>
      <c r="G19" s="1119" t="s">
        <v>740</v>
      </c>
      <c r="H19" s="1120"/>
      <c r="I19" s="307"/>
    </row>
    <row r="20" spans="2:9" s="580" customFormat="1" ht="14.1" customHeight="1">
      <c r="B20" s="966"/>
    </row>
    <row r="21" spans="2:9" s="597" customFormat="1" ht="15.95" customHeight="1" thickBot="1">
      <c r="B21" s="771">
        <v>2</v>
      </c>
      <c r="C21" s="572" t="s">
        <v>1272</v>
      </c>
    </row>
    <row r="22" spans="2:9" s="580" customFormat="1" ht="35.1" customHeight="1" thickBot="1">
      <c r="B22" s="966"/>
      <c r="C22" s="334" t="s">
        <v>840</v>
      </c>
      <c r="D22" s="335" t="s">
        <v>841</v>
      </c>
      <c r="E22" s="335" t="s">
        <v>842</v>
      </c>
      <c r="F22" s="335" t="s">
        <v>843</v>
      </c>
      <c r="G22" s="335" t="s">
        <v>844</v>
      </c>
      <c r="H22" s="431" t="s">
        <v>845</v>
      </c>
      <c r="I22" s="337" t="s">
        <v>846</v>
      </c>
    </row>
    <row r="23" spans="2:9" s="580" customFormat="1" ht="14.1" customHeight="1">
      <c r="B23" s="966"/>
      <c r="C23" s="543" t="s">
        <v>7</v>
      </c>
      <c r="D23" s="289" t="s">
        <v>810</v>
      </c>
      <c r="E23" s="299"/>
      <c r="F23" s="299"/>
      <c r="G23" s="299"/>
      <c r="H23" s="299"/>
      <c r="I23" s="300"/>
    </row>
    <row r="24" spans="2:9" s="580" customFormat="1" ht="14.1" customHeight="1">
      <c r="B24" s="966"/>
      <c r="C24" s="753"/>
      <c r="D24" s="289" t="s">
        <v>10</v>
      </c>
      <c r="E24" s="285" t="s">
        <v>16</v>
      </c>
      <c r="F24" s="285" t="s">
        <v>726</v>
      </c>
      <c r="G24" s="749">
        <v>0.5</v>
      </c>
      <c r="H24" s="299"/>
      <c r="I24" s="300"/>
    </row>
    <row r="25" spans="2:9" s="580" customFormat="1" ht="14.1" customHeight="1">
      <c r="B25" s="966"/>
      <c r="C25" s="753"/>
      <c r="D25" s="289" t="s">
        <v>143</v>
      </c>
      <c r="E25" s="285" t="s">
        <v>22</v>
      </c>
      <c r="F25" s="285" t="s">
        <v>726</v>
      </c>
      <c r="G25" s="749">
        <v>0.5</v>
      </c>
      <c r="H25" s="299"/>
      <c r="I25" s="300"/>
    </row>
    <row r="26" spans="2:9" s="580" customFormat="1" ht="14.1" customHeight="1">
      <c r="B26" s="966"/>
      <c r="C26" s="753"/>
      <c r="D26" s="289" t="s">
        <v>20</v>
      </c>
      <c r="E26" s="285" t="s">
        <v>21</v>
      </c>
      <c r="F26" s="285" t="s">
        <v>726</v>
      </c>
      <c r="G26" s="749">
        <v>0.05</v>
      </c>
      <c r="H26" s="299"/>
      <c r="I26" s="300"/>
    </row>
    <row r="27" spans="2:9" s="580" customFormat="1" ht="14.1" customHeight="1">
      <c r="B27" s="966"/>
      <c r="C27" s="754"/>
      <c r="D27" s="177" t="s">
        <v>11</v>
      </c>
      <c r="E27" s="287" t="s">
        <v>17</v>
      </c>
      <c r="F27" s="287" t="s">
        <v>726</v>
      </c>
      <c r="G27" s="622">
        <v>1.2999999999999999E-3</v>
      </c>
      <c r="H27" s="302"/>
      <c r="I27" s="303"/>
    </row>
    <row r="28" spans="2:9" s="580" customFormat="1" ht="14.1" customHeight="1">
      <c r="B28" s="966"/>
      <c r="C28" s="755"/>
      <c r="D28" s="316"/>
      <c r="E28" s="316"/>
      <c r="F28" s="316"/>
      <c r="G28" s="1155" t="s">
        <v>727</v>
      </c>
      <c r="H28" s="1156"/>
      <c r="I28" s="631"/>
    </row>
    <row r="29" spans="2:9" s="580" customFormat="1" ht="14.1" customHeight="1">
      <c r="B29" s="966"/>
      <c r="C29" s="292" t="s">
        <v>8</v>
      </c>
      <c r="D29" s="293" t="s">
        <v>811</v>
      </c>
      <c r="E29" s="296"/>
      <c r="F29" s="296"/>
      <c r="G29" s="296"/>
      <c r="H29" s="296"/>
      <c r="I29" s="297"/>
    </row>
    <row r="30" spans="2:9" s="580" customFormat="1" ht="14.1" customHeight="1">
      <c r="B30" s="966"/>
      <c r="C30" s="753"/>
      <c r="D30" s="299" t="s">
        <v>1265</v>
      </c>
      <c r="E30" s="299"/>
      <c r="F30" s="581" t="s">
        <v>1271</v>
      </c>
      <c r="G30" s="749">
        <v>1.01</v>
      </c>
      <c r="H30" s="299"/>
      <c r="I30" s="300"/>
    </row>
    <row r="31" spans="2:9" s="580" customFormat="1" ht="14.1" customHeight="1">
      <c r="B31" s="966"/>
      <c r="C31" s="754"/>
      <c r="D31" s="177" t="s">
        <v>144</v>
      </c>
      <c r="E31" s="302"/>
      <c r="F31" s="586" t="s">
        <v>1201</v>
      </c>
      <c r="G31" s="913">
        <f>G13</f>
        <v>0.05</v>
      </c>
      <c r="H31" s="302"/>
      <c r="I31" s="303"/>
    </row>
    <row r="32" spans="2:9" s="580" customFormat="1" ht="14.1" customHeight="1">
      <c r="B32" s="966"/>
      <c r="C32" s="755"/>
      <c r="D32" s="316"/>
      <c r="E32" s="316"/>
      <c r="F32" s="316"/>
      <c r="G32" s="1155" t="s">
        <v>728</v>
      </c>
      <c r="H32" s="1156"/>
      <c r="I32" s="631"/>
    </row>
    <row r="33" spans="2:9" s="580" customFormat="1" ht="14.1" customHeight="1">
      <c r="B33" s="966"/>
      <c r="C33" s="292" t="s">
        <v>9</v>
      </c>
      <c r="D33" s="293" t="s">
        <v>815</v>
      </c>
      <c r="E33" s="296"/>
      <c r="F33" s="296"/>
      <c r="G33" s="296"/>
      <c r="H33" s="296"/>
      <c r="I33" s="545"/>
    </row>
    <row r="34" spans="2:9" s="580" customFormat="1" ht="14.1" customHeight="1">
      <c r="B34" s="966"/>
      <c r="C34" s="754"/>
      <c r="D34" s="177" t="s">
        <v>62</v>
      </c>
      <c r="E34" s="302"/>
      <c r="F34" s="287" t="s">
        <v>1012</v>
      </c>
      <c r="G34" s="626">
        <v>10</v>
      </c>
      <c r="H34" s="302"/>
      <c r="I34" s="546"/>
    </row>
    <row r="35" spans="2:9" s="580" customFormat="1" ht="14.1" customHeight="1">
      <c r="B35" s="966"/>
      <c r="C35" s="932"/>
      <c r="D35" s="316"/>
      <c r="E35" s="316"/>
      <c r="F35" s="316"/>
      <c r="G35" s="1204" t="s">
        <v>729</v>
      </c>
      <c r="H35" s="1266"/>
      <c r="I35" s="631"/>
    </row>
    <row r="36" spans="2:9" s="580" customFormat="1" ht="14.1" customHeight="1">
      <c r="B36" s="966"/>
      <c r="C36" s="933" t="s">
        <v>12</v>
      </c>
      <c r="D36" s="1160" t="s">
        <v>730</v>
      </c>
      <c r="E36" s="1160"/>
      <c r="F36" s="1160"/>
      <c r="G36" s="1160"/>
      <c r="H36" s="1267"/>
      <c r="I36" s="677"/>
    </row>
    <row r="37" spans="2:9" s="580" customFormat="1" ht="14.1" customHeight="1" thickBot="1">
      <c r="B37" s="966"/>
      <c r="C37" s="291" t="s">
        <v>13</v>
      </c>
      <c r="D37" s="1263" t="s">
        <v>816</v>
      </c>
      <c r="E37" s="1264"/>
      <c r="F37" s="1265"/>
      <c r="G37" s="1119" t="s">
        <v>740</v>
      </c>
      <c r="H37" s="1120"/>
      <c r="I37" s="307"/>
    </row>
    <row r="38" spans="2:9" s="580" customFormat="1" ht="14.1" customHeight="1">
      <c r="B38" s="966"/>
      <c r="C38" s="747"/>
      <c r="D38" s="768"/>
      <c r="E38" s="768"/>
      <c r="F38" s="768"/>
      <c r="G38" s="746"/>
      <c r="H38" s="746"/>
      <c r="I38" s="316"/>
    </row>
    <row r="39" spans="2:9" s="597" customFormat="1" ht="15.95" customHeight="1" thickBot="1">
      <c r="B39" s="771">
        <v>3</v>
      </c>
      <c r="C39" s="572" t="s">
        <v>1273</v>
      </c>
    </row>
    <row r="40" spans="2:9" s="580" customFormat="1" ht="35.1" customHeight="1" thickBot="1">
      <c r="B40" s="966"/>
      <c r="C40" s="334" t="s">
        <v>840</v>
      </c>
      <c r="D40" s="335" t="s">
        <v>841</v>
      </c>
      <c r="E40" s="335" t="s">
        <v>842</v>
      </c>
      <c r="F40" s="335" t="s">
        <v>843</v>
      </c>
      <c r="G40" s="335" t="s">
        <v>844</v>
      </c>
      <c r="H40" s="431" t="s">
        <v>845</v>
      </c>
      <c r="I40" s="337" t="s">
        <v>846</v>
      </c>
    </row>
    <row r="41" spans="2:9" s="580" customFormat="1" ht="14.1" customHeight="1">
      <c r="B41" s="966"/>
      <c r="C41" s="543" t="s">
        <v>7</v>
      </c>
      <c r="D41" s="289" t="s">
        <v>810</v>
      </c>
      <c r="E41" s="299"/>
      <c r="F41" s="299"/>
      <c r="G41" s="299"/>
      <c r="H41" s="299"/>
      <c r="I41" s="300"/>
    </row>
    <row r="42" spans="2:9" s="580" customFormat="1" ht="14.1" customHeight="1">
      <c r="B42" s="966"/>
      <c r="C42" s="753"/>
      <c r="D42" s="289" t="s">
        <v>10</v>
      </c>
      <c r="E42" s="285" t="s">
        <v>16</v>
      </c>
      <c r="F42" s="285" t="s">
        <v>726</v>
      </c>
      <c r="G42" s="749">
        <v>0.25</v>
      </c>
      <c r="H42" s="299"/>
      <c r="I42" s="300"/>
    </row>
    <row r="43" spans="2:9" s="580" customFormat="1" ht="14.1" customHeight="1">
      <c r="B43" s="966"/>
      <c r="C43" s="753"/>
      <c r="D43" s="289" t="s">
        <v>143</v>
      </c>
      <c r="E43" s="285" t="s">
        <v>22</v>
      </c>
      <c r="F43" s="285" t="s">
        <v>726</v>
      </c>
      <c r="G43" s="749">
        <v>0.5</v>
      </c>
      <c r="H43" s="299"/>
      <c r="I43" s="300"/>
    </row>
    <row r="44" spans="2:9" s="580" customFormat="1" ht="14.1" customHeight="1">
      <c r="B44" s="966"/>
      <c r="C44" s="753"/>
      <c r="D44" s="289" t="s">
        <v>20</v>
      </c>
      <c r="E44" s="285" t="s">
        <v>21</v>
      </c>
      <c r="F44" s="285" t="s">
        <v>726</v>
      </c>
      <c r="G44" s="749">
        <v>0.05</v>
      </c>
      <c r="H44" s="299"/>
      <c r="I44" s="300"/>
    </row>
    <row r="45" spans="2:9" s="580" customFormat="1" ht="14.1" customHeight="1">
      <c r="B45" s="966"/>
      <c r="C45" s="754"/>
      <c r="D45" s="177" t="s">
        <v>11</v>
      </c>
      <c r="E45" s="287" t="s">
        <v>17</v>
      </c>
      <c r="F45" s="287" t="s">
        <v>726</v>
      </c>
      <c r="G45" s="622">
        <v>1.2999999999999999E-3</v>
      </c>
      <c r="H45" s="302"/>
      <c r="I45" s="303"/>
    </row>
    <row r="46" spans="2:9" s="580" customFormat="1" ht="14.1" customHeight="1">
      <c r="B46" s="966"/>
      <c r="C46" s="755"/>
      <c r="D46" s="316"/>
      <c r="E46" s="316"/>
      <c r="F46" s="316"/>
      <c r="G46" s="1155" t="s">
        <v>727</v>
      </c>
      <c r="H46" s="1156"/>
      <c r="I46" s="631"/>
    </row>
    <row r="47" spans="2:9" s="580" customFormat="1" ht="14.1" customHeight="1">
      <c r="B47" s="966"/>
      <c r="C47" s="292" t="s">
        <v>8</v>
      </c>
      <c r="D47" s="293" t="s">
        <v>811</v>
      </c>
      <c r="E47" s="296"/>
      <c r="F47" s="296"/>
      <c r="G47" s="296"/>
      <c r="H47" s="296"/>
      <c r="I47" s="297"/>
    </row>
    <row r="48" spans="2:9" s="580" customFormat="1" ht="14.1" customHeight="1">
      <c r="B48" s="966"/>
      <c r="C48" s="753"/>
      <c r="D48" s="299" t="s">
        <v>1266</v>
      </c>
      <c r="E48" s="299"/>
      <c r="F48" s="581" t="s">
        <v>1271</v>
      </c>
      <c r="G48" s="749">
        <v>1.01</v>
      </c>
      <c r="H48" s="299"/>
      <c r="I48" s="300"/>
    </row>
    <row r="49" spans="2:9" s="580" customFormat="1" ht="14.1" customHeight="1">
      <c r="B49" s="966"/>
      <c r="C49" s="754"/>
      <c r="D49" s="177" t="s">
        <v>144</v>
      </c>
      <c r="E49" s="302"/>
      <c r="F49" s="586" t="s">
        <v>1201</v>
      </c>
      <c r="G49" s="617">
        <v>0.05</v>
      </c>
      <c r="H49" s="302"/>
      <c r="I49" s="303"/>
    </row>
    <row r="50" spans="2:9" s="580" customFormat="1" ht="14.1" customHeight="1">
      <c r="B50" s="966"/>
      <c r="C50" s="755"/>
      <c r="D50" s="316"/>
      <c r="E50" s="316"/>
      <c r="F50" s="316"/>
      <c r="G50" s="1155" t="s">
        <v>728</v>
      </c>
      <c r="H50" s="1156"/>
      <c r="I50" s="631"/>
    </row>
    <row r="51" spans="2:9" s="580" customFormat="1" ht="14.1" customHeight="1">
      <c r="B51" s="966"/>
      <c r="C51" s="292" t="s">
        <v>9</v>
      </c>
      <c r="D51" s="293" t="s">
        <v>815</v>
      </c>
      <c r="E51" s="296"/>
      <c r="F51" s="296"/>
      <c r="G51" s="296"/>
      <c r="H51" s="296"/>
      <c r="I51" s="297"/>
    </row>
    <row r="52" spans="2:9" s="580" customFormat="1" ht="14.1" customHeight="1">
      <c r="B52" s="966"/>
      <c r="C52" s="754"/>
      <c r="D52" s="177" t="s">
        <v>62</v>
      </c>
      <c r="E52" s="302"/>
      <c r="F52" s="287" t="s">
        <v>1012</v>
      </c>
      <c r="G52" s="626">
        <v>10</v>
      </c>
      <c r="H52" s="302"/>
      <c r="I52" s="303"/>
    </row>
    <row r="53" spans="2:9" s="580" customFormat="1" ht="14.1" customHeight="1">
      <c r="B53" s="966"/>
      <c r="C53" s="757"/>
      <c r="D53" s="582"/>
      <c r="E53" s="582"/>
      <c r="F53" s="582"/>
      <c r="G53" s="1268" t="s">
        <v>729</v>
      </c>
      <c r="H53" s="1164"/>
      <c r="I53" s="631"/>
    </row>
    <row r="54" spans="2:9" s="580" customFormat="1" ht="14.1" customHeight="1">
      <c r="B54" s="966"/>
      <c r="C54" s="756"/>
      <c r="D54" s="630"/>
      <c r="E54" s="630"/>
      <c r="F54" s="630"/>
      <c r="G54" s="630"/>
      <c r="H54" s="588"/>
      <c r="I54" s="305"/>
    </row>
    <row r="55" spans="2:9" s="580" customFormat="1" ht="14.1" customHeight="1">
      <c r="B55" s="966"/>
      <c r="C55" s="290" t="s">
        <v>12</v>
      </c>
      <c r="D55" s="1113" t="s">
        <v>730</v>
      </c>
      <c r="E55" s="1114"/>
      <c r="F55" s="1114"/>
      <c r="G55" s="1114"/>
      <c r="H55" s="1114"/>
      <c r="I55" s="306"/>
    </row>
    <row r="56" spans="2:9" s="580" customFormat="1" ht="14.1" customHeight="1" thickBot="1">
      <c r="B56" s="966"/>
      <c r="C56" s="291" t="s">
        <v>13</v>
      </c>
      <c r="D56" s="1263" t="s">
        <v>816</v>
      </c>
      <c r="E56" s="1264"/>
      <c r="F56" s="1265"/>
      <c r="G56" s="1119" t="s">
        <v>740</v>
      </c>
      <c r="H56" s="1120"/>
      <c r="I56" s="307"/>
    </row>
    <row r="57" spans="2:9" s="580" customFormat="1" ht="14.1" customHeight="1">
      <c r="B57" s="966"/>
    </row>
    <row r="58" spans="2:9" s="771" customFormat="1" ht="15.95" customHeight="1" thickBot="1">
      <c r="B58" s="771">
        <v>4</v>
      </c>
      <c r="C58" s="772" t="s">
        <v>1274</v>
      </c>
    </row>
    <row r="59" spans="2:9" s="309" customFormat="1" ht="32.1" customHeight="1" thickBot="1">
      <c r="B59" s="797"/>
      <c r="C59" s="334" t="s">
        <v>840</v>
      </c>
      <c r="D59" s="335" t="s">
        <v>841</v>
      </c>
      <c r="E59" s="769" t="s">
        <v>842</v>
      </c>
      <c r="F59" s="335" t="s">
        <v>843</v>
      </c>
      <c r="G59" s="335" t="s">
        <v>844</v>
      </c>
      <c r="H59" s="431" t="s">
        <v>845</v>
      </c>
      <c r="I59" s="337" t="s">
        <v>846</v>
      </c>
    </row>
    <row r="60" spans="2:9" s="580" customFormat="1" ht="14.1" customHeight="1">
      <c r="B60" s="966"/>
      <c r="C60" s="543" t="s">
        <v>7</v>
      </c>
      <c r="D60" s="289" t="s">
        <v>810</v>
      </c>
      <c r="E60" s="299"/>
      <c r="F60" s="299"/>
      <c r="G60" s="299"/>
      <c r="H60" s="299"/>
      <c r="I60" s="300"/>
    </row>
    <row r="61" spans="2:9" s="580" customFormat="1" ht="14.1" customHeight="1">
      <c r="B61" s="966"/>
      <c r="C61" s="753"/>
      <c r="D61" s="289" t="s">
        <v>10</v>
      </c>
      <c r="E61" s="289" t="s">
        <v>16</v>
      </c>
      <c r="F61" s="285" t="s">
        <v>726</v>
      </c>
      <c r="G61" s="285" t="s">
        <v>1267</v>
      </c>
      <c r="H61" s="299"/>
      <c r="I61" s="300"/>
    </row>
    <row r="62" spans="2:9" s="580" customFormat="1" ht="14.1" customHeight="1">
      <c r="B62" s="966"/>
      <c r="C62" s="753"/>
      <c r="D62" s="289" t="s">
        <v>143</v>
      </c>
      <c r="E62" s="289" t="s">
        <v>22</v>
      </c>
      <c r="F62" s="285" t="s">
        <v>726</v>
      </c>
      <c r="G62" s="285" t="s">
        <v>1267</v>
      </c>
      <c r="H62" s="299"/>
      <c r="I62" s="300"/>
    </row>
    <row r="63" spans="2:9" s="580" customFormat="1" ht="14.1" customHeight="1">
      <c r="B63" s="966"/>
      <c r="C63" s="753"/>
      <c r="D63" s="289" t="s">
        <v>20</v>
      </c>
      <c r="E63" s="289" t="s">
        <v>21</v>
      </c>
      <c r="F63" s="285" t="s">
        <v>726</v>
      </c>
      <c r="G63" s="285" t="s">
        <v>1268</v>
      </c>
      <c r="H63" s="299"/>
      <c r="I63" s="300"/>
    </row>
    <row r="64" spans="2:9" s="580" customFormat="1" ht="14.1" customHeight="1">
      <c r="B64" s="966"/>
      <c r="C64" s="754"/>
      <c r="D64" s="177" t="s">
        <v>11</v>
      </c>
      <c r="E64" s="177" t="s">
        <v>17</v>
      </c>
      <c r="F64" s="287" t="s">
        <v>726</v>
      </c>
      <c r="G64" s="287" t="s">
        <v>1269</v>
      </c>
      <c r="H64" s="302"/>
      <c r="I64" s="303"/>
    </row>
    <row r="65" spans="2:9" s="580" customFormat="1" ht="14.1" customHeight="1">
      <c r="B65" s="966"/>
      <c r="C65" s="755"/>
      <c r="D65" s="316"/>
      <c r="E65" s="316"/>
      <c r="F65" s="316"/>
      <c r="G65" s="1163" t="s">
        <v>727</v>
      </c>
      <c r="H65" s="1164"/>
      <c r="I65" s="631"/>
    </row>
    <row r="66" spans="2:9" s="580" customFormat="1" ht="14.1" customHeight="1">
      <c r="B66" s="966"/>
      <c r="C66" s="292" t="s">
        <v>8</v>
      </c>
      <c r="D66" s="293" t="s">
        <v>811</v>
      </c>
      <c r="E66" s="296"/>
      <c r="F66" s="296"/>
      <c r="G66" s="296"/>
      <c r="H66" s="296"/>
      <c r="I66" s="297"/>
    </row>
    <row r="67" spans="2:9" s="580" customFormat="1" ht="14.1" customHeight="1">
      <c r="B67" s="966"/>
      <c r="C67" s="753"/>
      <c r="D67" s="299" t="s">
        <v>1275</v>
      </c>
      <c r="E67" s="299"/>
      <c r="F67" s="581" t="s">
        <v>1271</v>
      </c>
      <c r="G67" s="749">
        <v>1.01</v>
      </c>
      <c r="H67" s="299"/>
      <c r="I67" s="300"/>
    </row>
    <row r="68" spans="2:9" s="580" customFormat="1" ht="14.1" customHeight="1">
      <c r="B68" s="966"/>
      <c r="C68" s="754"/>
      <c r="D68" s="177" t="s">
        <v>144</v>
      </c>
      <c r="E68" s="302"/>
      <c r="F68" s="586" t="s">
        <v>1201</v>
      </c>
      <c r="G68" s="913">
        <f>G49</f>
        <v>0.05</v>
      </c>
      <c r="H68" s="302"/>
      <c r="I68" s="303"/>
    </row>
    <row r="69" spans="2:9" s="580" customFormat="1" ht="14.1" customHeight="1">
      <c r="B69" s="966"/>
      <c r="C69" s="755"/>
      <c r="D69" s="316"/>
      <c r="E69" s="316"/>
      <c r="F69" s="316"/>
      <c r="G69" s="1163" t="s">
        <v>728</v>
      </c>
      <c r="H69" s="1164"/>
      <c r="I69" s="631"/>
    </row>
    <row r="70" spans="2:9" s="580" customFormat="1" ht="14.1" customHeight="1">
      <c r="B70" s="966"/>
      <c r="C70" s="292" t="s">
        <v>9</v>
      </c>
      <c r="D70" s="293" t="s">
        <v>815</v>
      </c>
      <c r="E70" s="296"/>
      <c r="F70" s="296"/>
      <c r="G70" s="296"/>
      <c r="H70" s="296"/>
      <c r="I70" s="297"/>
    </row>
    <row r="71" spans="2:9" s="580" customFormat="1" ht="14.1" customHeight="1">
      <c r="B71" s="966"/>
      <c r="C71" s="754"/>
      <c r="D71" s="177" t="s">
        <v>62</v>
      </c>
      <c r="E71" s="302"/>
      <c r="F71" s="287" t="s">
        <v>1012</v>
      </c>
      <c r="G71" s="626">
        <v>10</v>
      </c>
      <c r="H71" s="302"/>
      <c r="I71" s="303"/>
    </row>
    <row r="72" spans="2:9" s="580" customFormat="1" ht="14.1" customHeight="1">
      <c r="B72" s="966"/>
      <c r="C72" s="755"/>
      <c r="D72" s="316"/>
      <c r="E72" s="316"/>
      <c r="F72" s="316"/>
      <c r="G72" s="1269" t="s">
        <v>729</v>
      </c>
      <c r="H72" s="1270"/>
      <c r="I72" s="631"/>
    </row>
    <row r="73" spans="2:9" s="580" customFormat="1" ht="14.1" customHeight="1">
      <c r="B73" s="966"/>
      <c r="C73" s="290" t="s">
        <v>12</v>
      </c>
      <c r="D73" s="1113" t="s">
        <v>730</v>
      </c>
      <c r="E73" s="1114"/>
      <c r="F73" s="1114"/>
      <c r="G73" s="1160"/>
      <c r="H73" s="1160"/>
      <c r="I73" s="306"/>
    </row>
    <row r="74" spans="2:9" s="580" customFormat="1" ht="14.1" customHeight="1" thickBot="1">
      <c r="B74" s="966"/>
      <c r="C74" s="291" t="s">
        <v>13</v>
      </c>
      <c r="D74" s="1263" t="s">
        <v>816</v>
      </c>
      <c r="E74" s="1264"/>
      <c r="F74" s="1265"/>
      <c r="G74" s="1119" t="s">
        <v>740</v>
      </c>
      <c r="H74" s="1120"/>
      <c r="I74" s="307"/>
    </row>
    <row r="75" spans="2:9" ht="14.1" customHeight="1"/>
    <row r="76" spans="2:9" s="614" customFormat="1" ht="13.5" thickBot="1">
      <c r="B76" s="612">
        <v>5</v>
      </c>
      <c r="C76" s="652" t="str">
        <f>REKAP!E299</f>
        <v>Pasang grassblock bulat tebal 10 cm, tebal pasir 5 cm</v>
      </c>
      <c r="E76" s="773"/>
      <c r="F76" s="281"/>
      <c r="G76" s="281"/>
      <c r="H76" s="774"/>
      <c r="I76" s="774"/>
    </row>
    <row r="77" spans="2:9">
      <c r="C77" s="1069" t="s">
        <v>0</v>
      </c>
      <c r="D77" s="1071" t="s">
        <v>1</v>
      </c>
      <c r="E77" s="1073" t="s">
        <v>2</v>
      </c>
      <c r="F77" s="1071" t="s">
        <v>3</v>
      </c>
      <c r="G77" s="1077" t="s">
        <v>4</v>
      </c>
      <c r="H77" s="7" t="s">
        <v>5</v>
      </c>
      <c r="I77" s="13" t="s">
        <v>59</v>
      </c>
    </row>
    <row r="78" spans="2:9" ht="13.5" thickBot="1">
      <c r="C78" s="1070"/>
      <c r="D78" s="1072"/>
      <c r="E78" s="1074"/>
      <c r="F78" s="1072"/>
      <c r="G78" s="1078"/>
      <c r="H78" s="8" t="s">
        <v>6</v>
      </c>
      <c r="I78" s="14" t="s">
        <v>6</v>
      </c>
    </row>
    <row r="79" spans="2:9" ht="14.1" customHeight="1">
      <c r="C79" s="16" t="s">
        <v>7</v>
      </c>
      <c r="D79" s="17" t="s">
        <v>74</v>
      </c>
      <c r="E79" s="18"/>
      <c r="F79" s="19"/>
      <c r="G79" s="19"/>
      <c r="H79" s="20"/>
      <c r="I79" s="21"/>
    </row>
    <row r="80" spans="2:9" ht="14.1" customHeight="1">
      <c r="C80" s="16">
        <v>1</v>
      </c>
      <c r="D80" s="17" t="s">
        <v>10</v>
      </c>
      <c r="E80" s="18"/>
      <c r="F80" s="19" t="s">
        <v>66</v>
      </c>
      <c r="G80" s="31">
        <v>0.5</v>
      </c>
      <c r="H80" s="20"/>
      <c r="I80" s="21"/>
    </row>
    <row r="81" spans="2:9" ht="14.1" customHeight="1">
      <c r="C81" s="16">
        <v>2</v>
      </c>
      <c r="D81" s="17" t="s">
        <v>143</v>
      </c>
      <c r="E81" s="18"/>
      <c r="F81" s="19" t="s">
        <v>66</v>
      </c>
      <c r="G81" s="31">
        <v>0.25</v>
      </c>
      <c r="H81" s="20"/>
      <c r="I81" s="927"/>
    </row>
    <row r="82" spans="2:9" ht="14.1" customHeight="1">
      <c r="C82" s="16">
        <v>3</v>
      </c>
      <c r="D82" s="17" t="s">
        <v>439</v>
      </c>
      <c r="E82" s="26"/>
      <c r="F82" s="19" t="s">
        <v>66</v>
      </c>
      <c r="G82" s="31">
        <v>2.5000000000000001E-2</v>
      </c>
      <c r="H82" s="20"/>
      <c r="I82" s="928">
        <f>G82*H82</f>
        <v>0</v>
      </c>
    </row>
    <row r="83" spans="2:9" ht="14.1" customHeight="1">
      <c r="C83" s="16">
        <v>4</v>
      </c>
      <c r="D83" s="17" t="s">
        <v>11</v>
      </c>
      <c r="E83" s="26"/>
      <c r="F83" s="19" t="s">
        <v>66</v>
      </c>
      <c r="G83" s="31">
        <v>2.5000000000000001E-2</v>
      </c>
      <c r="H83" s="20"/>
      <c r="I83" s="928">
        <f>G83*H83</f>
        <v>0</v>
      </c>
    </row>
    <row r="84" spans="2:9" ht="14.1" customHeight="1">
      <c r="C84" s="1099" t="s">
        <v>60</v>
      </c>
      <c r="D84" s="1100"/>
      <c r="E84" s="1100"/>
      <c r="F84" s="1100"/>
      <c r="G84" s="1100"/>
      <c r="H84" s="1101"/>
      <c r="I84" s="929">
        <f>SUM(I79:I83)</f>
        <v>0</v>
      </c>
    </row>
    <row r="85" spans="2:9" ht="14.1" customHeight="1">
      <c r="C85" s="16" t="s">
        <v>8</v>
      </c>
      <c r="D85" s="17" t="s">
        <v>61</v>
      </c>
      <c r="E85" s="18"/>
      <c r="F85" s="22"/>
      <c r="G85" s="27"/>
      <c r="H85" s="24"/>
      <c r="I85" s="927"/>
    </row>
    <row r="86" spans="2:9" ht="14.1" customHeight="1">
      <c r="C86" s="16">
        <v>1</v>
      </c>
      <c r="D86" s="65" t="s">
        <v>440</v>
      </c>
      <c r="E86" s="18"/>
      <c r="F86" s="22" t="s">
        <v>71</v>
      </c>
      <c r="G86" s="31">
        <v>1</v>
      </c>
      <c r="H86" s="24"/>
      <c r="I86" s="928">
        <f>G86*H86</f>
        <v>0</v>
      </c>
    </row>
    <row r="87" spans="2:9" ht="14.1" customHeight="1">
      <c r="C87" s="16">
        <v>2</v>
      </c>
      <c r="D87" s="65" t="s">
        <v>202</v>
      </c>
      <c r="E87" s="18"/>
      <c r="F87" s="22" t="s">
        <v>19</v>
      </c>
      <c r="G87" s="31">
        <v>0.05</v>
      </c>
      <c r="H87" s="24"/>
      <c r="I87" s="928"/>
    </row>
    <row r="88" spans="2:9" ht="14.1" customHeight="1">
      <c r="C88" s="1099" t="s">
        <v>18</v>
      </c>
      <c r="D88" s="1100"/>
      <c r="E88" s="1100"/>
      <c r="F88" s="1100"/>
      <c r="G88" s="1100"/>
      <c r="H88" s="1101"/>
      <c r="I88" s="929">
        <f>SUM(I85:I87)</f>
        <v>0</v>
      </c>
    </row>
    <row r="89" spans="2:9" ht="14.1" customHeight="1">
      <c r="C89" s="16" t="s">
        <v>9</v>
      </c>
      <c r="D89" s="17" t="s">
        <v>62</v>
      </c>
      <c r="E89" s="28"/>
      <c r="F89" s="15"/>
      <c r="G89" s="74"/>
      <c r="H89" s="15"/>
      <c r="I89" s="927"/>
    </row>
    <row r="90" spans="2:9" ht="14.1" customHeight="1">
      <c r="C90" s="16"/>
      <c r="D90" s="17"/>
      <c r="E90" s="18"/>
      <c r="F90" s="22"/>
      <c r="G90" s="31"/>
      <c r="H90" s="20"/>
      <c r="I90" s="928">
        <f>G90*H90</f>
        <v>0</v>
      </c>
    </row>
    <row r="91" spans="2:9" ht="14.1" customHeight="1">
      <c r="C91" s="1099" t="s">
        <v>63</v>
      </c>
      <c r="D91" s="1100"/>
      <c r="E91" s="1100"/>
      <c r="F91" s="1100"/>
      <c r="G91" s="1100"/>
      <c r="H91" s="1101"/>
      <c r="I91" s="929">
        <f>SUM(I89:I90)</f>
        <v>0</v>
      </c>
    </row>
    <row r="92" spans="2:9" ht="14.1" customHeight="1">
      <c r="C92" s="310" t="s">
        <v>12</v>
      </c>
      <c r="D92" s="1102" t="s">
        <v>64</v>
      </c>
      <c r="E92" s="1103"/>
      <c r="F92" s="1103"/>
      <c r="G92" s="1103"/>
      <c r="H92" s="1104"/>
      <c r="I92" s="929">
        <f>I84+I88+I91</f>
        <v>0</v>
      </c>
    </row>
    <row r="93" spans="2:9" ht="14.1" customHeight="1">
      <c r="C93" s="312" t="s">
        <v>13</v>
      </c>
      <c r="D93" s="1105" t="s">
        <v>65</v>
      </c>
      <c r="E93" s="1106"/>
      <c r="F93" s="1107"/>
      <c r="G93" s="75"/>
      <c r="H93" s="29">
        <f>I92</f>
        <v>0</v>
      </c>
      <c r="I93" s="930">
        <f>G93*H93</f>
        <v>0</v>
      </c>
    </row>
    <row r="94" spans="2:9" ht="14.1" customHeight="1" thickBot="1">
      <c r="C94" s="311" t="s">
        <v>14</v>
      </c>
      <c r="D94" s="1096" t="s">
        <v>73</v>
      </c>
      <c r="E94" s="1097"/>
      <c r="F94" s="1097"/>
      <c r="G94" s="1097"/>
      <c r="H94" s="1098"/>
      <c r="I94" s="931">
        <f>I92+I93</f>
        <v>0</v>
      </c>
    </row>
    <row r="95" spans="2:9" ht="14.1" customHeight="1"/>
    <row r="96" spans="2:9" s="277" customFormat="1" ht="13.5" thickBot="1">
      <c r="B96" s="612">
        <v>6</v>
      </c>
      <c r="C96" s="652" t="str">
        <f>REKAP!E300</f>
        <v>Pasang grassblock tebal 10 cm, tebal pasir 5 cm</v>
      </c>
      <c r="E96" s="280"/>
      <c r="F96" s="281"/>
      <c r="G96" s="281"/>
      <c r="H96" s="615"/>
      <c r="I96" s="615"/>
    </row>
    <row r="97" spans="3:9">
      <c r="C97" s="1069" t="s">
        <v>0</v>
      </c>
      <c r="D97" s="1071" t="s">
        <v>1</v>
      </c>
      <c r="E97" s="1073" t="s">
        <v>2</v>
      </c>
      <c r="F97" s="1071" t="s">
        <v>3</v>
      </c>
      <c r="G97" s="1077" t="s">
        <v>4</v>
      </c>
      <c r="H97" s="7" t="s">
        <v>5</v>
      </c>
      <c r="I97" s="13" t="s">
        <v>59</v>
      </c>
    </row>
    <row r="98" spans="3:9" ht="13.5" thickBot="1">
      <c r="C98" s="1070"/>
      <c r="D98" s="1072"/>
      <c r="E98" s="1074"/>
      <c r="F98" s="1072"/>
      <c r="G98" s="1078"/>
      <c r="H98" s="8" t="s">
        <v>6</v>
      </c>
      <c r="I98" s="14" t="s">
        <v>6</v>
      </c>
    </row>
    <row r="99" spans="3:9">
      <c r="C99" s="16" t="s">
        <v>7</v>
      </c>
      <c r="D99" s="17" t="s">
        <v>74</v>
      </c>
      <c r="E99" s="18"/>
      <c r="F99" s="19"/>
      <c r="G99" s="19"/>
      <c r="H99" s="20"/>
      <c r="I99" s="927"/>
    </row>
    <row r="100" spans="3:9">
      <c r="C100" s="16">
        <v>1</v>
      </c>
      <c r="D100" s="17" t="s">
        <v>10</v>
      </c>
      <c r="E100" s="18"/>
      <c r="F100" s="19" t="s">
        <v>66</v>
      </c>
      <c r="G100" s="31">
        <v>0.5</v>
      </c>
      <c r="H100" s="20"/>
      <c r="I100" s="927"/>
    </row>
    <row r="101" spans="3:9">
      <c r="C101" s="16">
        <v>2</v>
      </c>
      <c r="D101" s="17" t="s">
        <v>143</v>
      </c>
      <c r="E101" s="18"/>
      <c r="F101" s="19" t="s">
        <v>66</v>
      </c>
      <c r="G101" s="31">
        <v>0.25</v>
      </c>
      <c r="H101" s="20"/>
      <c r="I101" s="927"/>
    </row>
    <row r="102" spans="3:9">
      <c r="C102" s="16">
        <v>3</v>
      </c>
      <c r="D102" s="17" t="s">
        <v>439</v>
      </c>
      <c r="E102" s="26"/>
      <c r="F102" s="19" t="s">
        <v>66</v>
      </c>
      <c r="G102" s="31">
        <v>2.5000000000000001E-2</v>
      </c>
      <c r="H102" s="20"/>
      <c r="I102" s="928">
        <f>G102*H102</f>
        <v>0</v>
      </c>
    </row>
    <row r="103" spans="3:9">
      <c r="C103" s="16">
        <v>4</v>
      </c>
      <c r="D103" s="17" t="s">
        <v>11</v>
      </c>
      <c r="E103" s="26"/>
      <c r="F103" s="19" t="s">
        <v>66</v>
      </c>
      <c r="G103" s="31">
        <v>2.5000000000000001E-2</v>
      </c>
      <c r="H103" s="20"/>
      <c r="I103" s="928">
        <f>G103*H103</f>
        <v>0</v>
      </c>
    </row>
    <row r="104" spans="3:9">
      <c r="C104" s="1099" t="s">
        <v>60</v>
      </c>
      <c r="D104" s="1100"/>
      <c r="E104" s="1100"/>
      <c r="F104" s="1100"/>
      <c r="G104" s="1100"/>
      <c r="H104" s="1101"/>
      <c r="I104" s="929">
        <f>SUM(I99:I103)</f>
        <v>0</v>
      </c>
    </row>
    <row r="105" spans="3:9">
      <c r="C105" s="16" t="s">
        <v>8</v>
      </c>
      <c r="D105" s="17" t="s">
        <v>61</v>
      </c>
      <c r="E105" s="18"/>
      <c r="F105" s="22"/>
      <c r="G105" s="27"/>
      <c r="H105" s="24"/>
      <c r="I105" s="927"/>
    </row>
    <row r="106" spans="3:9">
      <c r="C106" s="16">
        <v>1</v>
      </c>
      <c r="D106" s="65" t="s">
        <v>440</v>
      </c>
      <c r="E106" s="18"/>
      <c r="F106" s="22" t="s">
        <v>71</v>
      </c>
      <c r="G106" s="31">
        <v>1</v>
      </c>
      <c r="H106" s="24"/>
      <c r="I106" s="928">
        <f>G106*H106</f>
        <v>0</v>
      </c>
    </row>
    <row r="107" spans="3:9">
      <c r="C107" s="16">
        <v>2</v>
      </c>
      <c r="D107" s="65" t="s">
        <v>202</v>
      </c>
      <c r="E107" s="18"/>
      <c r="F107" s="22" t="s">
        <v>19</v>
      </c>
      <c r="G107" s="31">
        <v>0.05</v>
      </c>
      <c r="H107" s="24"/>
      <c r="I107" s="928"/>
    </row>
    <row r="108" spans="3:9">
      <c r="C108" s="1099" t="s">
        <v>18</v>
      </c>
      <c r="D108" s="1100"/>
      <c r="E108" s="1100"/>
      <c r="F108" s="1100"/>
      <c r="G108" s="1100"/>
      <c r="H108" s="1101"/>
      <c r="I108" s="929">
        <f>SUM(I105:I107)</f>
        <v>0</v>
      </c>
    </row>
    <row r="109" spans="3:9">
      <c r="C109" s="16" t="s">
        <v>9</v>
      </c>
      <c r="D109" s="17" t="s">
        <v>62</v>
      </c>
      <c r="E109" s="28"/>
      <c r="F109" s="15"/>
      <c r="G109" s="74"/>
      <c r="H109" s="15"/>
      <c r="I109" s="927"/>
    </row>
    <row r="110" spans="3:9">
      <c r="C110" s="16"/>
      <c r="D110" s="17"/>
      <c r="E110" s="18"/>
      <c r="F110" s="22"/>
      <c r="G110" s="31"/>
      <c r="H110" s="20"/>
      <c r="I110" s="928">
        <f>G110*H110</f>
        <v>0</v>
      </c>
    </row>
    <row r="111" spans="3:9">
      <c r="C111" s="1099" t="s">
        <v>63</v>
      </c>
      <c r="D111" s="1100"/>
      <c r="E111" s="1100"/>
      <c r="F111" s="1100"/>
      <c r="G111" s="1100"/>
      <c r="H111" s="1101"/>
      <c r="I111" s="929">
        <f>SUM(I109:I110)</f>
        <v>0</v>
      </c>
    </row>
    <row r="112" spans="3:9">
      <c r="C112" s="310" t="s">
        <v>12</v>
      </c>
      <c r="D112" s="1102" t="s">
        <v>64</v>
      </c>
      <c r="E112" s="1103"/>
      <c r="F112" s="1103"/>
      <c r="G112" s="1103"/>
      <c r="H112" s="1104"/>
      <c r="I112" s="929">
        <f>I104+I108+I111</f>
        <v>0</v>
      </c>
    </row>
    <row r="113" spans="3:9">
      <c r="C113" s="312" t="s">
        <v>13</v>
      </c>
      <c r="D113" s="1105" t="s">
        <v>65</v>
      </c>
      <c r="E113" s="1106"/>
      <c r="F113" s="1107"/>
      <c r="G113" s="75"/>
      <c r="H113" s="29">
        <f>I112</f>
        <v>0</v>
      </c>
      <c r="I113" s="930">
        <f>G113*H113</f>
        <v>0</v>
      </c>
    </row>
    <row r="114" spans="3:9" ht="13.5" thickBot="1">
      <c r="C114" s="311" t="s">
        <v>14</v>
      </c>
      <c r="D114" s="1096" t="s">
        <v>73</v>
      </c>
      <c r="E114" s="1097"/>
      <c r="F114" s="1097"/>
      <c r="G114" s="1097"/>
      <c r="H114" s="1098"/>
      <c r="I114" s="931">
        <f>I112+I113</f>
        <v>0</v>
      </c>
    </row>
  </sheetData>
  <mergeCells count="47">
    <mergeCell ref="G10:H10"/>
    <mergeCell ref="G14:H14"/>
    <mergeCell ref="G17:H17"/>
    <mergeCell ref="D18:H18"/>
    <mergeCell ref="D19:F19"/>
    <mergeCell ref="G19:H19"/>
    <mergeCell ref="C17:F17"/>
    <mergeCell ref="G28:H28"/>
    <mergeCell ref="G32:H32"/>
    <mergeCell ref="G65:H65"/>
    <mergeCell ref="G69:H69"/>
    <mergeCell ref="G72:H72"/>
    <mergeCell ref="D73:H73"/>
    <mergeCell ref="D74:F74"/>
    <mergeCell ref="G74:H74"/>
    <mergeCell ref="G35:H35"/>
    <mergeCell ref="D36:H36"/>
    <mergeCell ref="D37:F37"/>
    <mergeCell ref="G37:H37"/>
    <mergeCell ref="G46:H46"/>
    <mergeCell ref="G50:H50"/>
    <mergeCell ref="G53:H53"/>
    <mergeCell ref="D55:H55"/>
    <mergeCell ref="D56:F56"/>
    <mergeCell ref="G56:H56"/>
    <mergeCell ref="C108:H108"/>
    <mergeCell ref="C111:H111"/>
    <mergeCell ref="D112:H112"/>
    <mergeCell ref="D113:F113"/>
    <mergeCell ref="D114:H114"/>
    <mergeCell ref="C104:H104"/>
    <mergeCell ref="C91:H91"/>
    <mergeCell ref="D92:H92"/>
    <mergeCell ref="D93:F93"/>
    <mergeCell ref="D94:H94"/>
    <mergeCell ref="C97:C98"/>
    <mergeCell ref="D97:D98"/>
    <mergeCell ref="E97:E98"/>
    <mergeCell ref="F97:F98"/>
    <mergeCell ref="G97:G98"/>
    <mergeCell ref="C84:H84"/>
    <mergeCell ref="C88:H88"/>
    <mergeCell ref="C77:C78"/>
    <mergeCell ref="D77:D78"/>
    <mergeCell ref="E77:E78"/>
    <mergeCell ref="F77:F78"/>
    <mergeCell ref="G77:G78"/>
  </mergeCells>
  <printOptions horizontalCentered="1"/>
  <pageMargins left="0.78740157480314965" right="0.31496062992125984" top="0.74803149606299213" bottom="0.74803149606299213" header="0.31496062992125984" footer="0.31496062992125984"/>
  <pageSetup paperSize="258" scale="90" firstPageNumber="100" fitToHeight="0" orientation="portrait" useFirstPageNumber="1" horizontalDpi="4294967293" r:id="rId1"/>
  <headerFooter>
    <oddFooter>&amp;R&amp;P</oddFooter>
  </headerFooter>
  <rowBreaks count="1" manualBreakCount="1">
    <brk id="57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>
  <dimension ref="C3:G32"/>
  <sheetViews>
    <sheetView zoomScale="120" zoomScaleNormal="120" workbookViewId="0">
      <selection activeCell="I6" sqref="I6"/>
    </sheetView>
  </sheetViews>
  <sheetFormatPr defaultRowHeight="15"/>
  <cols>
    <col min="3" max="3" width="3.7109375" bestFit="1" customWidth="1"/>
    <col min="4" max="4" width="29.7109375" customWidth="1"/>
    <col min="5" max="5" width="8" customWidth="1"/>
    <col min="6" max="6" width="11.42578125" customWidth="1"/>
    <col min="7" max="7" width="14.140625" bestFit="1" customWidth="1"/>
  </cols>
  <sheetData>
    <row r="3" spans="3:7" ht="15.75" thickBot="1"/>
    <row r="4" spans="3:7" ht="16.5" thickBot="1">
      <c r="C4" s="1271" t="s">
        <v>67</v>
      </c>
      <c r="D4" s="1272"/>
      <c r="E4" s="1272"/>
      <c r="F4" s="1272"/>
      <c r="G4" s="1273"/>
    </row>
    <row r="5" spans="3:7" ht="15.75" thickBot="1">
      <c r="C5" s="11"/>
      <c r="D5" s="12"/>
      <c r="E5" s="11"/>
      <c r="F5" s="2"/>
      <c r="G5" s="2"/>
    </row>
    <row r="6" spans="3:7">
      <c r="C6" s="1274" t="s">
        <v>0</v>
      </c>
      <c r="D6" s="1276" t="s">
        <v>23</v>
      </c>
      <c r="E6" s="1276" t="s">
        <v>2</v>
      </c>
      <c r="F6" s="1276" t="s">
        <v>3</v>
      </c>
      <c r="G6" s="49" t="s">
        <v>70</v>
      </c>
    </row>
    <row r="7" spans="3:7" ht="15.75" thickBot="1">
      <c r="C7" s="1275"/>
      <c r="D7" s="1277"/>
      <c r="E7" s="1277"/>
      <c r="F7" s="1277"/>
      <c r="G7" s="48" t="s">
        <v>69</v>
      </c>
    </row>
    <row r="8" spans="3:7">
      <c r="C8" s="43">
        <v>1</v>
      </c>
      <c r="D8" s="42" t="s">
        <v>10</v>
      </c>
      <c r="E8" s="41" t="s">
        <v>16</v>
      </c>
      <c r="F8" s="41" t="s">
        <v>68</v>
      </c>
      <c r="G8" s="51">
        <v>0</v>
      </c>
    </row>
    <row r="9" spans="3:7">
      <c r="C9" s="44">
        <v>2</v>
      </c>
      <c r="D9" s="39" t="s">
        <v>24</v>
      </c>
      <c r="E9" s="25" t="s">
        <v>22</v>
      </c>
      <c r="F9" s="41" t="s">
        <v>68</v>
      </c>
      <c r="G9" s="51">
        <v>0</v>
      </c>
    </row>
    <row r="10" spans="3:7">
      <c r="C10" s="44"/>
      <c r="D10" s="39" t="s">
        <v>25</v>
      </c>
      <c r="E10" s="25" t="s">
        <v>22</v>
      </c>
      <c r="F10" s="41" t="s">
        <v>68</v>
      </c>
      <c r="G10" s="51">
        <v>0</v>
      </c>
    </row>
    <row r="11" spans="3:7">
      <c r="C11" s="44"/>
      <c r="D11" s="39" t="s">
        <v>49</v>
      </c>
      <c r="E11" s="25" t="s">
        <v>22</v>
      </c>
      <c r="F11" s="41" t="s">
        <v>68</v>
      </c>
      <c r="G11" s="51">
        <v>0</v>
      </c>
    </row>
    <row r="12" spans="3:7">
      <c r="C12" s="44"/>
      <c r="D12" s="39" t="s">
        <v>26</v>
      </c>
      <c r="E12" s="25" t="s">
        <v>22</v>
      </c>
      <c r="F12" s="41" t="s">
        <v>68</v>
      </c>
      <c r="G12" s="51">
        <v>0</v>
      </c>
    </row>
    <row r="13" spans="3:7">
      <c r="C13" s="44"/>
      <c r="D13" s="39" t="s">
        <v>50</v>
      </c>
      <c r="E13" s="25" t="s">
        <v>22</v>
      </c>
      <c r="F13" s="41" t="s">
        <v>68</v>
      </c>
      <c r="G13" s="51">
        <v>0</v>
      </c>
    </row>
    <row r="14" spans="3:7">
      <c r="C14" s="44"/>
      <c r="D14" s="39" t="s">
        <v>51</v>
      </c>
      <c r="E14" s="25" t="s">
        <v>22</v>
      </c>
      <c r="F14" s="41" t="s">
        <v>68</v>
      </c>
      <c r="G14" s="51">
        <v>0</v>
      </c>
    </row>
    <row r="15" spans="3:7">
      <c r="C15" s="44"/>
      <c r="D15" s="39" t="s">
        <v>52</v>
      </c>
      <c r="E15" s="25" t="s">
        <v>22</v>
      </c>
      <c r="F15" s="41" t="s">
        <v>68</v>
      </c>
      <c r="G15" s="51">
        <v>0</v>
      </c>
    </row>
    <row r="16" spans="3:7">
      <c r="C16" s="44"/>
      <c r="D16" s="39" t="s">
        <v>27</v>
      </c>
      <c r="E16" s="25" t="s">
        <v>22</v>
      </c>
      <c r="F16" s="41" t="s">
        <v>68</v>
      </c>
      <c r="G16" s="51">
        <v>0</v>
      </c>
    </row>
    <row r="17" spans="3:7">
      <c r="C17" s="44"/>
      <c r="D17" s="39" t="s">
        <v>28</v>
      </c>
      <c r="E17" s="25" t="s">
        <v>22</v>
      </c>
      <c r="F17" s="41" t="s">
        <v>68</v>
      </c>
      <c r="G17" s="51">
        <v>0</v>
      </c>
    </row>
    <row r="18" spans="3:7">
      <c r="C18" s="44"/>
      <c r="D18" s="39" t="s">
        <v>29</v>
      </c>
      <c r="E18" s="25" t="s">
        <v>22</v>
      </c>
      <c r="F18" s="41" t="s">
        <v>68</v>
      </c>
      <c r="G18" s="51">
        <v>0</v>
      </c>
    </row>
    <row r="19" spans="3:7">
      <c r="C19" s="44">
        <v>3</v>
      </c>
      <c r="D19" s="39" t="s">
        <v>20</v>
      </c>
      <c r="E19" s="25" t="s">
        <v>21</v>
      </c>
      <c r="F19" s="41" t="s">
        <v>68</v>
      </c>
      <c r="G19" s="51">
        <v>0</v>
      </c>
    </row>
    <row r="20" spans="3:7">
      <c r="C20" s="44">
        <v>4</v>
      </c>
      <c r="D20" s="39" t="s">
        <v>11</v>
      </c>
      <c r="E20" s="25" t="s">
        <v>17</v>
      </c>
      <c r="F20" s="41" t="s">
        <v>68</v>
      </c>
      <c r="G20" s="51">
        <v>0</v>
      </c>
    </row>
    <row r="21" spans="3:7">
      <c r="C21" s="44">
        <v>5</v>
      </c>
      <c r="D21" s="39" t="s">
        <v>30</v>
      </c>
      <c r="E21" s="25" t="s">
        <v>31</v>
      </c>
      <c r="F21" s="41" t="s">
        <v>68</v>
      </c>
      <c r="G21" s="51">
        <v>0</v>
      </c>
    </row>
    <row r="22" spans="3:7">
      <c r="C22" s="44">
        <v>6</v>
      </c>
      <c r="D22" s="39" t="s">
        <v>53</v>
      </c>
      <c r="E22" s="25" t="s">
        <v>32</v>
      </c>
      <c r="F22" s="41" t="s">
        <v>68</v>
      </c>
      <c r="G22" s="51">
        <v>0</v>
      </c>
    </row>
    <row r="23" spans="3:7">
      <c r="C23" s="44">
        <v>7</v>
      </c>
      <c r="D23" s="39" t="s">
        <v>33</v>
      </c>
      <c r="E23" s="25" t="s">
        <v>34</v>
      </c>
      <c r="F23" s="41" t="s">
        <v>68</v>
      </c>
      <c r="G23" s="51">
        <v>0</v>
      </c>
    </row>
    <row r="24" spans="3:7">
      <c r="C24" s="44">
        <v>8</v>
      </c>
      <c r="D24" s="39" t="s">
        <v>54</v>
      </c>
      <c r="E24" s="25" t="s">
        <v>35</v>
      </c>
      <c r="F24" s="41" t="s">
        <v>68</v>
      </c>
      <c r="G24" s="51">
        <v>0</v>
      </c>
    </row>
    <row r="25" spans="3:7">
      <c r="C25" s="44">
        <v>9</v>
      </c>
      <c r="D25" s="39" t="s">
        <v>36</v>
      </c>
      <c r="E25" s="25" t="s">
        <v>37</v>
      </c>
      <c r="F25" s="41" t="s">
        <v>68</v>
      </c>
      <c r="G25" s="51">
        <v>0</v>
      </c>
    </row>
    <row r="26" spans="3:7">
      <c r="C26" s="44">
        <v>10</v>
      </c>
      <c r="D26" s="39" t="s">
        <v>453</v>
      </c>
      <c r="E26" s="25" t="s">
        <v>38</v>
      </c>
      <c r="F26" s="41" t="s">
        <v>68</v>
      </c>
      <c r="G26" s="51">
        <v>0</v>
      </c>
    </row>
    <row r="27" spans="3:7">
      <c r="C27" s="44">
        <v>11</v>
      </c>
      <c r="D27" s="39" t="s">
        <v>39</v>
      </c>
      <c r="E27" s="25" t="s">
        <v>40</v>
      </c>
      <c r="F27" s="41" t="s">
        <v>68</v>
      </c>
      <c r="G27" s="51">
        <v>0</v>
      </c>
    </row>
    <row r="28" spans="3:7">
      <c r="C28" s="44">
        <v>12</v>
      </c>
      <c r="D28" s="39" t="s">
        <v>41</v>
      </c>
      <c r="E28" s="25" t="s">
        <v>42</v>
      </c>
      <c r="F28" s="41" t="s">
        <v>68</v>
      </c>
      <c r="G28" s="51">
        <v>0</v>
      </c>
    </row>
    <row r="29" spans="3:7">
      <c r="C29" s="44">
        <v>13</v>
      </c>
      <c r="D29" s="39" t="s">
        <v>58</v>
      </c>
      <c r="E29" s="25" t="s">
        <v>43</v>
      </c>
      <c r="F29" s="41" t="s">
        <v>68</v>
      </c>
      <c r="G29" s="51">
        <v>0</v>
      </c>
    </row>
    <row r="30" spans="3:7">
      <c r="C30" s="44">
        <v>14</v>
      </c>
      <c r="D30" s="40" t="s">
        <v>44</v>
      </c>
      <c r="E30" s="25" t="s">
        <v>45</v>
      </c>
      <c r="F30" s="41" t="s">
        <v>68</v>
      </c>
      <c r="G30" s="51">
        <v>0</v>
      </c>
    </row>
    <row r="31" spans="3:7">
      <c r="C31" s="44">
        <v>15</v>
      </c>
      <c r="D31" s="39" t="s">
        <v>55</v>
      </c>
      <c r="E31" s="25" t="s">
        <v>46</v>
      </c>
      <c r="F31" s="41" t="s">
        <v>68</v>
      </c>
      <c r="G31" s="51">
        <v>0</v>
      </c>
    </row>
    <row r="32" spans="3:7" ht="15.75" thickBot="1">
      <c r="C32" s="45">
        <v>16</v>
      </c>
      <c r="D32" s="46" t="s">
        <v>47</v>
      </c>
      <c r="E32" s="47" t="s">
        <v>48</v>
      </c>
      <c r="F32" s="50" t="s">
        <v>68</v>
      </c>
      <c r="G32" s="51">
        <v>0</v>
      </c>
    </row>
  </sheetData>
  <mergeCells count="5">
    <mergeCell ref="C4:G4"/>
    <mergeCell ref="C6:C7"/>
    <mergeCell ref="D6:D7"/>
    <mergeCell ref="E6:E7"/>
    <mergeCell ref="F6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270</vt:i4>
      </vt:variant>
    </vt:vector>
  </HeadingPairs>
  <TitlesOfParts>
    <vt:vector size="284" baseType="lpstr">
      <vt:lpstr>DAFTAR ISI</vt:lpstr>
      <vt:lpstr>PERBANDINGAN</vt:lpstr>
      <vt:lpstr>REKAP</vt:lpstr>
      <vt:lpstr>A.1.1.Pekerjaan Persiapan</vt:lpstr>
      <vt:lpstr>A.1.2.Pekerjaan Bongkaran</vt:lpstr>
      <vt:lpstr>A.1.3.Pekerjaan Tanah</vt:lpstr>
      <vt:lpstr>A.1.4.Pekerjaan Pondasi</vt:lpstr>
      <vt:lpstr>A.1.5.Pekerjaan Pasangan</vt:lpstr>
      <vt:lpstr>A.1.6.Pekerjaan Beton</vt:lpstr>
      <vt:lpstr>A.1.7.Beton Pracetak</vt:lpstr>
      <vt:lpstr>A.1.8.Pekerjaan Plesteran</vt:lpstr>
      <vt:lpstr>A.1.9.Pek Penutup Dinding</vt:lpstr>
      <vt:lpstr>A.1.10.Pek Konblok</vt:lpstr>
      <vt:lpstr>TENAGA</vt:lpstr>
      <vt:lpstr>Apersiapan1</vt:lpstr>
      <vt:lpstr>Apersiapan10</vt:lpstr>
      <vt:lpstr>Apersiapan11</vt:lpstr>
      <vt:lpstr>Apersiapan12</vt:lpstr>
      <vt:lpstr>Apersiapan13</vt:lpstr>
      <vt:lpstr>Apersiapan14</vt:lpstr>
      <vt:lpstr>Apersiapan15</vt:lpstr>
      <vt:lpstr>Apersiapan16</vt:lpstr>
      <vt:lpstr>Apersiapan2</vt:lpstr>
      <vt:lpstr>Apersiapan3</vt:lpstr>
      <vt:lpstr>Apersiapan4</vt:lpstr>
      <vt:lpstr>Apersiapan5</vt:lpstr>
      <vt:lpstr>Apersiapan6</vt:lpstr>
      <vt:lpstr>Apersiapan7</vt:lpstr>
      <vt:lpstr>Apersiapan8</vt:lpstr>
      <vt:lpstr>Apersiapan9</vt:lpstr>
      <vt:lpstr>'A.1.7.Beton Pracetak'!BBongkaran1</vt:lpstr>
      <vt:lpstr>BBongkaran10</vt:lpstr>
      <vt:lpstr>BBongkaran11</vt:lpstr>
      <vt:lpstr>BBongkaran12</vt:lpstr>
      <vt:lpstr>BBongkaran13</vt:lpstr>
      <vt:lpstr>BBongkaran2</vt:lpstr>
      <vt:lpstr>BBongkaran3</vt:lpstr>
      <vt:lpstr>BBongkaran4</vt:lpstr>
      <vt:lpstr>BBongkaran5</vt:lpstr>
      <vt:lpstr>BBongkaran6</vt:lpstr>
      <vt:lpstr>BBongkaran7</vt:lpstr>
      <vt:lpstr>BBongkaran8</vt:lpstr>
      <vt:lpstr>BBongkaran9</vt:lpstr>
      <vt:lpstr>Bongkaran1</vt:lpstr>
      <vt:lpstr>CTanah1</vt:lpstr>
      <vt:lpstr>CTanah10</vt:lpstr>
      <vt:lpstr>CTanah11</vt:lpstr>
      <vt:lpstr>CTanah12</vt:lpstr>
      <vt:lpstr>CTanah13</vt:lpstr>
      <vt:lpstr>CTanah14</vt:lpstr>
      <vt:lpstr>CTanah15</vt:lpstr>
      <vt:lpstr>CTanah16</vt:lpstr>
      <vt:lpstr>CTanah17</vt:lpstr>
      <vt:lpstr>CTanah18</vt:lpstr>
      <vt:lpstr>CTanah2</vt:lpstr>
      <vt:lpstr>CTanah3</vt:lpstr>
      <vt:lpstr>CTanah4</vt:lpstr>
      <vt:lpstr>CTanah5</vt:lpstr>
      <vt:lpstr>CTanah6</vt:lpstr>
      <vt:lpstr>CTanah7</vt:lpstr>
      <vt:lpstr>CTanah8</vt:lpstr>
      <vt:lpstr>CTanah9</vt:lpstr>
      <vt:lpstr>DPondasi1</vt:lpstr>
      <vt:lpstr>DPondasi10</vt:lpstr>
      <vt:lpstr>DPondasi11</vt:lpstr>
      <vt:lpstr>DPondasi2</vt:lpstr>
      <vt:lpstr>DPondasi3</vt:lpstr>
      <vt:lpstr>DPondasi4</vt:lpstr>
      <vt:lpstr>DPondasi5</vt:lpstr>
      <vt:lpstr>DPondasi6</vt:lpstr>
      <vt:lpstr>DPondasi7</vt:lpstr>
      <vt:lpstr>DPondasi8</vt:lpstr>
      <vt:lpstr>DPondasi9</vt:lpstr>
      <vt:lpstr>EDinding1</vt:lpstr>
      <vt:lpstr>EDinding10</vt:lpstr>
      <vt:lpstr>EDinding11</vt:lpstr>
      <vt:lpstr>EDinding12</vt:lpstr>
      <vt:lpstr>EDinding13</vt:lpstr>
      <vt:lpstr>EDinding14</vt:lpstr>
      <vt:lpstr>EDinding15</vt:lpstr>
      <vt:lpstr>EDinding16</vt:lpstr>
      <vt:lpstr>EDinding17</vt:lpstr>
      <vt:lpstr>EDinding18</vt:lpstr>
      <vt:lpstr>EDinding19</vt:lpstr>
      <vt:lpstr>EDinding2</vt:lpstr>
      <vt:lpstr>EDinding20</vt:lpstr>
      <vt:lpstr>EDinding21</vt:lpstr>
      <vt:lpstr>EDinding22</vt:lpstr>
      <vt:lpstr>EDinding23</vt:lpstr>
      <vt:lpstr>EDinding24</vt:lpstr>
      <vt:lpstr>EDinding25</vt:lpstr>
      <vt:lpstr>EDinding26</vt:lpstr>
      <vt:lpstr>EDinding28</vt:lpstr>
      <vt:lpstr>EDinding29</vt:lpstr>
      <vt:lpstr>EDinding3</vt:lpstr>
      <vt:lpstr>EDinding30</vt:lpstr>
      <vt:lpstr>EDinding4</vt:lpstr>
      <vt:lpstr>EDinding5</vt:lpstr>
      <vt:lpstr>EDinding6</vt:lpstr>
      <vt:lpstr>EDinding7</vt:lpstr>
      <vt:lpstr>EDinding8</vt:lpstr>
      <vt:lpstr>EDinding9</vt:lpstr>
      <vt:lpstr>FBeton1</vt:lpstr>
      <vt:lpstr>FBeton10</vt:lpstr>
      <vt:lpstr>FBeton11</vt:lpstr>
      <vt:lpstr>FBeton12</vt:lpstr>
      <vt:lpstr>FBeton13</vt:lpstr>
      <vt:lpstr>FBeton14</vt:lpstr>
      <vt:lpstr>FBeton15</vt:lpstr>
      <vt:lpstr>FBeton16</vt:lpstr>
      <vt:lpstr>FBeton17</vt:lpstr>
      <vt:lpstr>FBeton18</vt:lpstr>
      <vt:lpstr>FBeton19</vt:lpstr>
      <vt:lpstr>FBeton2</vt:lpstr>
      <vt:lpstr>FBeton20</vt:lpstr>
      <vt:lpstr>FBeton21</vt:lpstr>
      <vt:lpstr>FBeton22</vt:lpstr>
      <vt:lpstr>FBeton23</vt:lpstr>
      <vt:lpstr>FBeton24</vt:lpstr>
      <vt:lpstr>FBeton25</vt:lpstr>
      <vt:lpstr>FBeton26</vt:lpstr>
      <vt:lpstr>FBeton27</vt:lpstr>
      <vt:lpstr>FBeton28</vt:lpstr>
      <vt:lpstr>FBeton29</vt:lpstr>
      <vt:lpstr>FBeton3</vt:lpstr>
      <vt:lpstr>FBeton30</vt:lpstr>
      <vt:lpstr>FBeton31</vt:lpstr>
      <vt:lpstr>FBeton32</vt:lpstr>
      <vt:lpstr>FBeton33</vt:lpstr>
      <vt:lpstr>FBeton34</vt:lpstr>
      <vt:lpstr>FBeton35</vt:lpstr>
      <vt:lpstr>FBeton36</vt:lpstr>
      <vt:lpstr>FBeton4</vt:lpstr>
      <vt:lpstr>FBeton5</vt:lpstr>
      <vt:lpstr>FBeton6</vt:lpstr>
      <vt:lpstr>FBeton7</vt:lpstr>
      <vt:lpstr>FBeton8</vt:lpstr>
      <vt:lpstr>FBeton9</vt:lpstr>
      <vt:lpstr>GPracetak1</vt:lpstr>
      <vt:lpstr>GPracetak10</vt:lpstr>
      <vt:lpstr>GPracetak11</vt:lpstr>
      <vt:lpstr>GPracetak12</vt:lpstr>
      <vt:lpstr>GPracetak13</vt:lpstr>
      <vt:lpstr>GPracetak14</vt:lpstr>
      <vt:lpstr>GPracetak15</vt:lpstr>
      <vt:lpstr>GPracetak16</vt:lpstr>
      <vt:lpstr>GPracetak17</vt:lpstr>
      <vt:lpstr>GPracetak18</vt:lpstr>
      <vt:lpstr>GPracetak19</vt:lpstr>
      <vt:lpstr>GPracetak2</vt:lpstr>
      <vt:lpstr>GPracetak20</vt:lpstr>
      <vt:lpstr>GPracetak21</vt:lpstr>
      <vt:lpstr>GPracetak22</vt:lpstr>
      <vt:lpstr>GPracetak23</vt:lpstr>
      <vt:lpstr>GPracetak24</vt:lpstr>
      <vt:lpstr>GPracetak3</vt:lpstr>
      <vt:lpstr>GPracetak4</vt:lpstr>
      <vt:lpstr>GPracetak5</vt:lpstr>
      <vt:lpstr>GPracetak6</vt:lpstr>
      <vt:lpstr>GPracetak7</vt:lpstr>
      <vt:lpstr>GPracetak8</vt:lpstr>
      <vt:lpstr>GPracetak9</vt:lpstr>
      <vt:lpstr>HPlesteran1</vt:lpstr>
      <vt:lpstr>HPlesteran10</vt:lpstr>
      <vt:lpstr>HPlesteran11</vt:lpstr>
      <vt:lpstr>HPlesteran12</vt:lpstr>
      <vt:lpstr>HPlesteran13</vt:lpstr>
      <vt:lpstr>HPlesteran14</vt:lpstr>
      <vt:lpstr>HPlesteran15</vt:lpstr>
      <vt:lpstr>HPlesteran16</vt:lpstr>
      <vt:lpstr>HPlesteran17</vt:lpstr>
      <vt:lpstr>HPlesteran18</vt:lpstr>
      <vt:lpstr>HPlesteran19</vt:lpstr>
      <vt:lpstr>HPlesteran2</vt:lpstr>
      <vt:lpstr>HPlesteran20</vt:lpstr>
      <vt:lpstr>HPlesteran21</vt:lpstr>
      <vt:lpstr>HPlesteran22</vt:lpstr>
      <vt:lpstr>HPlesteran23</vt:lpstr>
      <vt:lpstr>HPlesteran24</vt:lpstr>
      <vt:lpstr>HPlesteran25</vt:lpstr>
      <vt:lpstr>HPlesteran26</vt:lpstr>
      <vt:lpstr>HPlesteran27</vt:lpstr>
      <vt:lpstr>HPlesteran28</vt:lpstr>
      <vt:lpstr>HPlesteran29</vt:lpstr>
      <vt:lpstr>HPlesteran3</vt:lpstr>
      <vt:lpstr>HPlesteran30</vt:lpstr>
      <vt:lpstr>HPlesteran4</vt:lpstr>
      <vt:lpstr>HPlesteran5</vt:lpstr>
      <vt:lpstr>HPlesteran6</vt:lpstr>
      <vt:lpstr>HPlesteran7</vt:lpstr>
      <vt:lpstr>HPlesteran8</vt:lpstr>
      <vt:lpstr>HPlesteran9</vt:lpstr>
      <vt:lpstr>IKeramik1</vt:lpstr>
      <vt:lpstr>IKeramik10</vt:lpstr>
      <vt:lpstr>IKeramik11</vt:lpstr>
      <vt:lpstr>IKeramik12</vt:lpstr>
      <vt:lpstr>IKeramik13</vt:lpstr>
      <vt:lpstr>IKeramik14</vt:lpstr>
      <vt:lpstr>IKeramik15</vt:lpstr>
      <vt:lpstr>IKeramik16</vt:lpstr>
      <vt:lpstr>IKeramik17</vt:lpstr>
      <vt:lpstr>IKeramik18</vt:lpstr>
      <vt:lpstr>IKeramik19</vt:lpstr>
      <vt:lpstr>IKeramik2</vt:lpstr>
      <vt:lpstr>IKeramik20</vt:lpstr>
      <vt:lpstr>IKeramik21</vt:lpstr>
      <vt:lpstr>IKeramik22</vt:lpstr>
      <vt:lpstr>IKeramik23</vt:lpstr>
      <vt:lpstr>IKeramik24</vt:lpstr>
      <vt:lpstr>IKeramik25</vt:lpstr>
      <vt:lpstr>IKeramik26</vt:lpstr>
      <vt:lpstr>IKeramik27</vt:lpstr>
      <vt:lpstr>IKeramik28</vt:lpstr>
      <vt:lpstr>IKeramik29</vt:lpstr>
      <vt:lpstr>IKeramik3</vt:lpstr>
      <vt:lpstr>IKeramik30</vt:lpstr>
      <vt:lpstr>IKeramik31</vt:lpstr>
      <vt:lpstr>IKeramik32</vt:lpstr>
      <vt:lpstr>IKeramik33</vt:lpstr>
      <vt:lpstr>IKeramik34</vt:lpstr>
      <vt:lpstr>IKeramik35</vt:lpstr>
      <vt:lpstr>IKeramik36</vt:lpstr>
      <vt:lpstr>IKeramik37</vt:lpstr>
      <vt:lpstr>IKeramik38</vt:lpstr>
      <vt:lpstr>IKeramik39</vt:lpstr>
      <vt:lpstr>IKeramik4</vt:lpstr>
      <vt:lpstr>IKeramik40</vt:lpstr>
      <vt:lpstr>IKeramik41</vt:lpstr>
      <vt:lpstr>IKeramik42</vt:lpstr>
      <vt:lpstr>IKeramik43</vt:lpstr>
      <vt:lpstr>IKeramik44</vt:lpstr>
      <vt:lpstr>IKeramik45</vt:lpstr>
      <vt:lpstr>IKeramik46</vt:lpstr>
      <vt:lpstr>IKeramik47</vt:lpstr>
      <vt:lpstr>IKeramik48</vt:lpstr>
      <vt:lpstr>IKeramik49</vt:lpstr>
      <vt:lpstr>IKeramik5</vt:lpstr>
      <vt:lpstr>IKeramik50</vt:lpstr>
      <vt:lpstr>IKeramik51</vt:lpstr>
      <vt:lpstr>IKeramik52</vt:lpstr>
      <vt:lpstr>IKeramik53</vt:lpstr>
      <vt:lpstr>IKeramik54</vt:lpstr>
      <vt:lpstr>IKeramik55</vt:lpstr>
      <vt:lpstr>IKeramik56</vt:lpstr>
      <vt:lpstr>IKeramik57</vt:lpstr>
      <vt:lpstr>IKeramik58</vt:lpstr>
      <vt:lpstr>IKeramik59</vt:lpstr>
      <vt:lpstr>IKeramik6</vt:lpstr>
      <vt:lpstr>IKeramik60</vt:lpstr>
      <vt:lpstr>IKeramik61</vt:lpstr>
      <vt:lpstr>IKeramik62</vt:lpstr>
      <vt:lpstr>IKeramik63</vt:lpstr>
      <vt:lpstr>IKeramik64</vt:lpstr>
      <vt:lpstr>IKeramik65</vt:lpstr>
      <vt:lpstr>IKeramik66</vt:lpstr>
      <vt:lpstr>IKeramik67</vt:lpstr>
      <vt:lpstr>IKeramik68</vt:lpstr>
      <vt:lpstr>IKeramik69</vt:lpstr>
      <vt:lpstr>IKeramik7</vt:lpstr>
      <vt:lpstr>IKeramik70</vt:lpstr>
      <vt:lpstr>IKeramik71</vt:lpstr>
      <vt:lpstr>IKeramik72</vt:lpstr>
      <vt:lpstr>IKeramik73</vt:lpstr>
      <vt:lpstr>IKeramik74</vt:lpstr>
      <vt:lpstr>IKeramik8</vt:lpstr>
      <vt:lpstr>IKeramik9</vt:lpstr>
      <vt:lpstr>JKonblok1</vt:lpstr>
      <vt:lpstr>JKonblok2</vt:lpstr>
      <vt:lpstr>JKonblok3</vt:lpstr>
      <vt:lpstr>JKonblok4</vt:lpstr>
      <vt:lpstr>JKonblok5</vt:lpstr>
      <vt:lpstr>JKonblok6</vt:lpstr>
      <vt:lpstr>keramik6060</vt:lpstr>
      <vt:lpstr>'A.1.1.Pekerjaan Persiapan'!Print_Area</vt:lpstr>
      <vt:lpstr>'A.1.10.Pek Konblok'!Print_Area</vt:lpstr>
      <vt:lpstr>'A.1.2.Pekerjaan Bongkaran'!Print_Area</vt:lpstr>
      <vt:lpstr>'A.1.3.Pekerjaan Tanah'!Print_Area</vt:lpstr>
      <vt:lpstr>'A.1.4.Pekerjaan Pondasi'!Print_Area</vt:lpstr>
      <vt:lpstr>'A.1.5.Pekerjaan Pasangan'!Print_Area</vt:lpstr>
      <vt:lpstr>'A.1.6.Pekerjaan Beton'!Print_Area</vt:lpstr>
      <vt:lpstr>'A.1.7.Beton Pracetak'!Print_Area</vt:lpstr>
      <vt:lpstr>'A.1.8.Pekerjaan Plesteran'!Print_Area</vt:lpstr>
      <vt:lpstr>'A.1.9.Pek Penutup Dinding'!Print_Area</vt:lpstr>
      <vt:lpstr>'DAFTAR ISI'!Print_Area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vanex</dc:creator>
  <cp:lastModifiedBy>acer</cp:lastModifiedBy>
  <cp:lastPrinted>2017-08-08T06:14:04Z</cp:lastPrinted>
  <dcterms:created xsi:type="dcterms:W3CDTF">2014-08-07T01:43:42Z</dcterms:created>
  <dcterms:modified xsi:type="dcterms:W3CDTF">2017-08-08T06:14:17Z</dcterms:modified>
</cp:coreProperties>
</file>