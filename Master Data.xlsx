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\Documents\"/>
    </mc:Choice>
  </mc:AlternateContent>
  <xr:revisionPtr revIDLastSave="0" documentId="8_{753708D3-8B74-4135-A1A3-4DDDF5EA4CAB}" xr6:coauthVersionLast="36" xr6:coauthVersionMax="36" xr10:uidLastSave="{00000000-0000-0000-0000-000000000000}"/>
  <bookViews>
    <workbookView xWindow="0" yWindow="0" windowWidth="28800" windowHeight="11805" xr2:uid="{D55F1138-4784-43C6-80FB-C63980F8D167}"/>
  </bookViews>
  <sheets>
    <sheet name="Specification" sheetId="18" r:id="rId1"/>
    <sheet name="Item Code" sheetId="38" r:id="rId2"/>
    <sheet name="BOM Detail Cylo " sheetId="4" r:id="rId3"/>
    <sheet name="BOM Detail Cylo Bind" sheetId="5" r:id="rId4"/>
    <sheet name="BOM Detail Cylo Plus" sheetId="6" r:id="rId5"/>
    <sheet name="Formulation" sheetId="8" r:id="rId6"/>
    <sheet name="Sample Management" sheetId="27" r:id="rId7"/>
    <sheet name="Lab Analysis" sheetId="15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6" l="1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C7" i="6"/>
  <c r="E6" i="6"/>
  <c r="D6" i="6"/>
  <c r="C6" i="6"/>
  <c r="E5" i="6"/>
  <c r="D5" i="6"/>
  <c r="C5" i="6"/>
  <c r="E14" i="4"/>
  <c r="D14" i="4"/>
  <c r="C14" i="4"/>
  <c r="E13" i="4"/>
  <c r="E12" i="4"/>
  <c r="D13" i="4"/>
  <c r="D12" i="4"/>
  <c r="C13" i="4"/>
  <c r="C12" i="4"/>
  <c r="E11" i="4"/>
  <c r="D11" i="4"/>
  <c r="C11" i="4"/>
  <c r="A5" i="4"/>
  <c r="E10" i="4"/>
  <c r="D10" i="4"/>
  <c r="C10" i="4"/>
  <c r="E9" i="4"/>
  <c r="D9" i="4"/>
  <c r="C9" i="4"/>
  <c r="E8" i="4"/>
  <c r="D8" i="4"/>
  <c r="C8" i="4"/>
  <c r="C7" i="4"/>
  <c r="E6" i="4"/>
  <c r="D6" i="4"/>
  <c r="C6" i="4"/>
  <c r="E5" i="4"/>
  <c r="D5" i="4"/>
  <c r="C5" i="4"/>
  <c r="G11" i="6"/>
  <c r="A5" i="5"/>
  <c r="E16" i="5"/>
  <c r="E17" i="5"/>
  <c r="E15" i="5"/>
  <c r="E14" i="5"/>
  <c r="E13" i="5"/>
  <c r="D16" i="5"/>
  <c r="D17" i="5"/>
  <c r="D15" i="5"/>
  <c r="C16" i="5"/>
  <c r="C17" i="5"/>
  <c r="C15" i="5"/>
  <c r="D14" i="5"/>
  <c r="D13" i="5"/>
  <c r="C14" i="5"/>
  <c r="C13" i="5"/>
  <c r="E12" i="5"/>
  <c r="E11" i="5"/>
  <c r="D12" i="5"/>
  <c r="D11" i="5"/>
  <c r="C12" i="5"/>
  <c r="C11" i="5"/>
  <c r="E10" i="5"/>
  <c r="D10" i="5"/>
  <c r="C10" i="5"/>
  <c r="E9" i="5"/>
  <c r="E8" i="5"/>
  <c r="D9" i="5"/>
  <c r="D8" i="5"/>
  <c r="C9" i="5"/>
  <c r="C8" i="5"/>
  <c r="C7" i="5"/>
  <c r="E6" i="5"/>
  <c r="E5" i="5"/>
  <c r="D6" i="5"/>
  <c r="D5" i="5"/>
  <c r="C6" i="5"/>
  <c r="C5" i="5"/>
  <c r="A8" i="15"/>
  <c r="B8" i="15" s="1"/>
  <c r="A7" i="15"/>
  <c r="B7" i="15" s="1"/>
  <c r="A6" i="15"/>
  <c r="B6" i="15" s="1"/>
  <c r="A5" i="15"/>
  <c r="B5" i="15" s="1"/>
  <c r="J4" i="15"/>
  <c r="I4" i="15"/>
  <c r="F4" i="15"/>
  <c r="D4" i="15"/>
  <c r="B4" i="15"/>
  <c r="A4" i="15"/>
  <c r="G4" i="18"/>
  <c r="F4" i="18"/>
  <c r="G13" i="18"/>
  <c r="F13" i="18"/>
  <c r="G17" i="18"/>
  <c r="F17" i="18"/>
  <c r="F8" i="18"/>
</calcChain>
</file>

<file path=xl/sharedStrings.xml><?xml version="1.0" encoding="utf-8"?>
<sst xmlns="http://schemas.openxmlformats.org/spreadsheetml/2006/main" count="681" uniqueCount="318">
  <si>
    <t>Raw Material</t>
  </si>
  <si>
    <t>RM ID</t>
  </si>
  <si>
    <t>Material Name</t>
  </si>
  <si>
    <t>Category</t>
  </si>
  <si>
    <t>Supplier</t>
  </si>
  <si>
    <t>Unit</t>
  </si>
  <si>
    <t>RM</t>
  </si>
  <si>
    <t xml:space="preserve">Pellicle </t>
  </si>
  <si>
    <t>Bronopol</t>
  </si>
  <si>
    <t>Kaporit</t>
  </si>
  <si>
    <t>Emulan</t>
  </si>
  <si>
    <t>Voxanol GA7</t>
  </si>
  <si>
    <t>Carboxymethyl cellulose</t>
  </si>
  <si>
    <t>Sodium bisulfite</t>
  </si>
  <si>
    <t>Sodium hydroxide</t>
  </si>
  <si>
    <t>Clear packaging tape</t>
  </si>
  <si>
    <t>PM</t>
  </si>
  <si>
    <t>Main component</t>
  </si>
  <si>
    <t>Thickener</t>
  </si>
  <si>
    <t>Preservative</t>
  </si>
  <si>
    <t>Desinfectant agent</t>
  </si>
  <si>
    <t>Surfactant</t>
  </si>
  <si>
    <t>Cleaning agent of pellicle</t>
  </si>
  <si>
    <t>Packaging material</t>
  </si>
  <si>
    <t>kg</t>
  </si>
  <si>
    <t>L</t>
  </si>
  <si>
    <t>pcs</t>
  </si>
  <si>
    <t>Price (Rp)</t>
  </si>
  <si>
    <t>Type</t>
  </si>
  <si>
    <t>Status</t>
  </si>
  <si>
    <t>Function</t>
  </si>
  <si>
    <t>China</t>
  </si>
  <si>
    <t>Nouryon</t>
  </si>
  <si>
    <t>BOM ID</t>
  </si>
  <si>
    <t>Version</t>
  </si>
  <si>
    <t>Date</t>
  </si>
  <si>
    <t>Cylo</t>
  </si>
  <si>
    <t>Cylo Bind</t>
  </si>
  <si>
    <t>V1</t>
  </si>
  <si>
    <t>Cylo Plus</t>
  </si>
  <si>
    <t>Fera</t>
  </si>
  <si>
    <t>Quantity</t>
  </si>
  <si>
    <t xml:space="preserve">Use tolerance </t>
  </si>
  <si>
    <t>%Tolerance</t>
  </si>
  <si>
    <t>Tolerance value</t>
  </si>
  <si>
    <t>Remark</t>
  </si>
  <si>
    <t>Raw Water</t>
  </si>
  <si>
    <t>Solvent</t>
  </si>
  <si>
    <t>Cylo Plus V</t>
  </si>
  <si>
    <t>Specification</t>
  </si>
  <si>
    <t>Formulation</t>
  </si>
  <si>
    <t>SPECIFICATION &amp; METHOD</t>
  </si>
  <si>
    <t>Product</t>
  </si>
  <si>
    <t>Parameter</t>
  </si>
  <si>
    <t>Method</t>
  </si>
  <si>
    <t>Spec Min</t>
  </si>
  <si>
    <t>Spec Max</t>
  </si>
  <si>
    <t>Appearance</t>
  </si>
  <si>
    <t>Visual</t>
  </si>
  <si>
    <t>-</t>
  </si>
  <si>
    <t>Hazy liquid colorless</t>
  </si>
  <si>
    <t>pH</t>
  </si>
  <si>
    <t>pH meter</t>
  </si>
  <si>
    <t>Viscosity</t>
  </si>
  <si>
    <t>Viscometer</t>
  </si>
  <si>
    <t>cPs</t>
  </si>
  <si>
    <t>Moisture content</t>
  </si>
  <si>
    <t>Moisture balance</t>
  </si>
  <si>
    <t>%</t>
  </si>
  <si>
    <t>Total plate count</t>
  </si>
  <si>
    <t>TPC-ISO 4833-1</t>
  </si>
  <si>
    <t>CFU/g</t>
  </si>
  <si>
    <t>Mould count</t>
  </si>
  <si>
    <t>Mould - ISO 21527</t>
  </si>
  <si>
    <t>E. Coli</t>
  </si>
  <si>
    <t>E. coli - ISO 16649-2</t>
  </si>
  <si>
    <t>Negative</t>
  </si>
  <si>
    <t>Density</t>
  </si>
  <si>
    <t>Hydrometer</t>
  </si>
  <si>
    <t>g/ml</t>
  </si>
  <si>
    <t>IM</t>
  </si>
  <si>
    <t>FG</t>
  </si>
  <si>
    <t>Material Type</t>
  </si>
  <si>
    <t>Stability/phase separation</t>
  </si>
  <si>
    <t>No separation</t>
  </si>
  <si>
    <t xml:space="preserve">No separation </t>
  </si>
  <si>
    <t>Centrifuge (10 min)</t>
  </si>
  <si>
    <t>Formula ID</t>
  </si>
  <si>
    <t>User &amp; Departement</t>
  </si>
  <si>
    <t>Researcher</t>
  </si>
  <si>
    <t>Background</t>
  </si>
  <si>
    <t>Purpose</t>
  </si>
  <si>
    <t>Description</t>
  </si>
  <si>
    <t>Research</t>
  </si>
  <si>
    <t>Pesticide</t>
  </si>
  <si>
    <t>Active Ingredient</t>
  </si>
  <si>
    <t>Note</t>
  </si>
  <si>
    <t>Start</t>
  </si>
  <si>
    <t>End</t>
  </si>
  <si>
    <t>Closed</t>
  </si>
  <si>
    <t>Supporting Data</t>
  </si>
  <si>
    <t>Report</t>
  </si>
  <si>
    <t>F-2601001</t>
  </si>
  <si>
    <t>F-2602001</t>
  </si>
  <si>
    <t>F-2602002</t>
  </si>
  <si>
    <t>Approved</t>
  </si>
  <si>
    <t>Master Schedule</t>
  </si>
  <si>
    <t>Done</t>
  </si>
  <si>
    <t>f-2601002</t>
  </si>
  <si>
    <t>Draft</t>
  </si>
  <si>
    <t>F-2602003</t>
  </si>
  <si>
    <t>F-2603001</t>
  </si>
  <si>
    <t>F-2604001</t>
  </si>
  <si>
    <t>F-2604002</t>
  </si>
  <si>
    <t>R&amp;D</t>
  </si>
  <si>
    <t>Production</t>
  </si>
  <si>
    <t>Product Development</t>
  </si>
  <si>
    <t>PPIC</t>
  </si>
  <si>
    <t>Input Date</t>
  </si>
  <si>
    <t>RESEARCH MANAGEMENT SYSTEM</t>
  </si>
  <si>
    <t>Rework Production</t>
  </si>
  <si>
    <t>Registration</t>
  </si>
  <si>
    <t>Improvement</t>
  </si>
  <si>
    <t>Vendor Qualification</t>
  </si>
  <si>
    <t>Sample Preparation</t>
  </si>
  <si>
    <t>New Development</t>
  </si>
  <si>
    <t>Bill of Materials</t>
  </si>
  <si>
    <t>SAMPLE MANAGEMENT</t>
  </si>
  <si>
    <t>No</t>
  </si>
  <si>
    <t>Register Sample</t>
  </si>
  <si>
    <t>Lab Test Queue</t>
  </si>
  <si>
    <t>QC Status</t>
  </si>
  <si>
    <t>Sample ID</t>
  </si>
  <si>
    <t>Batch</t>
  </si>
  <si>
    <t>Parameter request</t>
  </si>
  <si>
    <t>Requestor</t>
  </si>
  <si>
    <t>Department</t>
  </si>
  <si>
    <t>Priority</t>
  </si>
  <si>
    <t>Data Received</t>
  </si>
  <si>
    <t>Due Date</t>
  </si>
  <si>
    <t>SMP-001</t>
  </si>
  <si>
    <t xml:space="preserve">pH, Viscosity </t>
  </si>
  <si>
    <t>High</t>
  </si>
  <si>
    <t>Pending QC</t>
  </si>
  <si>
    <t>SMP-002</t>
  </si>
  <si>
    <t>pH, Viscosity, Microbiology parameter</t>
  </si>
  <si>
    <t>Customer</t>
  </si>
  <si>
    <t>Normal</t>
  </si>
  <si>
    <t>In Testing</t>
  </si>
  <si>
    <t>SMP-003</t>
  </si>
  <si>
    <t>pH, Viscosity, density</t>
  </si>
  <si>
    <t>QA/QC</t>
  </si>
  <si>
    <t>SMP-004</t>
  </si>
  <si>
    <t>Rejected</t>
  </si>
  <si>
    <t>SMP-005</t>
  </si>
  <si>
    <t>Microbiology parameter</t>
  </si>
  <si>
    <t>Warehouse</t>
  </si>
  <si>
    <t>LAB ANALYSIS</t>
  </si>
  <si>
    <t>Result</t>
  </si>
  <si>
    <t>Test date</t>
  </si>
  <si>
    <t>Remarks</t>
  </si>
  <si>
    <t>Analyst Name</t>
  </si>
  <si>
    <t>PASS</t>
  </si>
  <si>
    <t>FAIL</t>
  </si>
  <si>
    <t>Stock</t>
  </si>
  <si>
    <t>Slicer + homogenizer + mixing</t>
  </si>
  <si>
    <t>homogenizer + mixing</t>
  </si>
  <si>
    <t>mixing</t>
  </si>
  <si>
    <t>not applicable</t>
  </si>
  <si>
    <t xml:space="preserve">List Kode Barang </t>
  </si>
  <si>
    <t>SKU --&gt; Stock Keeping Unit</t>
  </si>
  <si>
    <t>UTAMA</t>
  </si>
  <si>
    <t>Kode</t>
  </si>
  <si>
    <t>Inventory</t>
  </si>
  <si>
    <t>I</t>
  </si>
  <si>
    <t>Non inventory</t>
  </si>
  <si>
    <t>N</t>
  </si>
  <si>
    <t>Kategori</t>
  </si>
  <si>
    <t>Product Finish Good</t>
  </si>
  <si>
    <t>Packaging &amp; Repacking</t>
  </si>
  <si>
    <t>Spare Part</t>
  </si>
  <si>
    <t>SR</t>
  </si>
  <si>
    <t>Service Products</t>
  </si>
  <si>
    <t>SV</t>
  </si>
  <si>
    <t>Others</t>
  </si>
  <si>
    <t>OS</t>
  </si>
  <si>
    <t>Jenis</t>
  </si>
  <si>
    <t>Formulasi Liquid</t>
  </si>
  <si>
    <t>Formulasi Powder</t>
  </si>
  <si>
    <t>Repacking Liquid</t>
  </si>
  <si>
    <t>Repacking Powder</t>
  </si>
  <si>
    <t>Proses</t>
  </si>
  <si>
    <t>Item Code</t>
  </si>
  <si>
    <t>10</t>
  </si>
  <si>
    <t>11</t>
  </si>
  <si>
    <t>12</t>
  </si>
  <si>
    <t>13</t>
  </si>
  <si>
    <t>20</t>
  </si>
  <si>
    <t>21</t>
  </si>
  <si>
    <t>22</t>
  </si>
  <si>
    <t>23</t>
  </si>
  <si>
    <t>IRM1020001</t>
  </si>
  <si>
    <t>Label sticker karton box C2509</t>
  </si>
  <si>
    <t>C2509 @ 100 ml</t>
  </si>
  <si>
    <t>C2509 @500 ml</t>
  </si>
  <si>
    <t>C2509 @ 1 ltr</t>
  </si>
  <si>
    <t>C2509 @ 5 ltr</t>
  </si>
  <si>
    <t>Cylo Bind @ 100 ml</t>
  </si>
  <si>
    <t>Cylo Bind @500 ml</t>
  </si>
  <si>
    <t>Cylo Bind @ 1 ltr</t>
  </si>
  <si>
    <t>Cylo Bind @ 5 ltr</t>
  </si>
  <si>
    <t>Cylo Bind @ 10 ltr</t>
  </si>
  <si>
    <t>Jerrycan PE white @ 5 ltr</t>
  </si>
  <si>
    <t>Cap Jerrycan PE white @ 5 ltr</t>
  </si>
  <si>
    <t>Label sticker karton box Cylo Bind</t>
  </si>
  <si>
    <t>Label sticker karton box Cylo Plus</t>
  </si>
  <si>
    <t>Label sticker Cylo Bind @2.5 gal (sisi depan)</t>
  </si>
  <si>
    <t>Label sticker Cylo Bind @2.5 gal (sisi belakang)</t>
  </si>
  <si>
    <t>C2509 @ 200 ltr</t>
  </si>
  <si>
    <t>Label sticker C2509 @ 200 ltr, drum</t>
  </si>
  <si>
    <t xml:space="preserve">Label sticker C2509 @ 5 L, jerrycan </t>
  </si>
  <si>
    <t>Tutup botol PE @ 100 ml</t>
  </si>
  <si>
    <t>Label sticker C2509 @ 1 L, botol PE</t>
  </si>
  <si>
    <t>Label sticker C2509 @100 ml, botol PE</t>
  </si>
  <si>
    <t>Label sticker C2509 @500 ml, botol PE</t>
  </si>
  <si>
    <t>Inner plug jerrycan PE white</t>
  </si>
  <si>
    <t>Botol PE white @ 100 ml dengan induction seal</t>
  </si>
  <si>
    <t>Botol PE white @500 ml</t>
  </si>
  <si>
    <t>Botol PE white @ 1 ltr</t>
  </si>
  <si>
    <t>Tutup botol PE white @500 ml/1 ltr</t>
  </si>
  <si>
    <t>Inner plug botol PE white</t>
  </si>
  <si>
    <t>Cylo Plus @100 ml</t>
  </si>
  <si>
    <t>Cylo plus @500 ml</t>
  </si>
  <si>
    <t>Cylo plus @1 ltr</t>
  </si>
  <si>
    <t>Cylo plus @200 ltr</t>
  </si>
  <si>
    <t>Cylo Plus @ 5 ltr</t>
  </si>
  <si>
    <t>Cylo plus @ 10 ltr</t>
  </si>
  <si>
    <t>Jerrycan PE white @2.5 gal</t>
  </si>
  <si>
    <t>Cap Jerrycan PE white @2.5 gal</t>
  </si>
  <si>
    <r>
      <t>Carboard box white (360</t>
    </r>
    <r>
      <rPr>
        <sz val="11"/>
        <color theme="1"/>
        <rFont val="Calibri"/>
        <family val="2"/>
      </rPr>
      <t>×</t>
    </r>
    <r>
      <rPr>
        <sz val="10.55"/>
        <color theme="1"/>
        <rFont val="Calibri"/>
        <family val="2"/>
      </rPr>
      <t>250×324 mm)</t>
    </r>
  </si>
  <si>
    <t>Pallet (1100×1100 mm)</t>
  </si>
  <si>
    <t>IPM1223011</t>
  </si>
  <si>
    <t>IPM1223012</t>
  </si>
  <si>
    <t>IPM1223013</t>
  </si>
  <si>
    <t>IPM1223014</t>
  </si>
  <si>
    <t>IPM1223015</t>
  </si>
  <si>
    <t>IPM1223016</t>
  </si>
  <si>
    <t>IPM1223017</t>
  </si>
  <si>
    <t>IPM1223018</t>
  </si>
  <si>
    <t>IPM1223019</t>
  </si>
  <si>
    <t>IPM1223020</t>
  </si>
  <si>
    <t>IPM1223021</t>
  </si>
  <si>
    <t>IPM1223022</t>
  </si>
  <si>
    <t>IPM1223023</t>
  </si>
  <si>
    <t>IPM1223024</t>
  </si>
  <si>
    <t>IPM1223025</t>
  </si>
  <si>
    <t>IPM1223026</t>
  </si>
  <si>
    <t>IPM1223027</t>
  </si>
  <si>
    <t>IPM1223028</t>
  </si>
  <si>
    <t>IPM1223029</t>
  </si>
  <si>
    <t>IPM1223030</t>
  </si>
  <si>
    <t>IPM1223031</t>
  </si>
  <si>
    <t>IPM1223032</t>
  </si>
  <si>
    <t>IPM1223033</t>
  </si>
  <si>
    <t>IPM1223034</t>
  </si>
  <si>
    <t>IRM1022002</t>
  </si>
  <si>
    <t>IRM1022003</t>
  </si>
  <si>
    <t>IRM1022004</t>
  </si>
  <si>
    <t>IRM1022005</t>
  </si>
  <si>
    <t>IRM1022006</t>
  </si>
  <si>
    <t>IRM1022007</t>
  </si>
  <si>
    <t>IRM1022008</t>
  </si>
  <si>
    <t>IRM1022009</t>
  </si>
  <si>
    <t>IRM1022010</t>
  </si>
  <si>
    <t>IFG1021047</t>
  </si>
  <si>
    <t>IFG1021048</t>
  </si>
  <si>
    <t>IFG1021049</t>
  </si>
  <si>
    <t>IFG1021050</t>
  </si>
  <si>
    <t>Finish Good</t>
  </si>
  <si>
    <t>Label sticker Cylo Bind @100 ml, botol PE</t>
  </si>
  <si>
    <t>Label sticker Cylo Bind @500 ml, botol PE</t>
  </si>
  <si>
    <t>Label sticker Cylo Bind @ 1 L, botol PE</t>
  </si>
  <si>
    <t xml:space="preserve">Label sticker Cylo Bind @ 5 L, jerrycan </t>
  </si>
  <si>
    <t>Label sticker Cylo Bind @ 200 ltr, drum</t>
  </si>
  <si>
    <t>Label sticker Cylo plus @100 ml, botol PE</t>
  </si>
  <si>
    <t>Label sticker Cylo plus @500 ml, botol PE</t>
  </si>
  <si>
    <t>Label sticker Cylo plus @ 1 L, botol PE</t>
  </si>
  <si>
    <t xml:space="preserve">Label sticker Cylo plus @ 5 L, jerrycan </t>
  </si>
  <si>
    <t>Label sticker Cylo plus @ 200 ltr, drum</t>
  </si>
  <si>
    <t>Drum PE Biru @ 200 ltr</t>
  </si>
  <si>
    <t>Seal drum PE biru @ 200 ltr</t>
  </si>
  <si>
    <t>IPM1223035</t>
  </si>
  <si>
    <t>IPM1223036</t>
  </si>
  <si>
    <t>IPM1223037</t>
  </si>
  <si>
    <t>IPM1223038</t>
  </si>
  <si>
    <t>IPM1223039</t>
  </si>
  <si>
    <t>IPM1223040</t>
  </si>
  <si>
    <t>IPM1223041</t>
  </si>
  <si>
    <t>IPM1223042</t>
  </si>
  <si>
    <t>IPM1223043</t>
  </si>
  <si>
    <t>IPM1223044</t>
  </si>
  <si>
    <t>IPM1223045</t>
  </si>
  <si>
    <t>IPM1223046</t>
  </si>
  <si>
    <t>IFG1021051</t>
  </si>
  <si>
    <t>IFG1021052</t>
  </si>
  <si>
    <t>IFG1021053</t>
  </si>
  <si>
    <t>IFG1021054</t>
  </si>
  <si>
    <t>IFG1021055</t>
  </si>
  <si>
    <t>IFG1021056</t>
  </si>
  <si>
    <t>IFG1021057</t>
  </si>
  <si>
    <t>IFG1021058</t>
  </si>
  <si>
    <t>IFG1021059</t>
  </si>
  <si>
    <t>IFG1021060</t>
  </si>
  <si>
    <t>IFG1021061</t>
  </si>
  <si>
    <t>IFG1021062</t>
  </si>
  <si>
    <t>Bill of Materials Cylo Bind @2.5 gal</t>
  </si>
  <si>
    <t>Bill of Materials Cylo @200 ltr</t>
  </si>
  <si>
    <t>Bill of Materials Cylo Plus @200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</si>
</sst>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.5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aa/Downloads/LI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Raw Material Module"/>
      <sheetName val="Samples"/>
      <sheetName val="Lab Tests"/>
      <sheetName val="Specifications"/>
      <sheetName val="Formulation"/>
      <sheetName val="Stability"/>
      <sheetName val="Reports"/>
      <sheetName val="Admin"/>
      <sheetName val="Overall Lab System Flow"/>
      <sheetName val="Workflow-QC Process"/>
      <sheetName val="Workflow-R&amp;D Process"/>
      <sheetName val="QC-RND ERP Module"/>
      <sheetName val="Approval workflow"/>
    </sheetNames>
    <sheetDataSet>
      <sheetData sheetId="0"/>
      <sheetData sheetId="1"/>
      <sheetData sheetId="2">
        <row r="1">
          <cell r="A1" t="str">
            <v>SAMPLE MANAGEMENT</v>
          </cell>
        </row>
        <row r="3">
          <cell r="A3" t="str">
            <v>No</v>
          </cell>
          <cell r="B3" t="str">
            <v>Register Sample</v>
          </cell>
        </row>
        <row r="4">
          <cell r="B4" t="str">
            <v>Sample ID</v>
          </cell>
        </row>
        <row r="5">
          <cell r="A5">
            <v>1</v>
          </cell>
          <cell r="B5" t="str">
            <v>SMP-001</v>
          </cell>
        </row>
        <row r="6">
          <cell r="A6">
            <v>2</v>
          </cell>
          <cell r="B6" t="str">
            <v>SMP-002</v>
          </cell>
        </row>
        <row r="7">
          <cell r="A7">
            <v>3</v>
          </cell>
          <cell r="B7" t="str">
            <v>SMP-003</v>
          </cell>
        </row>
        <row r="8">
          <cell r="A8">
            <v>4</v>
          </cell>
          <cell r="B8" t="str">
            <v>SMP-004</v>
          </cell>
        </row>
        <row r="9">
          <cell r="A9">
            <v>5</v>
          </cell>
          <cell r="B9" t="str">
            <v>SMP-005</v>
          </cell>
        </row>
      </sheetData>
      <sheetData sheetId="3"/>
      <sheetData sheetId="4">
        <row r="3">
          <cell r="C3" t="str">
            <v>Method</v>
          </cell>
          <cell r="D3" t="str">
            <v>Unit</v>
          </cell>
          <cell r="E3" t="str">
            <v>Spec Min</v>
          </cell>
          <cell r="F3" t="str">
            <v>Spec Max</v>
          </cell>
          <cell r="G3" t="str">
            <v>Key</v>
          </cell>
        </row>
        <row r="4">
          <cell r="C4" t="str">
            <v>Visual</v>
          </cell>
          <cell r="D4" t="str">
            <v>-</v>
          </cell>
          <cell r="E4" t="str">
            <v>Hazy liquid colorless</v>
          </cell>
          <cell r="F4" t="str">
            <v>Hazy liquid colorless</v>
          </cell>
          <cell r="G4" t="str">
            <v>CyloAppearance</v>
          </cell>
        </row>
        <row r="5">
          <cell r="C5" t="str">
            <v>pH meter</v>
          </cell>
          <cell r="D5" t="str">
            <v>-</v>
          </cell>
          <cell r="E5">
            <v>3</v>
          </cell>
          <cell r="F5">
            <v>7.5</v>
          </cell>
          <cell r="G5" t="str">
            <v>CylopH</v>
          </cell>
        </row>
        <row r="6">
          <cell r="C6" t="str">
            <v>Viscometer</v>
          </cell>
          <cell r="D6" t="str">
            <v>cPs</v>
          </cell>
          <cell r="E6">
            <v>30</v>
          </cell>
          <cell r="F6">
            <v>50</v>
          </cell>
          <cell r="G6" t="str">
            <v>CyloViscosity</v>
          </cell>
        </row>
        <row r="7">
          <cell r="C7" t="str">
            <v>Moisture balance</v>
          </cell>
          <cell r="D7" t="str">
            <v>%</v>
          </cell>
          <cell r="E7">
            <v>0</v>
          </cell>
          <cell r="F7">
            <v>99.8</v>
          </cell>
          <cell r="G7" t="str">
            <v>CyloMoisture content</v>
          </cell>
        </row>
        <row r="8">
          <cell r="C8" t="str">
            <v>TPC-ISO 4833-1</v>
          </cell>
          <cell r="D8" t="str">
            <v>CFU/g</v>
          </cell>
          <cell r="E8">
            <v>0</v>
          </cell>
          <cell r="F8">
            <v>1000</v>
          </cell>
          <cell r="G8" t="str">
            <v>CyloTotal plate count</v>
          </cell>
        </row>
        <row r="9">
          <cell r="C9" t="str">
            <v>Mould - ISO 21527</v>
          </cell>
          <cell r="D9" t="str">
            <v>CFU/g</v>
          </cell>
          <cell r="E9">
            <v>0</v>
          </cell>
          <cell r="F9">
            <v>100</v>
          </cell>
          <cell r="G9" t="str">
            <v>CyloMould count</v>
          </cell>
        </row>
        <row r="10">
          <cell r="C10" t="str">
            <v>E. coli - ISO 16649-2</v>
          </cell>
          <cell r="D10" t="str">
            <v>-</v>
          </cell>
          <cell r="E10" t="str">
            <v>Negative</v>
          </cell>
          <cell r="F10" t="str">
            <v>Negative</v>
          </cell>
          <cell r="G10" t="str">
            <v>CyloE. Coli</v>
          </cell>
        </row>
        <row r="11">
          <cell r="C11" t="str">
            <v>Visual</v>
          </cell>
          <cell r="D11" t="str">
            <v>-</v>
          </cell>
          <cell r="E11" t="str">
            <v>Hazy liquid colorless</v>
          </cell>
          <cell r="F11" t="str">
            <v>Hazy liquid colorless</v>
          </cell>
          <cell r="G11" t="str">
            <v>Cylo PlusAppearance</v>
          </cell>
        </row>
        <row r="12">
          <cell r="C12" t="str">
            <v>pH meter</v>
          </cell>
          <cell r="D12" t="str">
            <v>-</v>
          </cell>
          <cell r="E12">
            <v>4</v>
          </cell>
          <cell r="F12">
            <v>7.5</v>
          </cell>
          <cell r="G12" t="str">
            <v>Cylo PluspH</v>
          </cell>
        </row>
        <row r="13">
          <cell r="C13" t="str">
            <v>Viscometer</v>
          </cell>
          <cell r="D13" t="str">
            <v>cPs</v>
          </cell>
          <cell r="E13">
            <v>40</v>
          </cell>
          <cell r="F13">
            <v>100</v>
          </cell>
          <cell r="G13" t="str">
            <v>Cylo PlusViscosity</v>
          </cell>
        </row>
        <row r="14">
          <cell r="C14" t="str">
            <v>Hydrometer</v>
          </cell>
          <cell r="D14" t="str">
            <v>g/ml</v>
          </cell>
          <cell r="E14">
            <v>0.99</v>
          </cell>
          <cell r="F14">
            <v>1.02</v>
          </cell>
          <cell r="G14" t="str">
            <v>Cylo PlusDensity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A546-555D-4EAD-BF90-D94E884F14E5}">
  <dimension ref="A1:G29"/>
  <sheetViews>
    <sheetView tabSelected="1" zoomScale="90" workbookViewId="0">
      <selection activeCell="E27" sqref="E27"/>
    </sheetView>
  </sheetViews>
  <sheetFormatPr defaultRowHeight="15" x14ac:dyDescent="0.25"/>
  <cols>
    <col min="1" max="1" width="18.42578125" customWidth="1"/>
    <col min="2" max="2" width="14.28515625" customWidth="1"/>
    <col min="3" max="3" width="24.5703125" customWidth="1"/>
    <col min="4" max="4" width="20" customWidth="1"/>
    <col min="5" max="5" width="10.85546875" customWidth="1"/>
    <col min="6" max="6" width="22.7109375" customWidth="1"/>
    <col min="7" max="7" width="19.7109375" customWidth="1"/>
  </cols>
  <sheetData>
    <row r="1" spans="1:7" ht="31.5" x14ac:dyDescent="0.25">
      <c r="A1" s="24" t="s">
        <v>51</v>
      </c>
      <c r="B1" s="24"/>
      <c r="C1" s="24"/>
      <c r="D1" s="24"/>
      <c r="E1" s="24"/>
      <c r="F1" s="24"/>
      <c r="G1" s="24"/>
    </row>
    <row r="2" spans="1:7" x14ac:dyDescent="0.25">
      <c r="A2" s="25"/>
      <c r="B2" s="25"/>
      <c r="C2" s="25"/>
      <c r="D2" s="25"/>
      <c r="E2" s="25"/>
      <c r="F2" s="25"/>
      <c r="G2" s="25"/>
    </row>
    <row r="3" spans="1:7" ht="18.75" x14ac:dyDescent="0.3">
      <c r="A3" s="10" t="s">
        <v>82</v>
      </c>
      <c r="B3" s="8" t="s">
        <v>52</v>
      </c>
      <c r="C3" s="8" t="s">
        <v>53</v>
      </c>
      <c r="D3" s="8" t="s">
        <v>54</v>
      </c>
      <c r="E3" s="8" t="s">
        <v>5</v>
      </c>
      <c r="F3" s="8" t="s">
        <v>55</v>
      </c>
      <c r="G3" s="8" t="s">
        <v>56</v>
      </c>
    </row>
    <row r="4" spans="1:7" x14ac:dyDescent="0.25">
      <c r="A4" s="20" t="s">
        <v>80</v>
      </c>
      <c r="B4" s="2" t="s">
        <v>36</v>
      </c>
      <c r="C4" s="2" t="s">
        <v>66</v>
      </c>
      <c r="D4" s="2" t="s">
        <v>67</v>
      </c>
      <c r="E4" s="1" t="s">
        <v>68</v>
      </c>
      <c r="F4" s="1">
        <f>100-0.2</f>
        <v>99.8</v>
      </c>
      <c r="G4" s="1">
        <f>99.7</f>
        <v>99.7</v>
      </c>
    </row>
    <row r="5" spans="1:7" x14ac:dyDescent="0.25">
      <c r="A5" s="22"/>
      <c r="B5" s="2" t="s">
        <v>36</v>
      </c>
      <c r="C5" s="2" t="s">
        <v>83</v>
      </c>
      <c r="D5" s="2" t="s">
        <v>86</v>
      </c>
      <c r="E5" s="1" t="s">
        <v>59</v>
      </c>
      <c r="F5" s="1" t="s">
        <v>84</v>
      </c>
      <c r="G5" s="1" t="s">
        <v>85</v>
      </c>
    </row>
    <row r="6" spans="1:7" x14ac:dyDescent="0.25">
      <c r="A6" s="20" t="s">
        <v>81</v>
      </c>
      <c r="B6" s="2" t="s">
        <v>36</v>
      </c>
      <c r="C6" s="2" t="s">
        <v>61</v>
      </c>
      <c r="D6" s="2" t="s">
        <v>62</v>
      </c>
      <c r="E6" s="1" t="s">
        <v>59</v>
      </c>
      <c r="F6" s="1">
        <v>3</v>
      </c>
      <c r="G6" s="1">
        <v>7.5</v>
      </c>
    </row>
    <row r="7" spans="1:7" x14ac:dyDescent="0.25">
      <c r="A7" s="21"/>
      <c r="B7" s="2" t="s">
        <v>36</v>
      </c>
      <c r="C7" s="2" t="s">
        <v>63</v>
      </c>
      <c r="D7" s="2" t="s">
        <v>64</v>
      </c>
      <c r="E7" s="1" t="s">
        <v>65</v>
      </c>
      <c r="F7" s="1">
        <v>30</v>
      </c>
      <c r="G7" s="1">
        <v>50</v>
      </c>
    </row>
    <row r="8" spans="1:7" x14ac:dyDescent="0.25">
      <c r="A8" s="21"/>
      <c r="B8" s="2" t="s">
        <v>36</v>
      </c>
      <c r="C8" s="2" t="s">
        <v>66</v>
      </c>
      <c r="D8" s="2" t="s">
        <v>67</v>
      </c>
      <c r="E8" s="1" t="s">
        <v>68</v>
      </c>
      <c r="F8" s="1">
        <f>100-0.1</f>
        <v>99.9</v>
      </c>
      <c r="G8" s="1">
        <v>99.8</v>
      </c>
    </row>
    <row r="9" spans="1:7" x14ac:dyDescent="0.25">
      <c r="A9" s="21"/>
      <c r="B9" s="2" t="s">
        <v>36</v>
      </c>
      <c r="C9" s="2" t="s">
        <v>69</v>
      </c>
      <c r="D9" s="2" t="s">
        <v>70</v>
      </c>
      <c r="E9" s="1" t="s">
        <v>71</v>
      </c>
      <c r="F9" s="1">
        <v>0</v>
      </c>
      <c r="G9" s="1">
        <v>1000</v>
      </c>
    </row>
    <row r="10" spans="1:7" x14ac:dyDescent="0.25">
      <c r="A10" s="21"/>
      <c r="B10" s="2" t="s">
        <v>36</v>
      </c>
      <c r="C10" s="2" t="s">
        <v>72</v>
      </c>
      <c r="D10" s="2" t="s">
        <v>73</v>
      </c>
      <c r="E10" s="1" t="s">
        <v>71</v>
      </c>
      <c r="F10" s="1">
        <v>0</v>
      </c>
      <c r="G10" s="1">
        <v>100</v>
      </c>
    </row>
    <row r="11" spans="1:7" x14ac:dyDescent="0.25">
      <c r="A11" s="21"/>
      <c r="B11" s="2" t="s">
        <v>36</v>
      </c>
      <c r="C11" s="2" t="s">
        <v>74</v>
      </c>
      <c r="D11" s="2" t="s">
        <v>75</v>
      </c>
      <c r="E11" s="1" t="s">
        <v>59</v>
      </c>
      <c r="F11" s="1" t="s">
        <v>76</v>
      </c>
      <c r="G11" s="1" t="s">
        <v>76</v>
      </c>
    </row>
    <row r="12" spans="1:7" x14ac:dyDescent="0.25">
      <c r="A12" s="22"/>
      <c r="B12" s="2" t="s">
        <v>36</v>
      </c>
      <c r="C12" s="2" t="s">
        <v>83</v>
      </c>
      <c r="D12" s="2" t="s">
        <v>86</v>
      </c>
      <c r="E12" s="1" t="s">
        <v>59</v>
      </c>
      <c r="F12" s="1" t="s">
        <v>84</v>
      </c>
      <c r="G12" s="1" t="s">
        <v>85</v>
      </c>
    </row>
    <row r="13" spans="1:7" x14ac:dyDescent="0.25">
      <c r="A13" s="20" t="s">
        <v>80</v>
      </c>
      <c r="B13" s="2" t="s">
        <v>37</v>
      </c>
      <c r="C13" s="2" t="s">
        <v>66</v>
      </c>
      <c r="D13" s="2" t="s">
        <v>67</v>
      </c>
      <c r="E13" s="1" t="s">
        <v>68</v>
      </c>
      <c r="F13" s="1">
        <f>100-0.2</f>
        <v>99.8</v>
      </c>
      <c r="G13" s="1">
        <f>99.7</f>
        <v>99.7</v>
      </c>
    </row>
    <row r="14" spans="1:7" x14ac:dyDescent="0.25">
      <c r="A14" s="22"/>
      <c r="B14" s="2" t="s">
        <v>37</v>
      </c>
      <c r="C14" s="2" t="s">
        <v>83</v>
      </c>
      <c r="D14" s="2" t="s">
        <v>86</v>
      </c>
      <c r="E14" s="1" t="s">
        <v>59</v>
      </c>
      <c r="F14" s="1" t="s">
        <v>84</v>
      </c>
      <c r="G14" s="1" t="s">
        <v>85</v>
      </c>
    </row>
    <row r="15" spans="1:7" x14ac:dyDescent="0.25">
      <c r="A15" s="20" t="s">
        <v>81</v>
      </c>
      <c r="B15" s="2" t="s">
        <v>37</v>
      </c>
      <c r="C15" s="2" t="s">
        <v>61</v>
      </c>
      <c r="D15" s="2" t="s">
        <v>62</v>
      </c>
      <c r="E15" s="1" t="s">
        <v>59</v>
      </c>
      <c r="F15" s="1">
        <v>3</v>
      </c>
      <c r="G15" s="1">
        <v>7.5</v>
      </c>
    </row>
    <row r="16" spans="1:7" x14ac:dyDescent="0.25">
      <c r="A16" s="21"/>
      <c r="B16" s="2" t="s">
        <v>37</v>
      </c>
      <c r="C16" s="2" t="s">
        <v>63</v>
      </c>
      <c r="D16" s="2" t="s">
        <v>64</v>
      </c>
      <c r="E16" s="1" t="s">
        <v>65</v>
      </c>
      <c r="F16" s="1">
        <v>30</v>
      </c>
      <c r="G16" s="1">
        <v>50</v>
      </c>
    </row>
    <row r="17" spans="1:7" x14ac:dyDescent="0.25">
      <c r="A17" s="21"/>
      <c r="B17" s="2" t="s">
        <v>37</v>
      </c>
      <c r="C17" s="2" t="s">
        <v>66</v>
      </c>
      <c r="D17" s="2" t="s">
        <v>67</v>
      </c>
      <c r="E17" s="1" t="s">
        <v>68</v>
      </c>
      <c r="F17" s="1">
        <f>100-0.2</f>
        <v>99.8</v>
      </c>
      <c r="G17" s="1">
        <f>99.7</f>
        <v>99.7</v>
      </c>
    </row>
    <row r="18" spans="1:7" x14ac:dyDescent="0.25">
      <c r="A18" s="21"/>
      <c r="B18" s="2" t="s">
        <v>37</v>
      </c>
      <c r="C18" s="2" t="s">
        <v>69</v>
      </c>
      <c r="D18" s="2" t="s">
        <v>70</v>
      </c>
      <c r="E18" s="1" t="s">
        <v>71</v>
      </c>
      <c r="F18" s="1">
        <v>0</v>
      </c>
      <c r="G18" s="1">
        <v>1000</v>
      </c>
    </row>
    <row r="19" spans="1:7" x14ac:dyDescent="0.25">
      <c r="A19" s="21"/>
      <c r="B19" s="2" t="s">
        <v>37</v>
      </c>
      <c r="C19" s="2" t="s">
        <v>72</v>
      </c>
      <c r="D19" s="2" t="s">
        <v>73</v>
      </c>
      <c r="E19" s="1" t="s">
        <v>71</v>
      </c>
      <c r="F19" s="1">
        <v>0</v>
      </c>
      <c r="G19" s="1">
        <v>100</v>
      </c>
    </row>
    <row r="20" spans="1:7" x14ac:dyDescent="0.25">
      <c r="A20" s="21"/>
      <c r="B20" s="2" t="s">
        <v>37</v>
      </c>
      <c r="C20" s="2" t="s">
        <v>74</v>
      </c>
      <c r="D20" s="2" t="s">
        <v>75</v>
      </c>
      <c r="E20" s="1" t="s">
        <v>59</v>
      </c>
      <c r="F20" s="1" t="s">
        <v>76</v>
      </c>
      <c r="G20" s="1" t="s">
        <v>76</v>
      </c>
    </row>
    <row r="21" spans="1:7" x14ac:dyDescent="0.25">
      <c r="A21" s="22"/>
      <c r="B21" s="2" t="s">
        <v>37</v>
      </c>
      <c r="C21" s="2" t="s">
        <v>83</v>
      </c>
      <c r="D21" s="2" t="s">
        <v>86</v>
      </c>
      <c r="E21" s="1" t="s">
        <v>59</v>
      </c>
      <c r="F21" s="1" t="s">
        <v>84</v>
      </c>
      <c r="G21" s="1" t="s">
        <v>85</v>
      </c>
    </row>
    <row r="22" spans="1:7" x14ac:dyDescent="0.25">
      <c r="A22" s="20" t="s">
        <v>81</v>
      </c>
      <c r="B22" s="2" t="s">
        <v>39</v>
      </c>
      <c r="C22" s="2" t="s">
        <v>57</v>
      </c>
      <c r="D22" s="2" t="s">
        <v>58</v>
      </c>
      <c r="E22" s="1" t="s">
        <v>59</v>
      </c>
      <c r="F22" s="1" t="s">
        <v>60</v>
      </c>
      <c r="G22" s="1" t="s">
        <v>60</v>
      </c>
    </row>
    <row r="23" spans="1:7" x14ac:dyDescent="0.25">
      <c r="A23" s="21"/>
      <c r="B23" s="2" t="s">
        <v>39</v>
      </c>
      <c r="C23" s="2" t="s">
        <v>61</v>
      </c>
      <c r="D23" s="2" t="s">
        <v>62</v>
      </c>
      <c r="E23" s="1" t="s">
        <v>59</v>
      </c>
      <c r="F23" s="1">
        <v>4</v>
      </c>
      <c r="G23" s="1">
        <v>7.5</v>
      </c>
    </row>
    <row r="24" spans="1:7" x14ac:dyDescent="0.25">
      <c r="A24" s="21"/>
      <c r="B24" s="2" t="s">
        <v>39</v>
      </c>
      <c r="C24" s="2" t="s">
        <v>63</v>
      </c>
      <c r="D24" s="2" t="s">
        <v>64</v>
      </c>
      <c r="E24" s="1" t="s">
        <v>65</v>
      </c>
      <c r="F24" s="1">
        <v>40</v>
      </c>
      <c r="G24" s="1">
        <v>100</v>
      </c>
    </row>
    <row r="25" spans="1:7" x14ac:dyDescent="0.25">
      <c r="A25" s="22"/>
      <c r="B25" s="2" t="s">
        <v>39</v>
      </c>
      <c r="C25" s="2" t="s">
        <v>77</v>
      </c>
      <c r="D25" s="2" t="s">
        <v>78</v>
      </c>
      <c r="E25" s="1" t="s">
        <v>79</v>
      </c>
      <c r="F25" s="9">
        <v>0.99</v>
      </c>
      <c r="G25" s="9">
        <v>1.02</v>
      </c>
    </row>
    <row r="26" spans="1:7" x14ac:dyDescent="0.25">
      <c r="A26" s="23" t="s">
        <v>81</v>
      </c>
      <c r="B26" s="2" t="s">
        <v>48</v>
      </c>
      <c r="C26" s="2" t="s">
        <v>57</v>
      </c>
      <c r="D26" s="2" t="s">
        <v>58</v>
      </c>
      <c r="E26" s="1" t="s">
        <v>59</v>
      </c>
      <c r="F26" s="1" t="s">
        <v>60</v>
      </c>
      <c r="G26" s="1" t="s">
        <v>60</v>
      </c>
    </row>
    <row r="27" spans="1:7" x14ac:dyDescent="0.25">
      <c r="A27" s="23"/>
      <c r="B27" s="2" t="s">
        <v>48</v>
      </c>
      <c r="C27" s="2" t="s">
        <v>61</v>
      </c>
      <c r="D27" s="2" t="s">
        <v>62</v>
      </c>
      <c r="E27" s="1" t="s">
        <v>59</v>
      </c>
      <c r="F27" s="1">
        <v>4</v>
      </c>
      <c r="G27" s="1">
        <v>7.5</v>
      </c>
    </row>
    <row r="28" spans="1:7" x14ac:dyDescent="0.25">
      <c r="A28" s="23"/>
      <c r="B28" s="2" t="s">
        <v>48</v>
      </c>
      <c r="C28" s="2" t="s">
        <v>63</v>
      </c>
      <c r="D28" s="2" t="s">
        <v>64</v>
      </c>
      <c r="E28" s="1" t="s">
        <v>65</v>
      </c>
      <c r="F28" s="1">
        <v>40</v>
      </c>
      <c r="G28" s="1">
        <v>100</v>
      </c>
    </row>
    <row r="29" spans="1:7" x14ac:dyDescent="0.25">
      <c r="A29" s="23"/>
      <c r="B29" s="2" t="s">
        <v>48</v>
      </c>
      <c r="C29" s="2" t="s">
        <v>77</v>
      </c>
      <c r="D29" s="2" t="s">
        <v>78</v>
      </c>
      <c r="E29" s="1" t="s">
        <v>79</v>
      </c>
      <c r="F29" s="9">
        <v>0.99</v>
      </c>
      <c r="G29" s="9">
        <v>1.02</v>
      </c>
    </row>
  </sheetData>
  <mergeCells count="8">
    <mergeCell ref="A22:A25"/>
    <mergeCell ref="A26:A29"/>
    <mergeCell ref="A1:G1"/>
    <mergeCell ref="A2:G2"/>
    <mergeCell ref="A15:A21"/>
    <mergeCell ref="A4:A5"/>
    <mergeCell ref="A6:A12"/>
    <mergeCell ref="A13:A14"/>
  </mergeCells>
  <dataValidations count="2">
    <dataValidation type="list" allowBlank="1" showInputMessage="1" showErrorMessage="1" sqref="A13 A4 A15 A6 A22 A26 A30:A1048576" xr:uid="{1EE0CFAB-9370-4EC9-B48E-BEDC63518C57}">
      <formula1>"RM, IM, FG"</formula1>
    </dataValidation>
    <dataValidation type="list" allowBlank="1" showInputMessage="1" showErrorMessage="1" sqref="B4:B1048576" xr:uid="{08BDECB6-9CAD-4FAB-BAD6-FE9F69890F40}">
      <formula1>"Cylo, Cylo Bind, Cylo Plus, Cylo Plus V"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4833-DE86-4DC1-9EDF-2C4B27567103}">
  <dimension ref="A1:I89"/>
  <sheetViews>
    <sheetView workbookViewId="0">
      <selection activeCell="C74" sqref="C74"/>
    </sheetView>
  </sheetViews>
  <sheetFormatPr defaultRowHeight="15" x14ac:dyDescent="0.25"/>
  <cols>
    <col min="1" max="1" width="27.140625" customWidth="1"/>
    <col min="2" max="2" width="8" customWidth="1"/>
    <col min="3" max="3" width="43.140625" customWidth="1"/>
    <col min="4" max="4" width="26.28515625" customWidth="1"/>
    <col min="5" max="5" width="28.140625" customWidth="1"/>
    <col min="6" max="6" width="14.140625" customWidth="1"/>
  </cols>
  <sheetData>
    <row r="1" spans="1:2" x14ac:dyDescent="0.25">
      <c r="A1" t="s">
        <v>169</v>
      </c>
    </row>
    <row r="2" spans="1:2" x14ac:dyDescent="0.25">
      <c r="A2" t="s">
        <v>170</v>
      </c>
    </row>
    <row r="3" spans="1:2" x14ac:dyDescent="0.25">
      <c r="A3" s="6" t="s">
        <v>171</v>
      </c>
      <c r="B3" s="5" t="s">
        <v>172</v>
      </c>
    </row>
    <row r="4" spans="1:2" x14ac:dyDescent="0.25">
      <c r="A4" s="2" t="s">
        <v>173</v>
      </c>
      <c r="B4" s="3" t="s">
        <v>174</v>
      </c>
    </row>
    <row r="5" spans="1:2" x14ac:dyDescent="0.25">
      <c r="A5" s="2" t="s">
        <v>175</v>
      </c>
      <c r="B5" s="3" t="s">
        <v>176</v>
      </c>
    </row>
    <row r="6" spans="1:2" x14ac:dyDescent="0.25">
      <c r="B6" s="16"/>
    </row>
    <row r="7" spans="1:2" x14ac:dyDescent="0.25">
      <c r="A7" s="6" t="s">
        <v>177</v>
      </c>
      <c r="B7" s="5" t="s">
        <v>172</v>
      </c>
    </row>
    <row r="8" spans="1:2" x14ac:dyDescent="0.25">
      <c r="A8" s="2" t="s">
        <v>178</v>
      </c>
      <c r="B8" s="3" t="s">
        <v>81</v>
      </c>
    </row>
    <row r="9" spans="1:2" x14ac:dyDescent="0.25">
      <c r="A9" s="2" t="s">
        <v>0</v>
      </c>
      <c r="B9" s="3" t="s">
        <v>6</v>
      </c>
    </row>
    <row r="10" spans="1:2" x14ac:dyDescent="0.25">
      <c r="A10" s="2" t="s">
        <v>179</v>
      </c>
      <c r="B10" s="3" t="s">
        <v>16</v>
      </c>
    </row>
    <row r="11" spans="1:2" x14ac:dyDescent="0.25">
      <c r="A11" s="2" t="s">
        <v>180</v>
      </c>
      <c r="B11" s="3" t="s">
        <v>181</v>
      </c>
    </row>
    <row r="12" spans="1:2" x14ac:dyDescent="0.25">
      <c r="A12" s="2" t="s">
        <v>182</v>
      </c>
      <c r="B12" s="3" t="s">
        <v>183</v>
      </c>
    </row>
    <row r="13" spans="1:2" x14ac:dyDescent="0.25">
      <c r="A13" s="2" t="s">
        <v>184</v>
      </c>
      <c r="B13" s="3" t="s">
        <v>185</v>
      </c>
    </row>
    <row r="14" spans="1:2" x14ac:dyDescent="0.25">
      <c r="B14" s="16"/>
    </row>
    <row r="15" spans="1:2" x14ac:dyDescent="0.25">
      <c r="A15" s="5" t="s">
        <v>186</v>
      </c>
      <c r="B15" s="5" t="s">
        <v>172</v>
      </c>
    </row>
    <row r="16" spans="1:2" x14ac:dyDescent="0.25">
      <c r="A16" s="2" t="s">
        <v>187</v>
      </c>
      <c r="B16" s="17" t="s">
        <v>193</v>
      </c>
    </row>
    <row r="17" spans="1:9" x14ac:dyDescent="0.25">
      <c r="A17" s="2" t="s">
        <v>188</v>
      </c>
      <c r="B17" s="17" t="s">
        <v>194</v>
      </c>
    </row>
    <row r="18" spans="1:9" x14ac:dyDescent="0.25">
      <c r="A18" s="2" t="s">
        <v>189</v>
      </c>
      <c r="B18" s="17" t="s">
        <v>195</v>
      </c>
    </row>
    <row r="19" spans="1:9" x14ac:dyDescent="0.25">
      <c r="A19" s="2" t="s">
        <v>190</v>
      </c>
      <c r="B19" s="17" t="s">
        <v>196</v>
      </c>
    </row>
    <row r="20" spans="1:9" x14ac:dyDescent="0.25">
      <c r="B20" s="16"/>
    </row>
    <row r="21" spans="1:9" x14ac:dyDescent="0.25">
      <c r="A21" s="6" t="s">
        <v>191</v>
      </c>
      <c r="B21" s="15" t="s">
        <v>172</v>
      </c>
    </row>
    <row r="22" spans="1:9" x14ac:dyDescent="0.25">
      <c r="A22" s="19" t="s">
        <v>165</v>
      </c>
      <c r="B22" s="17" t="s">
        <v>197</v>
      </c>
    </row>
    <row r="23" spans="1:9" x14ac:dyDescent="0.25">
      <c r="A23" s="19" t="s">
        <v>166</v>
      </c>
      <c r="B23" s="17" t="s">
        <v>198</v>
      </c>
    </row>
    <row r="24" spans="1:9" x14ac:dyDescent="0.25">
      <c r="A24" s="19" t="s">
        <v>167</v>
      </c>
      <c r="B24" s="17" t="s">
        <v>199</v>
      </c>
    </row>
    <row r="25" spans="1:9" x14ac:dyDescent="0.25">
      <c r="A25" s="19" t="s">
        <v>168</v>
      </c>
      <c r="B25" s="17" t="s">
        <v>200</v>
      </c>
    </row>
    <row r="26" spans="1:9" x14ac:dyDescent="0.25">
      <c r="A26" s="14"/>
      <c r="B26" s="18"/>
    </row>
    <row r="27" spans="1:9" ht="18.75" x14ac:dyDescent="0.25">
      <c r="A27" s="10" t="s">
        <v>192</v>
      </c>
      <c r="B27" s="10" t="s">
        <v>28</v>
      </c>
      <c r="C27" s="10" t="s">
        <v>2</v>
      </c>
      <c r="D27" s="10" t="s">
        <v>30</v>
      </c>
      <c r="E27" s="10" t="s">
        <v>4</v>
      </c>
      <c r="F27" s="10" t="s">
        <v>27</v>
      </c>
      <c r="G27" s="10" t="s">
        <v>164</v>
      </c>
      <c r="H27" s="10" t="s">
        <v>5</v>
      </c>
      <c r="I27" s="10" t="s">
        <v>29</v>
      </c>
    </row>
    <row r="28" spans="1:9" x14ac:dyDescent="0.25">
      <c r="A28" s="2" t="s">
        <v>201</v>
      </c>
      <c r="B28" s="1" t="s">
        <v>6</v>
      </c>
      <c r="C28" s="2" t="s">
        <v>7</v>
      </c>
      <c r="D28" s="2" t="s">
        <v>17</v>
      </c>
      <c r="E28" s="2"/>
      <c r="F28" s="2"/>
      <c r="G28" s="2"/>
      <c r="H28" s="3" t="s">
        <v>24</v>
      </c>
      <c r="I28" s="2"/>
    </row>
    <row r="29" spans="1:9" x14ac:dyDescent="0.25">
      <c r="A29" s="2" t="s">
        <v>265</v>
      </c>
      <c r="B29" s="1" t="s">
        <v>6</v>
      </c>
      <c r="C29" s="2" t="s">
        <v>12</v>
      </c>
      <c r="D29" s="2" t="s">
        <v>18</v>
      </c>
      <c r="E29" s="2" t="s">
        <v>31</v>
      </c>
      <c r="F29" s="2"/>
      <c r="G29" s="2"/>
      <c r="H29" s="3" t="s">
        <v>24</v>
      </c>
      <c r="I29" s="2"/>
    </row>
    <row r="30" spans="1:9" x14ac:dyDescent="0.25">
      <c r="A30" s="2" t="s">
        <v>266</v>
      </c>
      <c r="B30" s="1" t="s">
        <v>6</v>
      </c>
      <c r="C30" s="2" t="s">
        <v>12</v>
      </c>
      <c r="D30" s="2" t="s">
        <v>18</v>
      </c>
      <c r="E30" s="2" t="s">
        <v>32</v>
      </c>
      <c r="F30" s="2"/>
      <c r="G30" s="2"/>
      <c r="H30" s="3" t="s">
        <v>24</v>
      </c>
      <c r="I30" s="2"/>
    </row>
    <row r="31" spans="1:9" x14ac:dyDescent="0.25">
      <c r="A31" s="2" t="s">
        <v>267</v>
      </c>
      <c r="B31" s="1" t="s">
        <v>6</v>
      </c>
      <c r="C31" s="2" t="s">
        <v>46</v>
      </c>
      <c r="D31" s="2" t="s">
        <v>47</v>
      </c>
      <c r="E31" s="2" t="s">
        <v>59</v>
      </c>
      <c r="F31" s="2"/>
      <c r="G31" s="2"/>
      <c r="H31" s="3" t="s">
        <v>25</v>
      </c>
      <c r="I31" s="2"/>
    </row>
    <row r="32" spans="1:9" x14ac:dyDescent="0.25">
      <c r="A32" s="2" t="s">
        <v>268</v>
      </c>
      <c r="B32" s="1" t="s">
        <v>6</v>
      </c>
      <c r="C32" s="2" t="s">
        <v>8</v>
      </c>
      <c r="D32" s="2" t="s">
        <v>19</v>
      </c>
      <c r="E32" s="2"/>
      <c r="F32" s="2"/>
      <c r="G32" s="2"/>
      <c r="H32" s="3" t="s">
        <v>24</v>
      </c>
      <c r="I32" s="2"/>
    </row>
    <row r="33" spans="1:9" x14ac:dyDescent="0.25">
      <c r="A33" s="2" t="s">
        <v>269</v>
      </c>
      <c r="B33" s="1" t="s">
        <v>6</v>
      </c>
      <c r="C33" s="2" t="s">
        <v>9</v>
      </c>
      <c r="D33" s="2" t="s">
        <v>20</v>
      </c>
      <c r="E33" s="2"/>
      <c r="F33" s="2"/>
      <c r="G33" s="2"/>
      <c r="H33" s="3" t="s">
        <v>24</v>
      </c>
      <c r="I33" s="2"/>
    </row>
    <row r="34" spans="1:9" x14ac:dyDescent="0.25">
      <c r="A34" s="2" t="s">
        <v>270</v>
      </c>
      <c r="B34" s="1" t="s">
        <v>6</v>
      </c>
      <c r="C34" s="2" t="s">
        <v>10</v>
      </c>
      <c r="D34" s="2" t="s">
        <v>21</v>
      </c>
      <c r="E34" s="2"/>
      <c r="F34" s="2"/>
      <c r="G34" s="2"/>
      <c r="H34" s="3" t="s">
        <v>25</v>
      </c>
      <c r="I34" s="2"/>
    </row>
    <row r="35" spans="1:9" x14ac:dyDescent="0.25">
      <c r="A35" s="2" t="s">
        <v>271</v>
      </c>
      <c r="B35" s="1" t="s">
        <v>6</v>
      </c>
      <c r="C35" s="2" t="s">
        <v>11</v>
      </c>
      <c r="D35" s="2" t="s">
        <v>21</v>
      </c>
      <c r="E35" s="2"/>
      <c r="F35" s="2"/>
      <c r="G35" s="2"/>
      <c r="H35" s="3" t="s">
        <v>25</v>
      </c>
      <c r="I35" s="2"/>
    </row>
    <row r="36" spans="1:9" x14ac:dyDescent="0.25">
      <c r="A36" s="2" t="s">
        <v>272</v>
      </c>
      <c r="B36" s="1" t="s">
        <v>6</v>
      </c>
      <c r="C36" s="2" t="s">
        <v>13</v>
      </c>
      <c r="D36" s="2" t="s">
        <v>22</v>
      </c>
      <c r="E36" s="2"/>
      <c r="F36" s="2"/>
      <c r="G36" s="2"/>
      <c r="H36" s="3" t="s">
        <v>24</v>
      </c>
      <c r="I36" s="2"/>
    </row>
    <row r="37" spans="1:9" x14ac:dyDescent="0.25">
      <c r="A37" s="2" t="s">
        <v>273</v>
      </c>
      <c r="B37" s="1" t="s">
        <v>6</v>
      </c>
      <c r="C37" s="2" t="s">
        <v>14</v>
      </c>
      <c r="D37" s="2" t="s">
        <v>22</v>
      </c>
      <c r="E37" s="2"/>
      <c r="F37" s="2"/>
      <c r="G37" s="2"/>
      <c r="H37" s="3" t="s">
        <v>24</v>
      </c>
      <c r="I37" s="2"/>
    </row>
    <row r="38" spans="1:9" x14ac:dyDescent="0.25">
      <c r="A38" s="2" t="s">
        <v>241</v>
      </c>
      <c r="B38" s="1" t="s">
        <v>16</v>
      </c>
      <c r="C38" s="2" t="s">
        <v>202</v>
      </c>
      <c r="D38" s="2" t="s">
        <v>23</v>
      </c>
      <c r="E38" s="2"/>
      <c r="F38" s="2"/>
      <c r="G38" s="2"/>
      <c r="H38" s="3" t="s">
        <v>26</v>
      </c>
      <c r="I38" s="2"/>
    </row>
    <row r="39" spans="1:9" x14ac:dyDescent="0.25">
      <c r="A39" s="2" t="s">
        <v>242</v>
      </c>
      <c r="B39" s="1" t="s">
        <v>16</v>
      </c>
      <c r="C39" s="2" t="s">
        <v>214</v>
      </c>
      <c r="D39" s="2" t="s">
        <v>23</v>
      </c>
      <c r="E39" s="2"/>
      <c r="F39" s="2"/>
      <c r="G39" s="2"/>
      <c r="H39" s="3" t="s">
        <v>26</v>
      </c>
      <c r="I39" s="2"/>
    </row>
    <row r="40" spans="1:9" x14ac:dyDescent="0.25">
      <c r="A40" s="2" t="s">
        <v>243</v>
      </c>
      <c r="B40" s="1" t="s">
        <v>16</v>
      </c>
      <c r="C40" s="2" t="s">
        <v>215</v>
      </c>
      <c r="D40" s="2" t="s">
        <v>23</v>
      </c>
      <c r="E40" s="2"/>
      <c r="F40" s="2"/>
      <c r="G40" s="2"/>
      <c r="H40" s="3" t="s">
        <v>26</v>
      </c>
      <c r="I40" s="2"/>
    </row>
    <row r="41" spans="1:9" x14ac:dyDescent="0.25">
      <c r="A41" s="2" t="s">
        <v>244</v>
      </c>
      <c r="B41" s="1" t="s">
        <v>16</v>
      </c>
      <c r="C41" s="2" t="s">
        <v>216</v>
      </c>
      <c r="D41" s="2" t="s">
        <v>23</v>
      </c>
      <c r="E41" s="2"/>
      <c r="F41" s="2"/>
      <c r="G41" s="2"/>
      <c r="H41" s="3" t="s">
        <v>26</v>
      </c>
      <c r="I41" s="2"/>
    </row>
    <row r="42" spans="1:9" x14ac:dyDescent="0.25">
      <c r="A42" s="2" t="s">
        <v>245</v>
      </c>
      <c r="B42" s="1" t="s">
        <v>16</v>
      </c>
      <c r="C42" s="2" t="s">
        <v>217</v>
      </c>
      <c r="D42" s="2" t="s">
        <v>23</v>
      </c>
      <c r="E42" s="2"/>
      <c r="F42" s="2"/>
      <c r="G42" s="2"/>
      <c r="H42" s="3" t="s">
        <v>26</v>
      </c>
      <c r="I42" s="2"/>
    </row>
    <row r="43" spans="1:9" x14ac:dyDescent="0.25">
      <c r="A43" s="2" t="s">
        <v>246</v>
      </c>
      <c r="B43" s="1" t="s">
        <v>16</v>
      </c>
      <c r="C43" s="2" t="s">
        <v>223</v>
      </c>
      <c r="D43" s="2" t="s">
        <v>23</v>
      </c>
      <c r="E43" s="2"/>
      <c r="F43" s="2"/>
      <c r="G43" s="2"/>
      <c r="H43" s="3" t="s">
        <v>26</v>
      </c>
      <c r="I43" s="2"/>
    </row>
    <row r="44" spans="1:9" x14ac:dyDescent="0.25">
      <c r="A44" s="2" t="s">
        <v>247</v>
      </c>
      <c r="B44" s="1" t="s">
        <v>16</v>
      </c>
      <c r="C44" s="2" t="s">
        <v>224</v>
      </c>
      <c r="D44" s="2" t="s">
        <v>23</v>
      </c>
      <c r="E44" s="2"/>
      <c r="F44" s="2"/>
      <c r="G44" s="2"/>
      <c r="H44" s="3" t="s">
        <v>26</v>
      </c>
      <c r="I44" s="2"/>
    </row>
    <row r="45" spans="1:9" x14ac:dyDescent="0.25">
      <c r="A45" s="2" t="s">
        <v>248</v>
      </c>
      <c r="B45" s="1" t="s">
        <v>16</v>
      </c>
      <c r="C45" s="2" t="s">
        <v>222</v>
      </c>
      <c r="D45" s="2" t="s">
        <v>23</v>
      </c>
      <c r="E45" s="2"/>
      <c r="F45" s="2"/>
      <c r="G45" s="2"/>
      <c r="H45" s="3" t="s">
        <v>26</v>
      </c>
      <c r="I45" s="2"/>
    </row>
    <row r="46" spans="1:9" x14ac:dyDescent="0.25">
      <c r="A46" s="2" t="s">
        <v>249</v>
      </c>
      <c r="B46" s="1" t="s">
        <v>16</v>
      </c>
      <c r="C46" s="2" t="s">
        <v>220</v>
      </c>
      <c r="D46" s="2" t="s">
        <v>23</v>
      </c>
      <c r="E46" s="2"/>
      <c r="F46" s="2"/>
      <c r="G46" s="2"/>
      <c r="H46" s="3" t="s">
        <v>26</v>
      </c>
      <c r="I46" s="2"/>
    </row>
    <row r="47" spans="1:9" x14ac:dyDescent="0.25">
      <c r="A47" s="2" t="s">
        <v>250</v>
      </c>
      <c r="B47" s="1" t="s">
        <v>16</v>
      </c>
      <c r="C47" s="2" t="s">
        <v>219</v>
      </c>
      <c r="D47" s="2" t="s">
        <v>23</v>
      </c>
      <c r="E47" s="2"/>
      <c r="F47" s="2"/>
      <c r="G47" s="2"/>
      <c r="H47" s="3" t="s">
        <v>26</v>
      </c>
      <c r="I47" s="2"/>
    </row>
    <row r="48" spans="1:9" x14ac:dyDescent="0.25">
      <c r="A48" s="2" t="s">
        <v>251</v>
      </c>
      <c r="B48" s="1" t="s">
        <v>16</v>
      </c>
      <c r="C48" s="2" t="s">
        <v>279</v>
      </c>
      <c r="D48" s="2" t="s">
        <v>23</v>
      </c>
      <c r="E48" s="2"/>
      <c r="F48" s="2"/>
      <c r="G48" s="2"/>
      <c r="H48" s="3" t="s">
        <v>26</v>
      </c>
      <c r="I48" s="2"/>
    </row>
    <row r="49" spans="1:9" x14ac:dyDescent="0.25">
      <c r="A49" s="2" t="s">
        <v>252</v>
      </c>
      <c r="B49" s="1" t="s">
        <v>16</v>
      </c>
      <c r="C49" s="2" t="s">
        <v>280</v>
      </c>
      <c r="D49" s="2" t="s">
        <v>23</v>
      </c>
      <c r="E49" s="2"/>
      <c r="F49" s="2"/>
      <c r="G49" s="2"/>
      <c r="H49" s="3" t="s">
        <v>26</v>
      </c>
      <c r="I49" s="2"/>
    </row>
    <row r="50" spans="1:9" x14ac:dyDescent="0.25">
      <c r="A50" s="2" t="s">
        <v>253</v>
      </c>
      <c r="B50" s="1" t="s">
        <v>16</v>
      </c>
      <c r="C50" s="2" t="s">
        <v>281</v>
      </c>
      <c r="D50" s="2" t="s">
        <v>23</v>
      </c>
      <c r="E50" s="2"/>
      <c r="F50" s="2"/>
      <c r="G50" s="2"/>
      <c r="H50" s="3" t="s">
        <v>26</v>
      </c>
      <c r="I50" s="2"/>
    </row>
    <row r="51" spans="1:9" x14ac:dyDescent="0.25">
      <c r="A51" s="2" t="s">
        <v>254</v>
      </c>
      <c r="B51" s="1" t="s">
        <v>16</v>
      </c>
      <c r="C51" s="2" t="s">
        <v>282</v>
      </c>
      <c r="D51" s="2" t="s">
        <v>23</v>
      </c>
      <c r="E51" s="2"/>
      <c r="F51" s="2"/>
      <c r="G51" s="2"/>
      <c r="H51" s="3" t="s">
        <v>26</v>
      </c>
      <c r="I51" s="2"/>
    </row>
    <row r="52" spans="1:9" x14ac:dyDescent="0.25">
      <c r="A52" s="2" t="s">
        <v>255</v>
      </c>
      <c r="B52" s="1" t="s">
        <v>16</v>
      </c>
      <c r="C52" s="2" t="s">
        <v>283</v>
      </c>
      <c r="D52" s="2" t="s">
        <v>23</v>
      </c>
      <c r="E52" s="2"/>
      <c r="F52" s="2"/>
      <c r="G52" s="2"/>
      <c r="H52" s="3" t="s">
        <v>26</v>
      </c>
      <c r="I52" s="2"/>
    </row>
    <row r="53" spans="1:9" x14ac:dyDescent="0.25">
      <c r="A53" s="2" t="s">
        <v>256</v>
      </c>
      <c r="B53" s="1" t="s">
        <v>16</v>
      </c>
      <c r="C53" s="2" t="s">
        <v>284</v>
      </c>
      <c r="D53" s="2" t="s">
        <v>23</v>
      </c>
      <c r="E53" s="2"/>
      <c r="F53" s="2"/>
      <c r="G53" s="2"/>
      <c r="H53" s="3" t="s">
        <v>26</v>
      </c>
      <c r="I53" s="2"/>
    </row>
    <row r="54" spans="1:9" x14ac:dyDescent="0.25">
      <c r="A54" s="2" t="s">
        <v>257</v>
      </c>
      <c r="B54" s="1" t="s">
        <v>16</v>
      </c>
      <c r="C54" s="2" t="s">
        <v>285</v>
      </c>
      <c r="D54" s="2" t="s">
        <v>23</v>
      </c>
      <c r="E54" s="2"/>
      <c r="F54" s="2"/>
      <c r="G54" s="2"/>
      <c r="H54" s="3" t="s">
        <v>26</v>
      </c>
      <c r="I54" s="2"/>
    </row>
    <row r="55" spans="1:9" x14ac:dyDescent="0.25">
      <c r="A55" s="2" t="s">
        <v>258</v>
      </c>
      <c r="B55" s="1" t="s">
        <v>16</v>
      </c>
      <c r="C55" s="2" t="s">
        <v>286</v>
      </c>
      <c r="D55" s="2" t="s">
        <v>23</v>
      </c>
      <c r="E55" s="2"/>
      <c r="F55" s="2"/>
      <c r="G55" s="2"/>
      <c r="H55" s="3" t="s">
        <v>26</v>
      </c>
      <c r="I55" s="2"/>
    </row>
    <row r="56" spans="1:9" x14ac:dyDescent="0.25">
      <c r="A56" s="2" t="s">
        <v>259</v>
      </c>
      <c r="B56" s="1" t="s">
        <v>16</v>
      </c>
      <c r="C56" s="2" t="s">
        <v>287</v>
      </c>
      <c r="D56" s="2" t="s">
        <v>23</v>
      </c>
      <c r="E56" s="2"/>
      <c r="F56" s="2"/>
      <c r="G56" s="2"/>
      <c r="H56" s="3" t="s">
        <v>26</v>
      </c>
      <c r="I56" s="2"/>
    </row>
    <row r="57" spans="1:9" x14ac:dyDescent="0.25">
      <c r="A57" s="2" t="s">
        <v>260</v>
      </c>
      <c r="B57" s="1" t="s">
        <v>16</v>
      </c>
      <c r="C57" s="2" t="s">
        <v>288</v>
      </c>
      <c r="D57" s="2" t="s">
        <v>23</v>
      </c>
      <c r="E57" s="2"/>
      <c r="F57" s="2"/>
      <c r="G57" s="2"/>
      <c r="H57" s="3" t="s">
        <v>26</v>
      </c>
      <c r="I57" s="2"/>
    </row>
    <row r="58" spans="1:9" x14ac:dyDescent="0.25">
      <c r="A58" s="2" t="s">
        <v>261</v>
      </c>
      <c r="B58" s="1" t="s">
        <v>16</v>
      </c>
      <c r="C58" s="2" t="s">
        <v>226</v>
      </c>
      <c r="D58" s="2" t="s">
        <v>23</v>
      </c>
      <c r="E58" s="2"/>
      <c r="F58" s="2"/>
      <c r="G58" s="2"/>
      <c r="H58" s="3" t="s">
        <v>26</v>
      </c>
      <c r="I58" s="2"/>
    </row>
    <row r="59" spans="1:9" x14ac:dyDescent="0.25">
      <c r="A59" s="2" t="s">
        <v>262</v>
      </c>
      <c r="B59" s="1" t="s">
        <v>16</v>
      </c>
      <c r="C59" s="2" t="s">
        <v>221</v>
      </c>
      <c r="D59" s="2" t="s">
        <v>23</v>
      </c>
      <c r="E59" s="2"/>
      <c r="F59" s="2"/>
      <c r="G59" s="2"/>
      <c r="H59" s="3" t="s">
        <v>26</v>
      </c>
      <c r="I59" s="2"/>
    </row>
    <row r="60" spans="1:9" x14ac:dyDescent="0.25">
      <c r="A60" s="2" t="s">
        <v>263</v>
      </c>
      <c r="B60" s="1" t="s">
        <v>16</v>
      </c>
      <c r="C60" s="2" t="s">
        <v>227</v>
      </c>
      <c r="D60" s="2" t="s">
        <v>23</v>
      </c>
      <c r="E60" s="2"/>
      <c r="F60" s="2"/>
      <c r="G60" s="2"/>
      <c r="H60" s="3" t="s">
        <v>26</v>
      </c>
      <c r="I60" s="2"/>
    </row>
    <row r="61" spans="1:9" x14ac:dyDescent="0.25">
      <c r="A61" s="2" t="s">
        <v>264</v>
      </c>
      <c r="B61" s="1" t="s">
        <v>16</v>
      </c>
      <c r="C61" s="2" t="s">
        <v>228</v>
      </c>
      <c r="D61" s="2" t="s">
        <v>23</v>
      </c>
      <c r="E61" s="2"/>
      <c r="F61" s="2"/>
      <c r="G61" s="2"/>
      <c r="H61" s="3" t="s">
        <v>26</v>
      </c>
      <c r="I61" s="2"/>
    </row>
    <row r="62" spans="1:9" x14ac:dyDescent="0.25">
      <c r="A62" s="2" t="s">
        <v>291</v>
      </c>
      <c r="B62" s="1" t="s">
        <v>16</v>
      </c>
      <c r="C62" s="2" t="s">
        <v>229</v>
      </c>
      <c r="D62" s="2" t="s">
        <v>23</v>
      </c>
      <c r="E62" s="2"/>
      <c r="F62" s="2"/>
      <c r="G62" s="2"/>
      <c r="H62" s="3" t="s">
        <v>26</v>
      </c>
      <c r="I62" s="2"/>
    </row>
    <row r="63" spans="1:9" x14ac:dyDescent="0.25">
      <c r="A63" s="2" t="s">
        <v>292</v>
      </c>
      <c r="B63" s="1" t="s">
        <v>16</v>
      </c>
      <c r="C63" s="2" t="s">
        <v>230</v>
      </c>
      <c r="D63" s="2" t="s">
        <v>23</v>
      </c>
      <c r="E63" s="2"/>
      <c r="F63" s="2"/>
      <c r="G63" s="2"/>
      <c r="H63" s="3" t="s">
        <v>26</v>
      </c>
      <c r="I63" s="2"/>
    </row>
    <row r="64" spans="1:9" x14ac:dyDescent="0.25">
      <c r="A64" s="2" t="s">
        <v>293</v>
      </c>
      <c r="B64" s="1" t="s">
        <v>16</v>
      </c>
      <c r="C64" s="2" t="s">
        <v>212</v>
      </c>
      <c r="D64" s="2" t="s">
        <v>23</v>
      </c>
      <c r="E64" s="2"/>
      <c r="F64" s="2"/>
      <c r="G64" s="2"/>
      <c r="H64" s="3" t="s">
        <v>26</v>
      </c>
      <c r="I64" s="2"/>
    </row>
    <row r="65" spans="1:9" x14ac:dyDescent="0.25">
      <c r="A65" s="2" t="s">
        <v>294</v>
      </c>
      <c r="B65" s="1" t="s">
        <v>16</v>
      </c>
      <c r="C65" s="2" t="s">
        <v>213</v>
      </c>
      <c r="D65" s="2" t="s">
        <v>23</v>
      </c>
      <c r="E65" s="2"/>
      <c r="F65" s="2"/>
      <c r="G65" s="2"/>
      <c r="H65" s="3" t="s">
        <v>26</v>
      </c>
      <c r="I65" s="2"/>
    </row>
    <row r="66" spans="1:9" x14ac:dyDescent="0.25">
      <c r="A66" s="2" t="s">
        <v>295</v>
      </c>
      <c r="B66" s="1" t="s">
        <v>16</v>
      </c>
      <c r="C66" s="2" t="s">
        <v>225</v>
      </c>
      <c r="D66" s="2" t="s">
        <v>23</v>
      </c>
      <c r="E66" s="2"/>
      <c r="F66" s="2"/>
      <c r="G66" s="2"/>
      <c r="H66" s="3" t="s">
        <v>26</v>
      </c>
      <c r="I66" s="2"/>
    </row>
    <row r="67" spans="1:9" x14ac:dyDescent="0.25">
      <c r="A67" s="2" t="s">
        <v>296</v>
      </c>
      <c r="B67" s="1" t="s">
        <v>16</v>
      </c>
      <c r="C67" s="2" t="s">
        <v>237</v>
      </c>
      <c r="D67" s="2" t="s">
        <v>23</v>
      </c>
      <c r="E67" s="2"/>
      <c r="F67" s="2"/>
      <c r="G67" s="2"/>
      <c r="H67" s="3" t="s">
        <v>26</v>
      </c>
      <c r="I67" s="2"/>
    </row>
    <row r="68" spans="1:9" x14ac:dyDescent="0.25">
      <c r="A68" s="2" t="s">
        <v>297</v>
      </c>
      <c r="B68" s="1" t="s">
        <v>16</v>
      </c>
      <c r="C68" s="2" t="s">
        <v>238</v>
      </c>
      <c r="D68" s="2" t="s">
        <v>23</v>
      </c>
      <c r="E68" s="2"/>
      <c r="F68" s="2"/>
      <c r="G68" s="2"/>
      <c r="H68" s="3" t="s">
        <v>26</v>
      </c>
      <c r="I68" s="2"/>
    </row>
    <row r="69" spans="1:9" x14ac:dyDescent="0.25">
      <c r="A69" s="2" t="s">
        <v>298</v>
      </c>
      <c r="B69" s="1" t="s">
        <v>16</v>
      </c>
      <c r="C69" s="2" t="s">
        <v>289</v>
      </c>
      <c r="D69" s="2" t="s">
        <v>23</v>
      </c>
      <c r="E69" s="2"/>
      <c r="F69" s="2"/>
      <c r="G69" s="2"/>
      <c r="H69" s="3"/>
      <c r="I69" s="2"/>
    </row>
    <row r="70" spans="1:9" x14ac:dyDescent="0.25">
      <c r="A70" s="2" t="s">
        <v>299</v>
      </c>
      <c r="B70" s="1" t="s">
        <v>16</v>
      </c>
      <c r="C70" s="2" t="s">
        <v>290</v>
      </c>
      <c r="D70" s="2" t="s">
        <v>23</v>
      </c>
      <c r="E70" s="2"/>
      <c r="F70" s="2"/>
      <c r="G70" s="2"/>
      <c r="H70" s="3"/>
      <c r="I70" s="2"/>
    </row>
    <row r="71" spans="1:9" x14ac:dyDescent="0.25">
      <c r="A71" s="2" t="s">
        <v>300</v>
      </c>
      <c r="B71" s="1" t="s">
        <v>16</v>
      </c>
      <c r="C71" s="2" t="s">
        <v>239</v>
      </c>
      <c r="D71" s="2" t="s">
        <v>23</v>
      </c>
      <c r="E71" s="2"/>
      <c r="F71" s="2"/>
      <c r="G71" s="2"/>
      <c r="H71" s="3" t="s">
        <v>26</v>
      </c>
      <c r="I71" s="2"/>
    </row>
    <row r="72" spans="1:9" x14ac:dyDescent="0.25">
      <c r="A72" s="2" t="s">
        <v>301</v>
      </c>
      <c r="B72" s="1" t="s">
        <v>16</v>
      </c>
      <c r="C72" s="2" t="s">
        <v>15</v>
      </c>
      <c r="D72" s="2" t="s">
        <v>23</v>
      </c>
      <c r="E72" s="2"/>
      <c r="F72" s="2"/>
      <c r="G72" s="2"/>
      <c r="H72" s="3" t="s">
        <v>26</v>
      </c>
      <c r="I72" s="2"/>
    </row>
    <row r="73" spans="1:9" x14ac:dyDescent="0.25">
      <c r="A73" s="2" t="s">
        <v>302</v>
      </c>
      <c r="B73" s="1" t="s">
        <v>16</v>
      </c>
      <c r="C73" s="2" t="s">
        <v>240</v>
      </c>
      <c r="D73" s="2" t="s">
        <v>23</v>
      </c>
      <c r="E73" s="2"/>
      <c r="F73" s="2"/>
      <c r="G73" s="2"/>
      <c r="H73" s="3" t="s">
        <v>26</v>
      </c>
      <c r="I73" s="2"/>
    </row>
    <row r="74" spans="1:9" x14ac:dyDescent="0.25">
      <c r="A74" s="2" t="s">
        <v>274</v>
      </c>
      <c r="B74" s="1" t="s">
        <v>81</v>
      </c>
      <c r="C74" s="2" t="s">
        <v>203</v>
      </c>
      <c r="D74" s="2" t="s">
        <v>278</v>
      </c>
      <c r="E74" s="2"/>
      <c r="F74" s="2"/>
      <c r="G74" s="2"/>
      <c r="H74" s="1"/>
      <c r="I74" s="2"/>
    </row>
    <row r="75" spans="1:9" x14ac:dyDescent="0.25">
      <c r="A75" s="2" t="s">
        <v>275</v>
      </c>
      <c r="B75" s="1" t="s">
        <v>81</v>
      </c>
      <c r="C75" s="2" t="s">
        <v>204</v>
      </c>
      <c r="D75" s="2" t="s">
        <v>278</v>
      </c>
      <c r="E75" s="2"/>
      <c r="F75" s="2"/>
      <c r="G75" s="2"/>
      <c r="H75" s="1"/>
      <c r="I75" s="2"/>
    </row>
    <row r="76" spans="1:9" x14ac:dyDescent="0.25">
      <c r="A76" s="2" t="s">
        <v>276</v>
      </c>
      <c r="B76" s="1" t="s">
        <v>81</v>
      </c>
      <c r="C76" s="2" t="s">
        <v>205</v>
      </c>
      <c r="D76" s="2" t="s">
        <v>278</v>
      </c>
      <c r="E76" s="2"/>
      <c r="F76" s="2"/>
      <c r="G76" s="2"/>
      <c r="H76" s="1"/>
      <c r="I76" s="2"/>
    </row>
    <row r="77" spans="1:9" x14ac:dyDescent="0.25">
      <c r="A77" s="2" t="s">
        <v>277</v>
      </c>
      <c r="B77" s="1" t="s">
        <v>81</v>
      </c>
      <c r="C77" s="2" t="s">
        <v>206</v>
      </c>
      <c r="D77" s="2" t="s">
        <v>278</v>
      </c>
      <c r="E77" s="2"/>
      <c r="F77" s="2"/>
      <c r="G77" s="2"/>
      <c r="H77" s="2"/>
      <c r="I77" s="2"/>
    </row>
    <row r="78" spans="1:9" x14ac:dyDescent="0.25">
      <c r="A78" s="2" t="s">
        <v>303</v>
      </c>
      <c r="B78" s="1" t="s">
        <v>81</v>
      </c>
      <c r="C78" s="2" t="s">
        <v>218</v>
      </c>
      <c r="D78" s="2" t="s">
        <v>278</v>
      </c>
      <c r="E78" s="2"/>
      <c r="F78" s="2"/>
      <c r="G78" s="2"/>
      <c r="H78" s="2"/>
      <c r="I78" s="2"/>
    </row>
    <row r="79" spans="1:9" x14ac:dyDescent="0.25">
      <c r="A79" s="2" t="s">
        <v>304</v>
      </c>
      <c r="B79" s="1" t="s">
        <v>81</v>
      </c>
      <c r="C79" s="2" t="s">
        <v>207</v>
      </c>
      <c r="D79" s="2" t="s">
        <v>278</v>
      </c>
      <c r="E79" s="2"/>
      <c r="F79" s="2"/>
      <c r="G79" s="2"/>
      <c r="H79" s="2"/>
      <c r="I79" s="2"/>
    </row>
    <row r="80" spans="1:9" x14ac:dyDescent="0.25">
      <c r="A80" s="2" t="s">
        <v>305</v>
      </c>
      <c r="B80" s="1" t="s">
        <v>81</v>
      </c>
      <c r="C80" s="2" t="s">
        <v>208</v>
      </c>
      <c r="D80" s="2" t="s">
        <v>278</v>
      </c>
      <c r="E80" s="2"/>
      <c r="F80" s="2"/>
      <c r="G80" s="2"/>
      <c r="H80" s="2"/>
      <c r="I80" s="2"/>
    </row>
    <row r="81" spans="1:9" x14ac:dyDescent="0.25">
      <c r="A81" s="2" t="s">
        <v>306</v>
      </c>
      <c r="B81" s="1" t="s">
        <v>81</v>
      </c>
      <c r="C81" s="2" t="s">
        <v>209</v>
      </c>
      <c r="D81" s="2" t="s">
        <v>278</v>
      </c>
      <c r="E81" s="2"/>
      <c r="F81" s="2"/>
      <c r="G81" s="2"/>
      <c r="H81" s="2"/>
      <c r="I81" s="2"/>
    </row>
    <row r="82" spans="1:9" x14ac:dyDescent="0.25">
      <c r="A82" s="2" t="s">
        <v>307</v>
      </c>
      <c r="B82" s="1" t="s">
        <v>81</v>
      </c>
      <c r="C82" s="2" t="s">
        <v>210</v>
      </c>
      <c r="D82" s="2" t="s">
        <v>278</v>
      </c>
      <c r="E82" s="2"/>
      <c r="F82" s="2"/>
      <c r="G82" s="2"/>
      <c r="H82" s="2"/>
      <c r="I82" s="2"/>
    </row>
    <row r="83" spans="1:9" x14ac:dyDescent="0.25">
      <c r="A83" s="2" t="s">
        <v>308</v>
      </c>
      <c r="B83" s="1" t="s">
        <v>81</v>
      </c>
      <c r="C83" s="2" t="s">
        <v>211</v>
      </c>
      <c r="D83" s="2" t="s">
        <v>278</v>
      </c>
      <c r="E83" s="2"/>
      <c r="F83" s="2"/>
      <c r="G83" s="2"/>
      <c r="H83" s="2"/>
      <c r="I83" s="2"/>
    </row>
    <row r="84" spans="1:9" x14ac:dyDescent="0.25">
      <c r="A84" s="2" t="s">
        <v>309</v>
      </c>
      <c r="B84" s="1" t="s">
        <v>81</v>
      </c>
      <c r="C84" s="2" t="s">
        <v>231</v>
      </c>
      <c r="D84" s="2" t="s">
        <v>278</v>
      </c>
      <c r="E84" s="2"/>
      <c r="F84" s="2"/>
      <c r="G84" s="2"/>
      <c r="H84" s="2"/>
      <c r="I84" s="2"/>
    </row>
    <row r="85" spans="1:9" x14ac:dyDescent="0.25">
      <c r="A85" s="2" t="s">
        <v>310</v>
      </c>
      <c r="B85" s="1" t="s">
        <v>81</v>
      </c>
      <c r="C85" s="2" t="s">
        <v>232</v>
      </c>
      <c r="D85" s="2" t="s">
        <v>278</v>
      </c>
      <c r="E85" s="2"/>
      <c r="F85" s="2"/>
      <c r="G85" s="2"/>
      <c r="H85" s="2"/>
      <c r="I85" s="2"/>
    </row>
    <row r="86" spans="1:9" x14ac:dyDescent="0.25">
      <c r="A86" s="2" t="s">
        <v>311</v>
      </c>
      <c r="B86" s="1" t="s">
        <v>81</v>
      </c>
      <c r="C86" s="2" t="s">
        <v>233</v>
      </c>
      <c r="D86" s="2" t="s">
        <v>278</v>
      </c>
      <c r="E86" s="2"/>
      <c r="F86" s="2"/>
      <c r="G86" s="2"/>
      <c r="H86" s="2"/>
      <c r="I86" s="2"/>
    </row>
    <row r="87" spans="1:9" x14ac:dyDescent="0.25">
      <c r="A87" s="2" t="s">
        <v>312</v>
      </c>
      <c r="B87" s="1" t="s">
        <v>81</v>
      </c>
      <c r="C87" s="2" t="s">
        <v>235</v>
      </c>
      <c r="D87" s="2" t="s">
        <v>278</v>
      </c>
      <c r="E87" s="2"/>
      <c r="F87" s="2"/>
      <c r="G87" s="2"/>
      <c r="H87" s="2"/>
      <c r="I87" s="2"/>
    </row>
    <row r="88" spans="1:9" x14ac:dyDescent="0.25">
      <c r="A88" s="2" t="s">
        <v>313</v>
      </c>
      <c r="B88" s="1" t="s">
        <v>81</v>
      </c>
      <c r="C88" s="2" t="s">
        <v>236</v>
      </c>
      <c r="D88" s="2" t="s">
        <v>278</v>
      </c>
      <c r="E88" s="2"/>
      <c r="F88" s="2"/>
      <c r="G88" s="2"/>
      <c r="H88" s="2"/>
      <c r="I88" s="2"/>
    </row>
    <row r="89" spans="1:9" x14ac:dyDescent="0.25">
      <c r="A89" s="2" t="s">
        <v>314</v>
      </c>
      <c r="B89" s="1" t="s">
        <v>81</v>
      </c>
      <c r="C89" s="2" t="s">
        <v>234</v>
      </c>
      <c r="D89" s="2" t="s">
        <v>278</v>
      </c>
      <c r="E89" s="2"/>
      <c r="F89" s="2"/>
      <c r="G89" s="2"/>
      <c r="H89" s="2"/>
      <c r="I89" s="2"/>
    </row>
  </sheetData>
  <phoneticPr fontId="2" type="noConversion"/>
  <dataValidations count="3">
    <dataValidation type="list" allowBlank="1" showInputMessage="1" showErrorMessage="1" sqref="B28:B89" xr:uid="{4C94A581-5A8A-4330-AC50-A75D3EF6F1F7}">
      <formula1>"RM, PM, FG"</formula1>
    </dataValidation>
    <dataValidation type="list" allowBlank="1" showInputMessage="1" showErrorMessage="1" sqref="D28:D89" xr:uid="{FB3FDDB5-BECB-46E1-B3D8-04C604440DA1}">
      <formula1>"Main component, Thickener, Solvent, Surfactant, Preservative, Desinfectant agent, Cleaning agent of pellicle, Packaging material, Finish Good"</formula1>
    </dataValidation>
    <dataValidation type="list" allowBlank="1" showInputMessage="1" showErrorMessage="1" sqref="I28:I89" xr:uid="{C472487A-EBAB-4CF2-9D01-9643FB73B258}">
      <formula1>"Active, Inactive"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0261-5592-4D68-9625-34FE9B4F4BBC}">
  <dimension ref="A1:K14"/>
  <sheetViews>
    <sheetView workbookViewId="0">
      <selection activeCell="C12" sqref="C12"/>
    </sheetView>
  </sheetViews>
  <sheetFormatPr defaultRowHeight="15" x14ac:dyDescent="0.25"/>
  <cols>
    <col min="1" max="1" width="9.7109375" customWidth="1"/>
    <col min="2" max="2" width="8.28515625" customWidth="1"/>
    <col min="3" max="3" width="14.85546875" customWidth="1"/>
    <col min="4" max="4" width="33.42578125" customWidth="1"/>
    <col min="5" max="5" width="23.85546875" customWidth="1"/>
    <col min="8" max="8" width="16.7109375" customWidth="1"/>
    <col min="9" max="9" width="14.140625" customWidth="1"/>
    <col min="10" max="10" width="17.42578125" customWidth="1"/>
  </cols>
  <sheetData>
    <row r="1" spans="1:11" x14ac:dyDescent="0.25">
      <c r="A1" s="26" t="s">
        <v>316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5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x14ac:dyDescent="0.25">
      <c r="A4" s="6" t="s">
        <v>33</v>
      </c>
      <c r="B4" s="6" t="s">
        <v>34</v>
      </c>
      <c r="C4" s="6" t="s">
        <v>1</v>
      </c>
      <c r="D4" s="6" t="s">
        <v>2</v>
      </c>
      <c r="E4" s="6" t="s">
        <v>30</v>
      </c>
      <c r="F4" s="6" t="s">
        <v>5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</row>
    <row r="5" spans="1:11" x14ac:dyDescent="0.25">
      <c r="A5" s="20" t="str">
        <f>'Item Code'!A78</f>
        <v>IFG1021051</v>
      </c>
      <c r="B5" s="20" t="s">
        <v>38</v>
      </c>
      <c r="C5" s="2" t="str">
        <f>'Item Code'!A28</f>
        <v>IRM1020001</v>
      </c>
      <c r="D5" s="2" t="str">
        <f>'Item Code'!C28</f>
        <v xml:space="preserve">Pellicle </v>
      </c>
      <c r="E5" s="2" t="str">
        <f>'Item Code'!D28</f>
        <v>Main component</v>
      </c>
      <c r="F5" s="1" t="s">
        <v>24</v>
      </c>
      <c r="G5" s="1">
        <v>100.7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21"/>
      <c r="B6" s="21"/>
      <c r="C6" s="2" t="str">
        <f>'Item Code'!A29</f>
        <v>IRM1022002</v>
      </c>
      <c r="D6" s="2" t="str">
        <f>'Item Code'!C29</f>
        <v>Carboxymethyl cellulose</v>
      </c>
      <c r="E6" s="2" t="str">
        <f>'Item Code'!D29</f>
        <v>Thickener</v>
      </c>
      <c r="F6" s="1" t="s">
        <v>24</v>
      </c>
      <c r="G6" s="1">
        <v>0.81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21"/>
      <c r="B7" s="21"/>
      <c r="C7" s="2" t="str">
        <f>'Item Code'!A31</f>
        <v>IRM1022004</v>
      </c>
      <c r="D7" s="2" t="s">
        <v>46</v>
      </c>
      <c r="E7" s="2" t="s">
        <v>47</v>
      </c>
      <c r="F7" s="1" t="s">
        <v>24</v>
      </c>
      <c r="G7" s="1">
        <v>902.62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21"/>
      <c r="B8" s="21"/>
      <c r="C8" s="2" t="str">
        <f>'Item Code'!A32</f>
        <v>IRM1022005</v>
      </c>
      <c r="D8" s="2" t="str">
        <f>'Item Code'!C32</f>
        <v>Bronopol</v>
      </c>
      <c r="E8" s="2" t="str">
        <f>'Item Code'!D32</f>
        <v>Preservative</v>
      </c>
      <c r="F8" s="1" t="s">
        <v>24</v>
      </c>
      <c r="G8" s="1">
        <v>0.81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1"/>
      <c r="B9" s="21"/>
      <c r="C9" s="2" t="str">
        <f>'Item Code'!A33</f>
        <v>IRM1022006</v>
      </c>
      <c r="D9" s="2" t="str">
        <f>'Item Code'!C33</f>
        <v>Kaporit</v>
      </c>
      <c r="E9" s="2" t="str">
        <f>'Item Code'!D33</f>
        <v>Desinfectant agent</v>
      </c>
      <c r="F9" s="1" t="s">
        <v>24</v>
      </c>
      <c r="G9" s="1">
        <v>0.05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21"/>
      <c r="B10" s="21"/>
      <c r="C10" s="2" t="str">
        <f>'Item Code'!A36</f>
        <v>IRM1022009</v>
      </c>
      <c r="D10" s="2" t="str">
        <f>'Item Code'!C36</f>
        <v>Sodium bisulfite</v>
      </c>
      <c r="E10" s="2" t="str">
        <f>'Item Code'!D36</f>
        <v>Cleaning agent of pellicle</v>
      </c>
      <c r="F10" s="1" t="s">
        <v>24</v>
      </c>
      <c r="G10" s="1">
        <v>2.0099999999999998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1"/>
      <c r="B11" s="21"/>
      <c r="C11" s="2" t="str">
        <f>'Item Code'!A47</f>
        <v>IPM1223020</v>
      </c>
      <c r="D11" s="2" t="str">
        <f>'Item Code'!C47</f>
        <v>Label sticker C2509 @ 200 ltr, drum</v>
      </c>
      <c r="E11" s="2" t="str">
        <f>'Item Code'!D47</f>
        <v>Packaging material</v>
      </c>
      <c r="F11" s="1" t="s">
        <v>26</v>
      </c>
      <c r="G11" s="1">
        <v>1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21"/>
      <c r="B12" s="21"/>
      <c r="C12" s="2" t="str">
        <f>'Item Code'!A69</f>
        <v>IPM1223042</v>
      </c>
      <c r="D12" s="2" t="str">
        <f>'Item Code'!C69</f>
        <v>Drum PE Biru @ 200 ltr</v>
      </c>
      <c r="E12" s="2" t="str">
        <f>'Item Code'!D69</f>
        <v>Packaging material</v>
      </c>
      <c r="F12" s="1" t="s">
        <v>26</v>
      </c>
      <c r="G12" s="1">
        <v>1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1"/>
      <c r="B13" s="21"/>
      <c r="C13" s="2" t="str">
        <f>'Item Code'!A70</f>
        <v>IPM1223043</v>
      </c>
      <c r="D13" s="2" t="str">
        <f>'Item Code'!C70</f>
        <v>Seal drum PE biru @ 200 ltr</v>
      </c>
      <c r="E13" s="2" t="str">
        <f>'Item Code'!D70</f>
        <v>Packaging material</v>
      </c>
      <c r="F13" s="1" t="s">
        <v>26</v>
      </c>
      <c r="G13" s="1">
        <v>1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22"/>
      <c r="B14" s="22"/>
      <c r="C14" s="2" t="str">
        <f>'Item Code'!A73</f>
        <v>IPM1223046</v>
      </c>
      <c r="D14" s="2" t="str">
        <f>'Item Code'!C73</f>
        <v>Pallet (1100×1100 mm)</v>
      </c>
      <c r="E14" s="2" t="str">
        <f>'Item Code'!D73</f>
        <v>Packaging material</v>
      </c>
      <c r="F14" s="1" t="s">
        <v>26</v>
      </c>
      <c r="G14" s="1">
        <v>1</v>
      </c>
      <c r="H14" s="3">
        <v>0</v>
      </c>
      <c r="I14" s="3">
        <v>0</v>
      </c>
      <c r="J14" s="3">
        <v>0</v>
      </c>
      <c r="K14" s="3">
        <v>0</v>
      </c>
    </row>
  </sheetData>
  <mergeCells count="4">
    <mergeCell ref="A5:A14"/>
    <mergeCell ref="B5:B14"/>
    <mergeCell ref="A1:K2"/>
    <mergeCell ref="A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1375-6FAE-4483-AD70-828CCD760039}">
  <dimension ref="A1:K17"/>
  <sheetViews>
    <sheetView topLeftCell="A3" workbookViewId="0">
      <selection activeCell="C5" sqref="C5:F10"/>
    </sheetView>
  </sheetViews>
  <sheetFormatPr defaultRowHeight="15" x14ac:dyDescent="0.25"/>
  <cols>
    <col min="1" max="1" width="12" customWidth="1"/>
    <col min="3" max="3" width="15.140625" customWidth="1"/>
    <col min="4" max="4" width="42.85546875" bestFit="1" customWidth="1"/>
    <col min="5" max="5" width="23" customWidth="1"/>
    <col min="8" max="8" width="15.140625" customWidth="1"/>
    <col min="9" max="9" width="14.7109375" customWidth="1"/>
    <col min="10" max="10" width="16" customWidth="1"/>
  </cols>
  <sheetData>
    <row r="1" spans="1:11" x14ac:dyDescent="0.25">
      <c r="A1" s="26" t="s">
        <v>315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5" t="s">
        <v>33</v>
      </c>
      <c r="B4" s="5" t="s">
        <v>34</v>
      </c>
      <c r="C4" s="5" t="s">
        <v>1</v>
      </c>
      <c r="D4" s="5" t="s">
        <v>2</v>
      </c>
      <c r="E4" s="5" t="s">
        <v>30</v>
      </c>
      <c r="F4" s="5" t="s">
        <v>5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x14ac:dyDescent="0.25">
      <c r="A5" s="20" t="str">
        <f>'Item Code'!A83</f>
        <v>IFG1021056</v>
      </c>
      <c r="B5" s="20" t="s">
        <v>38</v>
      </c>
      <c r="C5" s="2" t="str">
        <f>'Item Code'!A28</f>
        <v>IRM1020001</v>
      </c>
      <c r="D5" s="2" t="str">
        <f>'Item Code'!C28</f>
        <v xml:space="preserve">Pellicle </v>
      </c>
      <c r="E5" s="2" t="str">
        <f>'Item Code'!D28</f>
        <v>Main component</v>
      </c>
      <c r="F5" s="1" t="s">
        <v>24</v>
      </c>
      <c r="G5" s="3">
        <v>201.4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21"/>
      <c r="B6" s="21"/>
      <c r="C6" s="2" t="str">
        <f>'Item Code'!A29</f>
        <v>IRM1022002</v>
      </c>
      <c r="D6" s="2" t="str">
        <f>'Item Code'!C29</f>
        <v>Carboxymethyl cellulose</v>
      </c>
      <c r="E6" s="2" t="str">
        <f>'Item Code'!D29</f>
        <v>Thickener</v>
      </c>
      <c r="F6" s="1" t="s">
        <v>24</v>
      </c>
      <c r="G6" s="3">
        <v>0.81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21"/>
      <c r="B7" s="21"/>
      <c r="C7" s="2" t="str">
        <f>'Item Code'!A31</f>
        <v>IRM1022004</v>
      </c>
      <c r="D7" s="2" t="s">
        <v>46</v>
      </c>
      <c r="E7" s="2" t="s">
        <v>47</v>
      </c>
      <c r="F7" s="1" t="s">
        <v>24</v>
      </c>
      <c r="G7" s="3">
        <v>801.92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21"/>
      <c r="B8" s="21"/>
      <c r="C8" s="2" t="str">
        <f>'Item Code'!A32</f>
        <v>IRM1022005</v>
      </c>
      <c r="D8" s="2" t="str">
        <f>'Item Code'!C32</f>
        <v>Bronopol</v>
      </c>
      <c r="E8" s="2" t="str">
        <f>'Item Code'!D32</f>
        <v>Preservative</v>
      </c>
      <c r="F8" s="1" t="s">
        <v>24</v>
      </c>
      <c r="G8" s="3">
        <v>0.81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1"/>
      <c r="B9" s="21"/>
      <c r="C9" s="2" t="str">
        <f>'Item Code'!A33</f>
        <v>IRM1022006</v>
      </c>
      <c r="D9" s="2" t="str">
        <f>'Item Code'!C33</f>
        <v>Kaporit</v>
      </c>
      <c r="E9" s="2" t="str">
        <f>'Item Code'!D33</f>
        <v>Desinfectant agent</v>
      </c>
      <c r="F9" s="1" t="s">
        <v>24</v>
      </c>
      <c r="G9" s="3">
        <v>0.05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21"/>
      <c r="B10" s="21"/>
      <c r="C10" s="2" t="str">
        <f>'Item Code'!A36</f>
        <v>IRM1022009</v>
      </c>
      <c r="D10" s="2" t="str">
        <f>'Item Code'!C36</f>
        <v>Sodium bisulfite</v>
      </c>
      <c r="E10" s="2" t="str">
        <f>'Item Code'!D36</f>
        <v>Cleaning agent of pellicle</v>
      </c>
      <c r="F10" s="1" t="s">
        <v>24</v>
      </c>
      <c r="G10" s="3">
        <v>2.0099999999999998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1"/>
      <c r="B11" s="21"/>
      <c r="C11" s="2" t="str">
        <f>'Item Code'!A41</f>
        <v>IPM1223014</v>
      </c>
      <c r="D11" s="2" t="str">
        <f>'Item Code'!C41</f>
        <v>Label sticker Cylo Bind @2.5 gal (sisi depan)</v>
      </c>
      <c r="E11" s="2" t="str">
        <f>'Item Code'!D41</f>
        <v>Packaging material</v>
      </c>
      <c r="F11" s="1" t="s">
        <v>26</v>
      </c>
      <c r="G11" s="1">
        <v>1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21"/>
      <c r="B12" s="21"/>
      <c r="C12" s="2" t="str">
        <f>'Item Code'!A42</f>
        <v>IPM1223015</v>
      </c>
      <c r="D12" s="2" t="str">
        <f>'Item Code'!C42</f>
        <v>Label sticker Cylo Bind @2.5 gal (sisi belakang)</v>
      </c>
      <c r="E12" s="2" t="str">
        <f>'Item Code'!D42</f>
        <v>Packaging material</v>
      </c>
      <c r="F12" s="1" t="s">
        <v>26</v>
      </c>
      <c r="G12" s="1">
        <v>1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1"/>
      <c r="B13" s="21"/>
      <c r="C13" s="2" t="str">
        <f>'Item Code'!A67</f>
        <v>IPM1223040</v>
      </c>
      <c r="D13" s="2" t="str">
        <f>'Item Code'!C67</f>
        <v>Jerrycan PE white @2.5 gal</v>
      </c>
      <c r="E13" s="2" t="str">
        <f>'Item Code'!D67</f>
        <v>Packaging material</v>
      </c>
      <c r="F13" s="1" t="s">
        <v>26</v>
      </c>
      <c r="G13" s="1">
        <v>1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21"/>
      <c r="B14" s="21"/>
      <c r="C14" s="2" t="str">
        <f>'Item Code'!A68</f>
        <v>IPM1223041</v>
      </c>
      <c r="D14" s="2" t="str">
        <f>'Item Code'!C68</f>
        <v>Cap Jerrycan PE white @2.5 gal</v>
      </c>
      <c r="E14" s="2" t="str">
        <f>'Item Code'!D68</f>
        <v>Packaging material</v>
      </c>
      <c r="F14" s="1" t="s">
        <v>26</v>
      </c>
      <c r="G14" s="1">
        <v>1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1"/>
      <c r="B15" s="21"/>
      <c r="C15" s="2" t="str">
        <f>'Item Code'!A71</f>
        <v>IPM1223044</v>
      </c>
      <c r="D15" s="2" t="str">
        <f>'Item Code'!C71</f>
        <v>Carboard box white (360×250×324 mm)</v>
      </c>
      <c r="E15" s="2" t="str">
        <f>'Item Code'!D71</f>
        <v>Packaging material</v>
      </c>
      <c r="F15" s="1" t="s">
        <v>26</v>
      </c>
      <c r="G15" s="1">
        <v>1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1"/>
      <c r="B16" s="21"/>
      <c r="C16" s="2" t="str">
        <f>'Item Code'!A72</f>
        <v>IPM1223045</v>
      </c>
      <c r="D16" s="2" t="str">
        <f>'Item Code'!C72</f>
        <v>Clear packaging tape</v>
      </c>
      <c r="E16" s="2" t="str">
        <f>'Item Code'!D72</f>
        <v>Packaging material</v>
      </c>
      <c r="F16" s="1" t="s">
        <v>26</v>
      </c>
      <c r="G16" s="1">
        <v>1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22"/>
      <c r="B17" s="22"/>
      <c r="C17" s="2" t="str">
        <f>'Item Code'!A73</f>
        <v>IPM1223046</v>
      </c>
      <c r="D17" s="2" t="str">
        <f>'Item Code'!C73</f>
        <v>Pallet (1100×1100 mm)</v>
      </c>
      <c r="E17" s="2" t="str">
        <f>'Item Code'!D73</f>
        <v>Packaging material</v>
      </c>
      <c r="F17" s="1" t="s">
        <v>26</v>
      </c>
      <c r="G17" s="1">
        <v>1</v>
      </c>
      <c r="H17" s="3">
        <v>0</v>
      </c>
      <c r="I17" s="3">
        <v>0</v>
      </c>
      <c r="J17" s="3">
        <v>0</v>
      </c>
      <c r="K17" s="3">
        <v>0</v>
      </c>
    </row>
  </sheetData>
  <mergeCells count="4">
    <mergeCell ref="A1:K2"/>
    <mergeCell ref="A3:K3"/>
    <mergeCell ref="A5:A17"/>
    <mergeCell ref="B5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C293-CEEE-4625-B005-C9F90ABBE8BD}">
  <dimension ref="A1:K15"/>
  <sheetViews>
    <sheetView workbookViewId="0">
      <selection activeCell="J14" sqref="J14"/>
    </sheetView>
  </sheetViews>
  <sheetFormatPr defaultRowHeight="15" x14ac:dyDescent="0.25"/>
  <cols>
    <col min="3" max="3" width="14.5703125" customWidth="1"/>
    <col min="4" max="4" width="35.28515625" customWidth="1"/>
    <col min="5" max="5" width="28.85546875" customWidth="1"/>
    <col min="8" max="8" width="14.7109375" customWidth="1"/>
    <col min="9" max="9" width="14" customWidth="1"/>
    <col min="10" max="10" width="17" customWidth="1"/>
  </cols>
  <sheetData>
    <row r="1" spans="1:11" x14ac:dyDescent="0.25">
      <c r="A1" s="26" t="s">
        <v>317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5" t="s">
        <v>33</v>
      </c>
      <c r="B4" s="5" t="s">
        <v>34</v>
      </c>
      <c r="C4" s="5" t="s">
        <v>1</v>
      </c>
      <c r="D4" s="5" t="s">
        <v>2</v>
      </c>
      <c r="E4" s="5" t="s">
        <v>30</v>
      </c>
      <c r="F4" s="5" t="s">
        <v>5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x14ac:dyDescent="0.25">
      <c r="A5" s="20" t="str">
        <f>'Item Code'!A89</f>
        <v>IFG1021062</v>
      </c>
      <c r="B5" s="20" t="s">
        <v>38</v>
      </c>
      <c r="C5" s="2" t="str">
        <f>'Item Code'!A28</f>
        <v>IRM1020001</v>
      </c>
      <c r="D5" s="2" t="str">
        <f>'Item Code'!C28</f>
        <v xml:space="preserve">Pellicle </v>
      </c>
      <c r="E5" s="2" t="str">
        <f>'Item Code'!D28</f>
        <v>Main component</v>
      </c>
      <c r="F5" s="1" t="s">
        <v>24</v>
      </c>
      <c r="G5" s="1">
        <v>100.7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21"/>
      <c r="B6" s="21"/>
      <c r="C6" s="2" t="str">
        <f>'Item Code'!A29</f>
        <v>IRM1022002</v>
      </c>
      <c r="D6" s="2" t="str">
        <f>'Item Code'!C29</f>
        <v>Carboxymethyl cellulose</v>
      </c>
      <c r="E6" s="2" t="str">
        <f>'Item Code'!D29</f>
        <v>Thickener</v>
      </c>
      <c r="F6" s="1" t="s">
        <v>24</v>
      </c>
      <c r="G6" s="1">
        <v>0.81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21"/>
      <c r="B7" s="21"/>
      <c r="C7" s="2" t="str">
        <f>'Item Code'!A31</f>
        <v>IRM1022004</v>
      </c>
      <c r="D7" s="2" t="s">
        <v>46</v>
      </c>
      <c r="E7" s="2" t="s">
        <v>47</v>
      </c>
      <c r="F7" s="1" t="s">
        <v>24</v>
      </c>
      <c r="G7" s="1">
        <v>902.62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21"/>
      <c r="B8" s="21"/>
      <c r="C8" s="2" t="str">
        <f>'Item Code'!A32</f>
        <v>IRM1022005</v>
      </c>
      <c r="D8" s="2" t="str">
        <f>'Item Code'!C32</f>
        <v>Bronopol</v>
      </c>
      <c r="E8" s="2" t="str">
        <f>'Item Code'!D32</f>
        <v>Preservative</v>
      </c>
      <c r="F8" s="1" t="s">
        <v>24</v>
      </c>
      <c r="G8" s="1">
        <v>0.81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1"/>
      <c r="B9" s="21"/>
      <c r="C9" s="2" t="str">
        <f>'Item Code'!A33</f>
        <v>IRM1022006</v>
      </c>
      <c r="D9" s="2" t="str">
        <f>'Item Code'!C33</f>
        <v>Kaporit</v>
      </c>
      <c r="E9" s="2" t="str">
        <f>'Item Code'!D33</f>
        <v>Desinfectant agent</v>
      </c>
      <c r="F9" s="1" t="s">
        <v>24</v>
      </c>
      <c r="G9" s="1">
        <v>0.05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21"/>
      <c r="B10" s="21"/>
      <c r="C10" s="2" t="str">
        <f>'Item Code'!A36</f>
        <v>IRM1022009</v>
      </c>
      <c r="D10" s="2" t="str">
        <f>'Item Code'!C36</f>
        <v>Sodium bisulfite</v>
      </c>
      <c r="E10" s="2" t="str">
        <f>'Item Code'!D36</f>
        <v>Cleaning agent of pellicle</v>
      </c>
      <c r="F10" s="1" t="s">
        <v>24</v>
      </c>
      <c r="G10" s="1">
        <v>2.0099999999999998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1"/>
      <c r="B11" s="21"/>
      <c r="C11" s="2" t="str">
        <f>'Item Code'!A34</f>
        <v>IRM1022007</v>
      </c>
      <c r="D11" s="2" t="str">
        <f>'Item Code'!C34</f>
        <v>Emulan</v>
      </c>
      <c r="E11" s="2" t="str">
        <f>'Item Code'!D34</f>
        <v>Surfactant</v>
      </c>
      <c r="F11" s="1" t="s">
        <v>25</v>
      </c>
      <c r="G11" s="7">
        <f>1007/3</f>
        <v>335.66666666666669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21"/>
      <c r="B12" s="21"/>
      <c r="C12" s="2" t="str">
        <f>'Item Code'!A57</f>
        <v>IPM1223030</v>
      </c>
      <c r="D12" s="2" t="str">
        <f>'Item Code'!C57</f>
        <v>Label sticker Cylo plus @ 200 ltr, drum</v>
      </c>
      <c r="E12" s="2" t="str">
        <f>'Item Code'!D57</f>
        <v>Packaging material</v>
      </c>
      <c r="F12" s="1" t="s">
        <v>26</v>
      </c>
      <c r="G12" s="1">
        <v>1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1"/>
      <c r="B13" s="21"/>
      <c r="C13" s="2" t="str">
        <f>'Item Code'!A69</f>
        <v>IPM1223042</v>
      </c>
      <c r="D13" s="2" t="str">
        <f>'Item Code'!C69</f>
        <v>Drum PE Biru @ 200 ltr</v>
      </c>
      <c r="E13" s="2" t="str">
        <f>'Item Code'!D69</f>
        <v>Packaging material</v>
      </c>
      <c r="F13" s="1" t="s">
        <v>26</v>
      </c>
      <c r="G13" s="1">
        <v>1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21"/>
      <c r="B14" s="21"/>
      <c r="C14" s="2" t="str">
        <f>'Item Code'!A70</f>
        <v>IPM1223043</v>
      </c>
      <c r="D14" s="2" t="str">
        <f>'Item Code'!C70</f>
        <v>Seal drum PE biru @ 200 ltr</v>
      </c>
      <c r="E14" s="2" t="str">
        <f>'Item Code'!D70</f>
        <v>Packaging material</v>
      </c>
      <c r="F14" s="1" t="s">
        <v>26</v>
      </c>
      <c r="G14" s="1">
        <v>1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2"/>
      <c r="B15" s="22"/>
      <c r="C15" s="2" t="str">
        <f>'Item Code'!A73</f>
        <v>IPM1223046</v>
      </c>
      <c r="D15" s="2" t="str">
        <f>'Item Code'!C73</f>
        <v>Pallet (1100×1100 mm)</v>
      </c>
      <c r="E15" s="2" t="str">
        <f>'Item Code'!D73</f>
        <v>Packaging material</v>
      </c>
      <c r="F15" s="1" t="s">
        <v>26</v>
      </c>
      <c r="G15" s="1">
        <v>1</v>
      </c>
      <c r="H15" s="3">
        <v>0</v>
      </c>
      <c r="I15" s="3">
        <v>0</v>
      </c>
      <c r="J15" s="3">
        <v>0</v>
      </c>
      <c r="K15" s="3">
        <v>0</v>
      </c>
    </row>
  </sheetData>
  <mergeCells count="4">
    <mergeCell ref="A5:A15"/>
    <mergeCell ref="B5:B15"/>
    <mergeCell ref="A1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D1F4-16EF-4352-9527-F022EE2BB5BB}">
  <dimension ref="A1:R14"/>
  <sheetViews>
    <sheetView topLeftCell="C1" zoomScale="80" zoomScaleNormal="80" workbookViewId="0">
      <selection activeCell="H18" sqref="H18"/>
    </sheetView>
  </sheetViews>
  <sheetFormatPr defaultRowHeight="15" x14ac:dyDescent="0.25"/>
  <cols>
    <col min="1" max="1" width="13.42578125" customWidth="1"/>
    <col min="2" max="2" width="18.42578125" customWidth="1"/>
    <col min="3" max="3" width="24.7109375" customWidth="1"/>
    <col min="4" max="4" width="14.7109375" customWidth="1"/>
    <col min="5" max="5" width="13.85546875" customWidth="1"/>
    <col min="6" max="6" width="14.5703125" customWidth="1"/>
    <col min="8" max="8" width="21" customWidth="1"/>
    <col min="9" max="9" width="14.7109375" customWidth="1"/>
    <col min="10" max="10" width="13.85546875" customWidth="1"/>
    <col min="11" max="11" width="12.85546875" customWidth="1"/>
    <col min="12" max="12" width="22.85546875" customWidth="1"/>
    <col min="16" max="16" width="12.7109375" customWidth="1"/>
    <col min="18" max="18" width="15.42578125" customWidth="1"/>
  </cols>
  <sheetData>
    <row r="1" spans="1:18" x14ac:dyDescent="0.25">
      <c r="A1" s="31" t="s">
        <v>119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0.7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21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8.75" x14ac:dyDescent="0.25">
      <c r="A4" s="30" t="s">
        <v>87</v>
      </c>
      <c r="B4" s="30" t="s">
        <v>29</v>
      </c>
      <c r="C4" s="30" t="s">
        <v>88</v>
      </c>
      <c r="D4" s="30" t="s">
        <v>89</v>
      </c>
      <c r="E4" s="30" t="s">
        <v>118</v>
      </c>
      <c r="F4" s="30" t="s">
        <v>93</v>
      </c>
      <c r="G4" s="30"/>
      <c r="H4" s="30"/>
      <c r="I4" s="30"/>
      <c r="J4" s="30" t="s">
        <v>50</v>
      </c>
      <c r="K4" s="30" t="s">
        <v>94</v>
      </c>
      <c r="L4" s="30" t="s">
        <v>95</v>
      </c>
      <c r="M4" s="30" t="s">
        <v>96</v>
      </c>
      <c r="N4" s="30" t="s">
        <v>35</v>
      </c>
      <c r="O4" s="30"/>
      <c r="P4" s="30"/>
      <c r="Q4" s="30" t="s">
        <v>100</v>
      </c>
      <c r="R4" s="30"/>
    </row>
    <row r="5" spans="1:18" ht="18.75" x14ac:dyDescent="0.25">
      <c r="A5" s="30"/>
      <c r="B5" s="30"/>
      <c r="C5" s="30"/>
      <c r="D5" s="30"/>
      <c r="E5" s="30"/>
      <c r="F5" s="10" t="s">
        <v>90</v>
      </c>
      <c r="G5" s="10" t="s">
        <v>91</v>
      </c>
      <c r="H5" s="10" t="s">
        <v>3</v>
      </c>
      <c r="I5" s="10" t="s">
        <v>92</v>
      </c>
      <c r="J5" s="30"/>
      <c r="K5" s="30"/>
      <c r="L5" s="30"/>
      <c r="M5" s="30"/>
      <c r="N5" s="10" t="s">
        <v>97</v>
      </c>
      <c r="O5" s="10" t="s">
        <v>98</v>
      </c>
      <c r="P5" s="10" t="s">
        <v>99</v>
      </c>
      <c r="Q5" s="10" t="s">
        <v>101</v>
      </c>
      <c r="R5" s="10" t="s">
        <v>45</v>
      </c>
    </row>
    <row r="6" spans="1:18" x14ac:dyDescent="0.25">
      <c r="A6" s="2" t="s">
        <v>102</v>
      </c>
      <c r="B6" s="2" t="s">
        <v>107</v>
      </c>
      <c r="C6" s="2" t="s">
        <v>115</v>
      </c>
      <c r="D6" s="2" t="s">
        <v>40</v>
      </c>
      <c r="E6" s="2"/>
      <c r="F6" s="2"/>
      <c r="G6" s="2"/>
      <c r="H6" s="2" t="s">
        <v>120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 t="s">
        <v>108</v>
      </c>
      <c r="B7" s="2" t="s">
        <v>109</v>
      </c>
      <c r="C7" s="2" t="s">
        <v>116</v>
      </c>
      <c r="D7" s="2"/>
      <c r="E7" s="2"/>
      <c r="F7" s="2"/>
      <c r="G7" s="2"/>
      <c r="H7" s="2" t="s">
        <v>121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 t="s">
        <v>103</v>
      </c>
      <c r="B8" s="2" t="s">
        <v>106</v>
      </c>
      <c r="C8" s="2" t="s">
        <v>115</v>
      </c>
      <c r="D8" s="2"/>
      <c r="E8" s="2"/>
      <c r="F8" s="2"/>
      <c r="G8" s="2"/>
      <c r="H8" s="2" t="s">
        <v>122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 t="s">
        <v>104</v>
      </c>
      <c r="B9" s="2" t="s">
        <v>106</v>
      </c>
      <c r="C9" s="2" t="s">
        <v>117</v>
      </c>
      <c r="D9" s="2"/>
      <c r="E9" s="2"/>
      <c r="F9" s="2"/>
      <c r="G9" s="2"/>
      <c r="H9" s="2" t="s">
        <v>123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 t="s">
        <v>110</v>
      </c>
      <c r="B10" s="2" t="s">
        <v>106</v>
      </c>
      <c r="C10" s="2" t="s">
        <v>116</v>
      </c>
      <c r="D10" s="2"/>
      <c r="E10" s="2"/>
      <c r="F10" s="2"/>
      <c r="G10" s="2"/>
      <c r="H10" s="2" t="s">
        <v>124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 t="s">
        <v>111</v>
      </c>
      <c r="B11" s="2" t="s">
        <v>105</v>
      </c>
      <c r="C11" s="2" t="s">
        <v>115</v>
      </c>
      <c r="D11" s="2"/>
      <c r="E11" s="2"/>
      <c r="F11" s="2"/>
      <c r="G11" s="2"/>
      <c r="H11" s="2" t="s">
        <v>125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 t="s">
        <v>104</v>
      </c>
      <c r="B12" s="2" t="s">
        <v>105</v>
      </c>
      <c r="C12" s="2" t="s">
        <v>117</v>
      </c>
      <c r="D12" s="2"/>
      <c r="E12" s="2"/>
      <c r="F12" s="2"/>
      <c r="G12" s="2"/>
      <c r="H12" s="2" t="s">
        <v>126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 t="s">
        <v>112</v>
      </c>
      <c r="B13" s="2" t="s">
        <v>89</v>
      </c>
      <c r="C13" s="2" t="s">
        <v>114</v>
      </c>
      <c r="D13" s="2"/>
      <c r="E13" s="2"/>
      <c r="F13" s="2"/>
      <c r="G13" s="2"/>
      <c r="H13" s="2" t="s">
        <v>49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 t="s">
        <v>113</v>
      </c>
      <c r="B14" s="2" t="s">
        <v>89</v>
      </c>
      <c r="C14" s="2" t="s">
        <v>114</v>
      </c>
      <c r="D14" s="2"/>
      <c r="E14" s="2"/>
      <c r="F14" s="2"/>
      <c r="G14" s="2"/>
      <c r="H14" s="2" t="s">
        <v>125</v>
      </c>
      <c r="I14" s="2"/>
      <c r="J14" s="2"/>
      <c r="K14" s="2"/>
      <c r="L14" s="2"/>
      <c r="M14" s="2"/>
      <c r="N14" s="2"/>
      <c r="O14" s="2"/>
      <c r="P14" s="2"/>
      <c r="Q14" s="2"/>
      <c r="R14" s="2"/>
    </row>
  </sheetData>
  <mergeCells count="14">
    <mergeCell ref="M4:M5"/>
    <mergeCell ref="N4:P4"/>
    <mergeCell ref="A1:R2"/>
    <mergeCell ref="A3:R3"/>
    <mergeCell ref="F4:I4"/>
    <mergeCell ref="Q4:R4"/>
    <mergeCell ref="A4:A5"/>
    <mergeCell ref="B4:B5"/>
    <mergeCell ref="C4:C5"/>
    <mergeCell ref="D4:D5"/>
    <mergeCell ref="E4:E5"/>
    <mergeCell ref="J4:J5"/>
    <mergeCell ref="K4:K5"/>
    <mergeCell ref="L4:L5"/>
  </mergeCells>
  <dataValidations count="3">
    <dataValidation type="list" allowBlank="1" showInputMessage="1" showErrorMessage="1" sqref="B6:B1048576" xr:uid="{F8679A05-1449-4FC5-9AA7-ACEE0D071989}">
      <formula1>"Researcher, Approved, Master Schedule, Draft, Done"</formula1>
    </dataValidation>
    <dataValidation type="list" allowBlank="1" showInputMessage="1" showErrorMessage="1" sqref="C6:C1048576" xr:uid="{760D53C7-4BE3-4287-B98B-0971910FBF11}">
      <formula1>"R&amp;D, Production, PPIC, Product Development"</formula1>
    </dataValidation>
    <dataValidation type="list" allowBlank="1" showInputMessage="1" showErrorMessage="1" sqref="H6:H1048576" xr:uid="{E74ED2CA-69AC-44F0-833F-A9FA71409F05}">
      <formula1>"New Development, Improvement, Rework Production, Registration, Vendor Qualification, Sample Preparation, Specification, Bill of Materials"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E5AE-9A05-4DE3-A6EF-FCE63C38BF77}">
  <dimension ref="A1:K9"/>
  <sheetViews>
    <sheetView workbookViewId="0">
      <selection activeCell="K34" sqref="K33:K34"/>
    </sheetView>
  </sheetViews>
  <sheetFormatPr defaultRowHeight="15" x14ac:dyDescent="0.25"/>
  <cols>
    <col min="1" max="1" width="9.140625" style="11"/>
    <col min="2" max="4" width="12.7109375" style="11" customWidth="1"/>
    <col min="5" max="5" width="24.85546875" style="11" customWidth="1"/>
    <col min="6" max="6" width="15.5703125" style="11" customWidth="1"/>
    <col min="7" max="7" width="16.28515625" style="11" customWidth="1"/>
    <col min="8" max="9" width="14.42578125" style="11" customWidth="1"/>
    <col min="10" max="10" width="11.7109375" style="11" customWidth="1"/>
    <col min="11" max="11" width="16.42578125" style="11" customWidth="1"/>
    <col min="12" max="16384" width="9.140625" style="11"/>
  </cols>
  <sheetData>
    <row r="1" spans="1:11" ht="31.5" x14ac:dyDescent="0.25">
      <c r="A1" s="32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8.75" x14ac:dyDescent="0.25">
      <c r="A3" s="30" t="s">
        <v>128</v>
      </c>
      <c r="B3" s="30" t="s">
        <v>129</v>
      </c>
      <c r="C3" s="30"/>
      <c r="D3" s="30"/>
      <c r="E3" s="30"/>
      <c r="F3" s="30"/>
      <c r="G3" s="30"/>
      <c r="H3" s="30"/>
      <c r="I3" s="30" t="s">
        <v>130</v>
      </c>
      <c r="J3" s="30"/>
      <c r="K3" s="30" t="s">
        <v>131</v>
      </c>
    </row>
    <row r="4" spans="1:11" ht="37.5" x14ac:dyDescent="0.25">
      <c r="A4" s="30"/>
      <c r="B4" s="10" t="s">
        <v>132</v>
      </c>
      <c r="C4" s="10" t="s">
        <v>52</v>
      </c>
      <c r="D4" s="10" t="s">
        <v>133</v>
      </c>
      <c r="E4" s="10" t="s">
        <v>134</v>
      </c>
      <c r="F4" s="10" t="s">
        <v>135</v>
      </c>
      <c r="G4" s="10" t="s">
        <v>136</v>
      </c>
      <c r="H4" s="10" t="s">
        <v>137</v>
      </c>
      <c r="I4" s="12" t="s">
        <v>138</v>
      </c>
      <c r="J4" s="10" t="s">
        <v>139</v>
      </c>
      <c r="K4" s="30"/>
    </row>
    <row r="5" spans="1:11" x14ac:dyDescent="0.25">
      <c r="A5" s="3">
        <v>1</v>
      </c>
      <c r="B5" s="4" t="s">
        <v>140</v>
      </c>
      <c r="C5" s="4" t="s">
        <v>36</v>
      </c>
      <c r="D5" s="3">
        <v>1</v>
      </c>
      <c r="E5" s="4" t="s">
        <v>141</v>
      </c>
      <c r="F5" s="4"/>
      <c r="G5" s="4" t="s">
        <v>115</v>
      </c>
      <c r="H5" s="4" t="s">
        <v>142</v>
      </c>
      <c r="I5" s="4"/>
      <c r="J5" s="4"/>
      <c r="K5" s="3" t="s">
        <v>143</v>
      </c>
    </row>
    <row r="6" spans="1:11" ht="30" x14ac:dyDescent="0.25">
      <c r="A6" s="3">
        <v>2</v>
      </c>
      <c r="B6" s="4" t="s">
        <v>144</v>
      </c>
      <c r="C6" s="4" t="s">
        <v>36</v>
      </c>
      <c r="D6" s="3">
        <v>2</v>
      </c>
      <c r="E6" s="13" t="s">
        <v>145</v>
      </c>
      <c r="F6" s="4"/>
      <c r="G6" s="4" t="s">
        <v>146</v>
      </c>
      <c r="H6" s="4" t="s">
        <v>147</v>
      </c>
      <c r="I6" s="4"/>
      <c r="J6" s="4"/>
      <c r="K6" s="3" t="s">
        <v>148</v>
      </c>
    </row>
    <row r="7" spans="1:11" x14ac:dyDescent="0.25">
      <c r="A7" s="3">
        <v>3</v>
      </c>
      <c r="B7" s="4" t="s">
        <v>149</v>
      </c>
      <c r="C7" s="4" t="s">
        <v>39</v>
      </c>
      <c r="D7" s="3">
        <v>1</v>
      </c>
      <c r="E7" s="4" t="s">
        <v>150</v>
      </c>
      <c r="F7" s="4"/>
      <c r="G7" s="4" t="s">
        <v>151</v>
      </c>
      <c r="H7" s="4" t="s">
        <v>142</v>
      </c>
      <c r="I7" s="4"/>
      <c r="J7" s="4"/>
      <c r="K7" s="3" t="s">
        <v>105</v>
      </c>
    </row>
    <row r="8" spans="1:11" x14ac:dyDescent="0.25">
      <c r="A8" s="3">
        <v>4</v>
      </c>
      <c r="B8" s="4" t="s">
        <v>152</v>
      </c>
      <c r="C8" s="4" t="s">
        <v>39</v>
      </c>
      <c r="D8" s="3">
        <v>2</v>
      </c>
      <c r="E8" s="4" t="s">
        <v>150</v>
      </c>
      <c r="F8" s="4" t="s">
        <v>40</v>
      </c>
      <c r="G8" s="4" t="s">
        <v>114</v>
      </c>
      <c r="H8" s="4" t="s">
        <v>147</v>
      </c>
      <c r="I8" s="4"/>
      <c r="J8" s="4"/>
      <c r="K8" s="3" t="s">
        <v>153</v>
      </c>
    </row>
    <row r="9" spans="1:11" x14ac:dyDescent="0.25">
      <c r="A9" s="3">
        <v>5</v>
      </c>
      <c r="B9" s="4" t="s">
        <v>154</v>
      </c>
      <c r="C9" s="4" t="s">
        <v>36</v>
      </c>
      <c r="D9" s="3">
        <v>3</v>
      </c>
      <c r="E9" s="4" t="s">
        <v>155</v>
      </c>
      <c r="F9" s="4"/>
      <c r="G9" s="4" t="s">
        <v>156</v>
      </c>
      <c r="H9" s="4" t="s">
        <v>147</v>
      </c>
      <c r="I9" s="4"/>
      <c r="J9" s="4"/>
      <c r="K9" s="3" t="s">
        <v>105</v>
      </c>
    </row>
  </sheetData>
  <mergeCells count="6">
    <mergeCell ref="A1:K1"/>
    <mergeCell ref="A3:A4"/>
    <mergeCell ref="B3:H3"/>
    <mergeCell ref="I3:J3"/>
    <mergeCell ref="K3:K4"/>
    <mergeCell ref="A2:K2"/>
  </mergeCells>
  <dataValidations count="3">
    <dataValidation type="list" allowBlank="1" showInputMessage="1" showErrorMessage="1" sqref="H3:H1048576" xr:uid="{6D85AC0C-FB1F-408E-A6E2-53ABEB7926AC}">
      <formula1>"High, Normal"</formula1>
    </dataValidation>
    <dataValidation type="list" allowBlank="1" showInputMessage="1" showErrorMessage="1" sqref="G3:G1048576" xr:uid="{C2E8D6D1-8520-424C-80C7-CDCB5E1AAADF}">
      <formula1>"Production, QA/QC, R&amp;D, Warehouse, Customer"</formula1>
    </dataValidation>
    <dataValidation type="list" allowBlank="1" showInputMessage="1" showErrorMessage="1" sqref="K5:K1048576" xr:uid="{E08EF611-1196-4877-A2C6-D1EC2AF7C168}">
      <formula1>"Pending QC, In Testing, Approved, Rejected"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7EA1-2421-47D0-B215-709BDA0726EA}">
  <dimension ref="A1:L8"/>
  <sheetViews>
    <sheetView workbookViewId="0">
      <selection activeCell="D11" sqref="D11"/>
    </sheetView>
  </sheetViews>
  <sheetFormatPr defaultRowHeight="15" x14ac:dyDescent="0.25"/>
  <cols>
    <col min="1" max="1" width="15.7109375" customWidth="1"/>
    <col min="2" max="2" width="12.85546875" customWidth="1"/>
    <col min="3" max="3" width="17.140625" customWidth="1"/>
    <col min="4" max="4" width="11.85546875" customWidth="1"/>
    <col min="7" max="7" width="16.5703125" customWidth="1"/>
    <col min="8" max="8" width="14.140625" customWidth="1"/>
    <col min="9" max="9" width="19.5703125" customWidth="1"/>
    <col min="10" max="10" width="19" customWidth="1"/>
    <col min="11" max="11" width="14.140625" customWidth="1"/>
    <col min="12" max="12" width="17.28515625" customWidth="1"/>
  </cols>
  <sheetData>
    <row r="1" spans="1:12" ht="31.5" x14ac:dyDescent="0.25">
      <c r="A1" s="34" t="s">
        <v>157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8.75" x14ac:dyDescent="0.3">
      <c r="A3" s="8" t="s">
        <v>132</v>
      </c>
      <c r="B3" s="8" t="s">
        <v>52</v>
      </c>
      <c r="C3" s="8" t="s">
        <v>53</v>
      </c>
      <c r="D3" s="8" t="s">
        <v>54</v>
      </c>
      <c r="E3" s="8" t="s">
        <v>158</v>
      </c>
      <c r="F3" s="8" t="s">
        <v>5</v>
      </c>
      <c r="G3" s="8" t="s">
        <v>161</v>
      </c>
      <c r="H3" s="8" t="s">
        <v>159</v>
      </c>
      <c r="I3" s="8" t="s">
        <v>55</v>
      </c>
      <c r="J3" s="8" t="s">
        <v>56</v>
      </c>
      <c r="K3" s="8" t="s">
        <v>29</v>
      </c>
      <c r="L3" s="8" t="s">
        <v>160</v>
      </c>
    </row>
    <row r="4" spans="1:12" x14ac:dyDescent="0.25">
      <c r="A4" s="2" t="str">
        <f>[1]Samples!B5</f>
        <v>SMP-001</v>
      </c>
      <c r="B4" s="2" t="str">
        <f>_xlfn.XLOOKUP([1]Samples!B5,[1]Samples!A:A,[1]Samples!B:B,"")</f>
        <v/>
      </c>
      <c r="C4" s="2"/>
      <c r="D4" s="2" t="str">
        <f>_xlfn.XLOOKUP([1]Specifications!G4,[1]Specifications!G:G,[1]Specifications!C:C,"")</f>
        <v>Visual</v>
      </c>
      <c r="E4" s="2"/>
      <c r="F4" s="2" t="str">
        <f>_xlfn.XLOOKUP([1]Specifications!G4,[1]Specifications!G:G,[1]Specifications!D:D,"")</f>
        <v>-</v>
      </c>
      <c r="G4" s="2"/>
      <c r="H4" s="2"/>
      <c r="I4" s="2" t="str">
        <f>_xlfn.XLOOKUP([1]Specifications!G4,[1]Specifications!G:G,[1]Specifications!E:E,"")</f>
        <v>Hazy liquid colorless</v>
      </c>
      <c r="J4" s="2" t="str">
        <f>_xlfn.XLOOKUP([1]Specifications!G4,[1]Specifications!G:G,[1]Specifications!F:F,"")</f>
        <v>Hazy liquid colorless</v>
      </c>
      <c r="K4" s="2" t="s">
        <v>162</v>
      </c>
      <c r="L4" s="2"/>
    </row>
    <row r="5" spans="1:12" x14ac:dyDescent="0.25">
      <c r="A5" s="2" t="str">
        <f>[1]Samples!B6</f>
        <v>SMP-002</v>
      </c>
      <c r="B5" s="2" t="str">
        <f>_xlfn.XLOOKUP(A5,[1]Samples!A:A,[1]Samples!B:B,"")</f>
        <v/>
      </c>
      <c r="C5" s="2"/>
      <c r="D5" s="2"/>
      <c r="E5" s="2"/>
      <c r="F5" s="2"/>
      <c r="G5" s="2"/>
      <c r="H5" s="2"/>
      <c r="I5" s="2"/>
      <c r="J5" s="2"/>
      <c r="K5" s="2" t="s">
        <v>162</v>
      </c>
      <c r="L5" s="2"/>
    </row>
    <row r="6" spans="1:12" x14ac:dyDescent="0.25">
      <c r="A6" s="2" t="str">
        <f>[1]Samples!B7</f>
        <v>SMP-003</v>
      </c>
      <c r="B6" s="2" t="str">
        <f>_xlfn.XLOOKUP(A6,[1]Samples!A:A,[1]Samples!B:B,"")</f>
        <v/>
      </c>
      <c r="C6" s="2"/>
      <c r="D6" s="2"/>
      <c r="E6" s="2"/>
      <c r="F6" s="2"/>
      <c r="G6" s="2"/>
      <c r="H6" s="2"/>
      <c r="I6" s="2"/>
      <c r="J6" s="2"/>
      <c r="K6" s="2" t="s">
        <v>163</v>
      </c>
      <c r="L6" s="2"/>
    </row>
    <row r="7" spans="1:12" x14ac:dyDescent="0.25">
      <c r="A7" s="2" t="str">
        <f>[1]Samples!B8</f>
        <v>SMP-004</v>
      </c>
      <c r="B7" s="2" t="str">
        <f>_xlfn.XLOOKUP(A7,[1]Samples!A:A,[1]Samples!B:B,"")</f>
        <v/>
      </c>
      <c r="C7" s="2"/>
      <c r="D7" s="2"/>
      <c r="E7" s="2"/>
      <c r="F7" s="2"/>
      <c r="G7" s="2"/>
      <c r="H7" s="2"/>
      <c r="I7" s="2"/>
      <c r="J7" s="2"/>
      <c r="K7" s="2" t="s">
        <v>163</v>
      </c>
      <c r="L7" s="2"/>
    </row>
    <row r="8" spans="1:12" x14ac:dyDescent="0.25">
      <c r="A8" s="2" t="str">
        <f>[1]Samples!B9</f>
        <v>SMP-005</v>
      </c>
      <c r="B8" s="2" t="str">
        <f>_xlfn.XLOOKUP(A8,[1]Samples!A:A,[1]Samples!B:B,"")</f>
        <v/>
      </c>
      <c r="C8" s="2"/>
      <c r="D8" s="2"/>
      <c r="E8" s="2"/>
      <c r="F8" s="2"/>
      <c r="G8" s="2"/>
      <c r="H8" s="2"/>
      <c r="I8" s="2"/>
      <c r="J8" s="2"/>
      <c r="K8" s="2" t="s">
        <v>162</v>
      </c>
      <c r="L8" s="2"/>
    </row>
  </sheetData>
  <mergeCells count="2">
    <mergeCell ref="A1:L1"/>
    <mergeCell ref="A2:L2"/>
  </mergeCells>
  <dataValidations count="1">
    <dataValidation type="list" allowBlank="1" showInputMessage="1" showErrorMessage="1" sqref="K4:K1048576" xr:uid="{2ECCDF6D-73BD-474C-B711-7A93DE4A7298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Specification</vt:lpstr>
      <vt:lpstr>Item Code</vt:lpstr>
      <vt:lpstr>BOM Detail Cylo </vt:lpstr>
      <vt:lpstr>BOM Detail Cylo Bind</vt:lpstr>
      <vt:lpstr>BOM Detail Cylo Plus</vt:lpstr>
      <vt:lpstr>Formulation</vt:lpstr>
      <vt:lpstr>Sample Management</vt:lpstr>
      <vt:lpstr>Lab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 Amanda</dc:creator>
  <cp:lastModifiedBy>GK</cp:lastModifiedBy>
  <cp:lastPrinted>2026-04-29T08:57:25Z</cp:lastPrinted>
  <dcterms:created xsi:type="dcterms:W3CDTF">2026-04-27T02:38:43Z</dcterms:created>
  <dcterms:modified xsi:type="dcterms:W3CDTF">2026-04-30T15:00:59Z</dcterms:modified>
</cp:coreProperties>
</file>